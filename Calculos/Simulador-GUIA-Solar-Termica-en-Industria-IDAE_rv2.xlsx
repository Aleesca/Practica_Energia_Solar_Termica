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codeName="ThisWorkbook"/>
  <mc:AlternateContent xmlns:mc="http://schemas.openxmlformats.org/markup-compatibility/2006">
    <mc:Choice Requires="x15">
      <x15ac:absPath xmlns:x15ac="http://schemas.microsoft.com/office/spreadsheetml/2010/11/ac" url="C:\Users\rgetm\OneDrive - Junta de Castilla y Leon\0001.- DRIVER-UNILEON\0.0.DISCO DURO_CASA-UNILEON\0.0.-UNIVERSIDAD\0.-CURSO 2023_2024\INSTA II\SOLAR TÉRMICA\"/>
    </mc:Choice>
  </mc:AlternateContent>
  <bookViews>
    <workbookView xWindow="0" yWindow="0" windowWidth="23040" windowHeight="8388"/>
  </bookViews>
  <sheets>
    <sheet name="INTERFAZ" sheetId="2" r:id="rId1"/>
    <sheet name="AYUDA" sheetId="4" r:id="rId2"/>
    <sheet name="LISTADO" sheetId="1" state="hidden" r:id="rId3"/>
    <sheet name="CALCULOS" sheetId="3" state="hidden" r:id="rId4"/>
  </sheets>
  <definedNames>
    <definedName name="_xlnm._FilterDatabase" localSheetId="2" hidden="1">LISTADO!$A$2:$O$522</definedName>
    <definedName name="AIRE">INTERFAZ!$D$29</definedName>
    <definedName name="_xlnm.Print_Area" localSheetId="0">INTERFAZ!$A$1:$K$93</definedName>
    <definedName name="ETC">INTERFAZ!$D$29:$D$33</definedName>
    <definedName name="PLANO1">INTERFAZ!$D$29:$D$33</definedName>
    <definedName name="PLANO2">INTERFAZ!$D$29:$D$33</definedName>
    <definedName name="WESSUN">INTERFAZ!$D$29:$D$33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E55" i="2" l="1"/>
  <c r="D510" i="2"/>
  <c r="D506" i="2"/>
  <c r="D505" i="2"/>
  <c r="D504" i="2"/>
  <c r="D503" i="2"/>
  <c r="D502" i="2"/>
  <c r="C5" i="3"/>
  <c r="C16" i="3"/>
  <c r="A26" i="3"/>
  <c r="A40" i="3"/>
  <c r="A18" i="3"/>
  <c r="A16" i="3"/>
  <c r="A5" i="3"/>
  <c r="E53" i="2"/>
  <c r="A34" i="3" s="1"/>
  <c r="H22" i="3" l="1"/>
  <c r="AF22" i="3"/>
  <c r="AE22" i="3"/>
  <c r="AD22" i="3"/>
  <c r="AH22" i="3"/>
  <c r="AG22" i="3"/>
  <c r="G22" i="3"/>
  <c r="W22" i="3"/>
  <c r="O22" i="3"/>
  <c r="AC22" i="3"/>
  <c r="U22" i="3"/>
  <c r="M22" i="3"/>
  <c r="E22" i="3"/>
  <c r="AB22" i="3"/>
  <c r="T22" i="3"/>
  <c r="L22" i="3"/>
  <c r="V22" i="3"/>
  <c r="N22" i="3"/>
  <c r="F22" i="3"/>
  <c r="AA22" i="3"/>
  <c r="S22" i="3"/>
  <c r="K22" i="3"/>
  <c r="Z22" i="3"/>
  <c r="R22" i="3"/>
  <c r="J22" i="3"/>
  <c r="Y22" i="3"/>
  <c r="Q22" i="3"/>
  <c r="I22" i="3"/>
  <c r="X22" i="3"/>
  <c r="P22" i="3"/>
  <c r="J37" i="2"/>
  <c r="C29" i="2" l="1"/>
  <c r="A29" i="2" s="1"/>
  <c r="C37" i="2" s="1"/>
  <c r="D37" i="2" s="1"/>
  <c r="A30" i="2"/>
  <c r="A31" i="2"/>
  <c r="A32" i="2"/>
  <c r="A33" i="2"/>
  <c r="I502" i="1" l="1"/>
  <c r="I501" i="1"/>
  <c r="I500" i="1"/>
  <c r="I499" i="1"/>
  <c r="I498" i="1"/>
  <c r="I497" i="1"/>
  <c r="I496" i="1"/>
  <c r="I495" i="1"/>
  <c r="I494" i="1"/>
  <c r="I493" i="1"/>
  <c r="I492" i="1"/>
  <c r="I491" i="1"/>
  <c r="I490" i="1"/>
  <c r="I489" i="1"/>
  <c r="I488" i="1"/>
  <c r="I487" i="1"/>
  <c r="I486" i="1"/>
  <c r="I485" i="1"/>
  <c r="I484" i="1"/>
  <c r="I483" i="1"/>
  <c r="I482" i="1"/>
  <c r="I481" i="1"/>
  <c r="I480" i="1"/>
  <c r="I479" i="1"/>
  <c r="I478" i="1"/>
  <c r="I477" i="1"/>
  <c r="I476" i="1"/>
  <c r="I475" i="1"/>
  <c r="I474" i="1"/>
  <c r="I473" i="1"/>
  <c r="I472" i="1"/>
  <c r="I471" i="1"/>
  <c r="I470" i="1"/>
  <c r="I469" i="1"/>
  <c r="I468" i="1"/>
  <c r="I467" i="1"/>
  <c r="I466" i="1"/>
  <c r="I465" i="1"/>
  <c r="I464" i="1"/>
  <c r="I463" i="1"/>
  <c r="I462" i="1"/>
  <c r="I461" i="1"/>
  <c r="I460" i="1"/>
  <c r="I459" i="1"/>
  <c r="I458" i="1"/>
  <c r="I457" i="1"/>
  <c r="I456" i="1"/>
  <c r="I455" i="1"/>
  <c r="I454" i="1"/>
  <c r="I453" i="1"/>
  <c r="I452" i="1"/>
  <c r="I451" i="1"/>
  <c r="I450" i="1"/>
  <c r="I449" i="1"/>
  <c r="I448" i="1"/>
  <c r="I447" i="1"/>
  <c r="I446" i="1"/>
  <c r="I445" i="1"/>
  <c r="I444" i="1"/>
  <c r="I443" i="1"/>
  <c r="I442" i="1"/>
  <c r="I441" i="1"/>
  <c r="I440" i="1"/>
  <c r="I439" i="1"/>
  <c r="I438" i="1"/>
  <c r="I437" i="1"/>
  <c r="I436" i="1"/>
  <c r="I435" i="1"/>
  <c r="I434" i="1"/>
  <c r="I433" i="1"/>
  <c r="I432" i="1"/>
  <c r="I431" i="1"/>
  <c r="I430" i="1"/>
  <c r="I429" i="1"/>
  <c r="I428" i="1"/>
  <c r="I427" i="1"/>
  <c r="I426" i="1"/>
  <c r="I425" i="1"/>
  <c r="I424" i="1"/>
  <c r="I423" i="1"/>
  <c r="I422" i="1"/>
  <c r="I421" i="1"/>
  <c r="I420" i="1"/>
  <c r="I419" i="1"/>
  <c r="I418" i="1"/>
  <c r="I417" i="1"/>
  <c r="I416" i="1"/>
  <c r="I415" i="1"/>
  <c r="I414" i="1"/>
  <c r="I413" i="1"/>
  <c r="I412" i="1"/>
  <c r="I411" i="1"/>
  <c r="I410" i="1"/>
  <c r="I409" i="1"/>
  <c r="I408" i="1"/>
  <c r="I407" i="1"/>
  <c r="I406" i="1"/>
  <c r="I405" i="1"/>
  <c r="I404" i="1"/>
  <c r="I403" i="1"/>
  <c r="I402" i="1"/>
  <c r="I401" i="1"/>
  <c r="I400" i="1"/>
  <c r="I399" i="1"/>
  <c r="I398" i="1"/>
  <c r="I397" i="1"/>
  <c r="I396" i="1"/>
  <c r="I395" i="1"/>
  <c r="I394" i="1"/>
  <c r="I393" i="1"/>
  <c r="I392" i="1"/>
  <c r="I391" i="1"/>
  <c r="I390" i="1"/>
  <c r="I389" i="1"/>
  <c r="I388" i="1"/>
  <c r="I387" i="1"/>
  <c r="I386" i="1"/>
  <c r="I385" i="1"/>
  <c r="I384" i="1"/>
  <c r="I383" i="1"/>
  <c r="I382" i="1"/>
  <c r="I381" i="1"/>
  <c r="I380" i="1"/>
  <c r="I379" i="1"/>
  <c r="I378" i="1"/>
  <c r="I377" i="1"/>
  <c r="I376" i="1"/>
  <c r="I375" i="1"/>
  <c r="I374" i="1"/>
  <c r="I373" i="1"/>
  <c r="I372" i="1"/>
  <c r="I371" i="1"/>
  <c r="I370" i="1"/>
  <c r="I369" i="1"/>
  <c r="I368" i="1"/>
  <c r="I367" i="1"/>
  <c r="I366" i="1"/>
  <c r="I365" i="1"/>
  <c r="I364" i="1"/>
  <c r="I363" i="1"/>
  <c r="I362" i="1"/>
  <c r="I361" i="1"/>
  <c r="I360" i="1"/>
  <c r="I359" i="1"/>
  <c r="I358" i="1"/>
  <c r="I357" i="1"/>
  <c r="I356" i="1"/>
  <c r="I355" i="1"/>
  <c r="I354" i="1"/>
  <c r="I353" i="1"/>
  <c r="I352" i="1"/>
  <c r="I351" i="1"/>
  <c r="I350" i="1"/>
  <c r="I349" i="1"/>
  <c r="I348" i="1"/>
  <c r="I347" i="1"/>
  <c r="I346" i="1"/>
  <c r="I345" i="1"/>
  <c r="I344" i="1"/>
  <c r="I343" i="1"/>
  <c r="I342" i="1"/>
  <c r="I341" i="1"/>
  <c r="I340" i="1"/>
  <c r="I339" i="1"/>
  <c r="I338" i="1"/>
  <c r="I337" i="1"/>
  <c r="I336" i="1"/>
  <c r="I335" i="1"/>
  <c r="I334" i="1"/>
  <c r="I333" i="1"/>
  <c r="I332" i="1"/>
  <c r="I331" i="1"/>
  <c r="C331" i="1" s="1"/>
  <c r="I330" i="1"/>
  <c r="I329" i="1"/>
  <c r="C329" i="1" s="1"/>
  <c r="I328" i="1"/>
  <c r="I327" i="1"/>
  <c r="C327" i="1" s="1"/>
  <c r="I326" i="1"/>
  <c r="I325" i="1"/>
  <c r="C325" i="1" s="1"/>
  <c r="I324" i="1"/>
  <c r="I323" i="1"/>
  <c r="C323" i="1" s="1"/>
  <c r="I322" i="1"/>
  <c r="I321" i="1"/>
  <c r="C321" i="1" s="1"/>
  <c r="I320" i="1"/>
  <c r="I319" i="1"/>
  <c r="C319" i="1" s="1"/>
  <c r="I318" i="1"/>
  <c r="I317" i="1"/>
  <c r="I316" i="1"/>
  <c r="I315" i="1"/>
  <c r="C315" i="1" s="1"/>
  <c r="I314" i="1"/>
  <c r="I313" i="1"/>
  <c r="C313" i="1" s="1"/>
  <c r="I312" i="1"/>
  <c r="I311" i="1"/>
  <c r="C311" i="1" s="1"/>
  <c r="I310" i="1"/>
  <c r="I309" i="1"/>
  <c r="I308" i="1"/>
  <c r="I307" i="1"/>
  <c r="C307" i="1" s="1"/>
  <c r="I306" i="1"/>
  <c r="I305" i="1"/>
  <c r="I304" i="1"/>
  <c r="I303" i="1"/>
  <c r="C303" i="1" s="1"/>
  <c r="I302" i="1"/>
  <c r="I301" i="1"/>
  <c r="C301" i="1" s="1"/>
  <c r="I300" i="1"/>
  <c r="I299" i="1"/>
  <c r="C299" i="1" s="1"/>
  <c r="I298" i="1"/>
  <c r="I297" i="1"/>
  <c r="C297" i="1" s="1"/>
  <c r="I296" i="1"/>
  <c r="I295" i="1"/>
  <c r="C295" i="1" s="1"/>
  <c r="I294" i="1"/>
  <c r="I293" i="1"/>
  <c r="I292" i="1"/>
  <c r="I291" i="1"/>
  <c r="C291" i="1" s="1"/>
  <c r="I290" i="1"/>
  <c r="I289" i="1"/>
  <c r="C289" i="1" s="1"/>
  <c r="I288" i="1"/>
  <c r="I287" i="1"/>
  <c r="C287" i="1" s="1"/>
  <c r="I286" i="1"/>
  <c r="I285" i="1"/>
  <c r="C285" i="1" s="1"/>
  <c r="I284" i="1"/>
  <c r="I283" i="1"/>
  <c r="C283" i="1" s="1"/>
  <c r="I282" i="1"/>
  <c r="I281" i="1"/>
  <c r="C281" i="1" s="1"/>
  <c r="I280" i="1"/>
  <c r="I279" i="1"/>
  <c r="C279" i="1" s="1"/>
  <c r="I278" i="1"/>
  <c r="I277" i="1"/>
  <c r="C277" i="1" s="1"/>
  <c r="I276" i="1"/>
  <c r="I275" i="1"/>
  <c r="C275" i="1" s="1"/>
  <c r="I274" i="1"/>
  <c r="I273" i="1"/>
  <c r="I272" i="1"/>
  <c r="I271" i="1"/>
  <c r="C271" i="1" s="1"/>
  <c r="I270" i="1"/>
  <c r="I269" i="1"/>
  <c r="C269" i="1" s="1"/>
  <c r="I268" i="1"/>
  <c r="I267" i="1"/>
  <c r="C267" i="1" s="1"/>
  <c r="I266" i="1"/>
  <c r="I265" i="1"/>
  <c r="C265" i="1" s="1"/>
  <c r="I264" i="1"/>
  <c r="I263" i="1"/>
  <c r="C263" i="1" s="1"/>
  <c r="I262" i="1"/>
  <c r="I261" i="1"/>
  <c r="C261" i="1" s="1"/>
  <c r="I260" i="1"/>
  <c r="I259" i="1"/>
  <c r="C259" i="1" s="1"/>
  <c r="I258" i="1"/>
  <c r="I257" i="1"/>
  <c r="I256" i="1"/>
  <c r="I255" i="1"/>
  <c r="C255" i="1" s="1"/>
  <c r="I254" i="1"/>
  <c r="I253" i="1"/>
  <c r="C253" i="1" s="1"/>
  <c r="I252" i="1"/>
  <c r="I251" i="1"/>
  <c r="C251" i="1" s="1"/>
  <c r="I250" i="1"/>
  <c r="I249" i="1"/>
  <c r="C249" i="1" s="1"/>
  <c r="I248" i="1"/>
  <c r="I247" i="1"/>
  <c r="C247" i="1" s="1"/>
  <c r="I246" i="1"/>
  <c r="I245" i="1"/>
  <c r="C245" i="1" s="1"/>
  <c r="I244" i="1"/>
  <c r="I243" i="1"/>
  <c r="C243" i="1" s="1"/>
  <c r="I242" i="1"/>
  <c r="I241" i="1"/>
  <c r="C241" i="1" s="1"/>
  <c r="I240" i="1"/>
  <c r="I239" i="1"/>
  <c r="C239" i="1" s="1"/>
  <c r="I238" i="1"/>
  <c r="I237" i="1"/>
  <c r="C237" i="1" s="1"/>
  <c r="I236" i="1"/>
  <c r="I235" i="1"/>
  <c r="C235" i="1" s="1"/>
  <c r="I234" i="1"/>
  <c r="I233" i="1"/>
  <c r="C233" i="1" s="1"/>
  <c r="I232" i="1"/>
  <c r="I231" i="1"/>
  <c r="C231" i="1" s="1"/>
  <c r="I230" i="1"/>
  <c r="I229" i="1"/>
  <c r="C229" i="1" s="1"/>
  <c r="I228" i="1"/>
  <c r="I227" i="1"/>
  <c r="C227" i="1" s="1"/>
  <c r="I226" i="1"/>
  <c r="I225" i="1"/>
  <c r="I224" i="1"/>
  <c r="I223" i="1"/>
  <c r="C223" i="1" s="1"/>
  <c r="I222" i="1"/>
  <c r="I221" i="1"/>
  <c r="I220" i="1"/>
  <c r="I219" i="1"/>
  <c r="C219" i="1" s="1"/>
  <c r="I218" i="1"/>
  <c r="I217" i="1"/>
  <c r="C217" i="1" s="1"/>
  <c r="I216" i="1"/>
  <c r="I215" i="1"/>
  <c r="C215" i="1" s="1"/>
  <c r="I214" i="1"/>
  <c r="I213" i="1"/>
  <c r="C213" i="1" s="1"/>
  <c r="I212" i="1"/>
  <c r="I211" i="1"/>
  <c r="C211" i="1" s="1"/>
  <c r="I210" i="1"/>
  <c r="I209" i="1"/>
  <c r="C209" i="1" s="1"/>
  <c r="I208" i="1"/>
  <c r="I207" i="1"/>
  <c r="C207" i="1" s="1"/>
  <c r="I206" i="1"/>
  <c r="I205" i="1"/>
  <c r="C205" i="1" s="1"/>
  <c r="I204" i="1"/>
  <c r="I203" i="1"/>
  <c r="C203" i="1" s="1"/>
  <c r="I202" i="1"/>
  <c r="I201" i="1"/>
  <c r="C201" i="1" s="1"/>
  <c r="I200" i="1"/>
  <c r="I199" i="1"/>
  <c r="I198" i="1"/>
  <c r="I197" i="1"/>
  <c r="I196" i="1"/>
  <c r="I195" i="1"/>
  <c r="I194" i="1"/>
  <c r="I193" i="1"/>
  <c r="C193" i="1" s="1"/>
  <c r="I192" i="1"/>
  <c r="I191" i="1"/>
  <c r="I190" i="1"/>
  <c r="I189" i="1"/>
  <c r="C189" i="1" s="1"/>
  <c r="I188" i="1"/>
  <c r="I187" i="1"/>
  <c r="I186" i="1"/>
  <c r="I185" i="1"/>
  <c r="C185" i="1" s="1"/>
  <c r="I184" i="1"/>
  <c r="I183" i="1"/>
  <c r="I182" i="1"/>
  <c r="I181" i="1"/>
  <c r="C181" i="1" s="1"/>
  <c r="I180" i="1"/>
  <c r="I179" i="1"/>
  <c r="I178" i="1"/>
  <c r="I177" i="1"/>
  <c r="C177" i="1" s="1"/>
  <c r="I176" i="1"/>
  <c r="I175" i="1"/>
  <c r="I174" i="1"/>
  <c r="I173" i="1"/>
  <c r="I172" i="1"/>
  <c r="I171" i="1"/>
  <c r="I170" i="1"/>
  <c r="I169" i="1"/>
  <c r="C169" i="1" s="1"/>
  <c r="I168" i="1"/>
  <c r="I167" i="1"/>
  <c r="I166" i="1"/>
  <c r="I165" i="1"/>
  <c r="C165" i="1" s="1"/>
  <c r="I164" i="1"/>
  <c r="I163" i="1"/>
  <c r="I162" i="1"/>
  <c r="I161" i="1"/>
  <c r="C161" i="1" s="1"/>
  <c r="I160" i="1"/>
  <c r="I159" i="1"/>
  <c r="I158" i="1"/>
  <c r="I157" i="1"/>
  <c r="C157" i="1" s="1"/>
  <c r="I156" i="1"/>
  <c r="I155" i="1"/>
  <c r="I154" i="1"/>
  <c r="I153" i="1"/>
  <c r="C153" i="1" s="1"/>
  <c r="I152" i="1"/>
  <c r="I151" i="1"/>
  <c r="I150" i="1"/>
  <c r="I149" i="1"/>
  <c r="C149" i="1" s="1"/>
  <c r="I148" i="1"/>
  <c r="I147" i="1"/>
  <c r="I146" i="1"/>
  <c r="I145" i="1"/>
  <c r="C145" i="1" s="1"/>
  <c r="I144" i="1"/>
  <c r="I143" i="1"/>
  <c r="I142" i="1"/>
  <c r="I141" i="1"/>
  <c r="C141" i="1" s="1"/>
  <c r="I140" i="1"/>
  <c r="I139" i="1"/>
  <c r="I138" i="1"/>
  <c r="I137" i="1"/>
  <c r="C137" i="1" s="1"/>
  <c r="I136" i="1"/>
  <c r="I135" i="1"/>
  <c r="I134" i="1"/>
  <c r="I133" i="1"/>
  <c r="C133" i="1" s="1"/>
  <c r="I132" i="1"/>
  <c r="I131" i="1"/>
  <c r="I130" i="1"/>
  <c r="I129" i="1"/>
  <c r="C129" i="1" s="1"/>
  <c r="I128" i="1"/>
  <c r="I127" i="1"/>
  <c r="I126" i="1"/>
  <c r="I125" i="1"/>
  <c r="I124" i="1"/>
  <c r="I123" i="1"/>
  <c r="I122" i="1"/>
  <c r="I121" i="1"/>
  <c r="I120" i="1"/>
  <c r="I119" i="1"/>
  <c r="I118" i="1"/>
  <c r="I117" i="1"/>
  <c r="I116" i="1"/>
  <c r="I115" i="1"/>
  <c r="I114" i="1"/>
  <c r="I113" i="1"/>
  <c r="I112" i="1"/>
  <c r="I111" i="1"/>
  <c r="I110" i="1"/>
  <c r="I109" i="1"/>
  <c r="I108" i="1"/>
  <c r="I107" i="1"/>
  <c r="I106" i="1"/>
  <c r="I105" i="1"/>
  <c r="I104" i="1"/>
  <c r="I103" i="1"/>
  <c r="I102" i="1"/>
  <c r="I101" i="1"/>
  <c r="I100" i="1"/>
  <c r="I99" i="1"/>
  <c r="I98" i="1"/>
  <c r="I97" i="1"/>
  <c r="I96" i="1"/>
  <c r="I95" i="1"/>
  <c r="I94" i="1"/>
  <c r="I93" i="1"/>
  <c r="I92" i="1"/>
  <c r="I91" i="1"/>
  <c r="I90" i="1"/>
  <c r="I89" i="1"/>
  <c r="I88" i="1"/>
  <c r="I87" i="1"/>
  <c r="I86" i="1"/>
  <c r="I85" i="1"/>
  <c r="I84" i="1"/>
  <c r="I83" i="1"/>
  <c r="I82" i="1"/>
  <c r="I81" i="1"/>
  <c r="I80" i="1"/>
  <c r="I79" i="1"/>
  <c r="I78" i="1"/>
  <c r="I77" i="1"/>
  <c r="I76" i="1"/>
  <c r="I75" i="1"/>
  <c r="I74" i="1"/>
  <c r="I73" i="1"/>
  <c r="I72" i="1"/>
  <c r="I71" i="1"/>
  <c r="I70" i="1"/>
  <c r="I69" i="1"/>
  <c r="C69" i="1" s="1"/>
  <c r="I68" i="1"/>
  <c r="I67" i="1"/>
  <c r="C67" i="1" s="1"/>
  <c r="I66" i="1"/>
  <c r="I65" i="1"/>
  <c r="C65" i="1" s="1"/>
  <c r="I64" i="1"/>
  <c r="I63" i="1"/>
  <c r="C63" i="1" s="1"/>
  <c r="I62" i="1"/>
  <c r="I61" i="1"/>
  <c r="C61" i="1" s="1"/>
  <c r="I60" i="1"/>
  <c r="I59" i="1"/>
  <c r="C59" i="1" s="1"/>
  <c r="I58" i="1"/>
  <c r="I57" i="1"/>
  <c r="C57" i="1" s="1"/>
  <c r="I56" i="1"/>
  <c r="I55" i="1"/>
  <c r="C55" i="1" s="1"/>
  <c r="I54" i="1"/>
  <c r="I53" i="1"/>
  <c r="C53" i="1" s="1"/>
  <c r="I52" i="1"/>
  <c r="I51" i="1"/>
  <c r="C51" i="1" s="1"/>
  <c r="I50" i="1"/>
  <c r="I49" i="1"/>
  <c r="C49" i="1" s="1"/>
  <c r="I48" i="1"/>
  <c r="I47" i="1"/>
  <c r="C47" i="1" s="1"/>
  <c r="I46" i="1"/>
  <c r="I45" i="1"/>
  <c r="C45" i="1" s="1"/>
  <c r="I44" i="1"/>
  <c r="I43" i="1"/>
  <c r="C43" i="1" s="1"/>
  <c r="I42" i="1"/>
  <c r="I41" i="1"/>
  <c r="C41" i="1" s="1"/>
  <c r="I40" i="1"/>
  <c r="I39" i="1"/>
  <c r="C39" i="1" s="1"/>
  <c r="I38" i="1"/>
  <c r="I37" i="1"/>
  <c r="C37" i="1" s="1"/>
  <c r="I36" i="1"/>
  <c r="I35" i="1"/>
  <c r="C35" i="1" s="1"/>
  <c r="I34" i="1"/>
  <c r="I33" i="1"/>
  <c r="C33" i="1" s="1"/>
  <c r="I32" i="1"/>
  <c r="I31" i="1"/>
  <c r="C31" i="1" s="1"/>
  <c r="I30" i="1"/>
  <c r="I29" i="1"/>
  <c r="C29" i="1" s="1"/>
  <c r="I28" i="1"/>
  <c r="I27" i="1"/>
  <c r="C27" i="1" s="1"/>
  <c r="I26" i="1"/>
  <c r="I25" i="1"/>
  <c r="C25" i="1" s="1"/>
  <c r="I24" i="1"/>
  <c r="I23" i="1"/>
  <c r="C23" i="1" s="1"/>
  <c r="I22" i="1"/>
  <c r="I21" i="1"/>
  <c r="C21" i="1" s="1"/>
  <c r="I20" i="1"/>
  <c r="I19" i="1"/>
  <c r="C19" i="1" s="1"/>
  <c r="I18" i="1"/>
  <c r="I17" i="1"/>
  <c r="C17" i="1" s="1"/>
  <c r="I16" i="1"/>
  <c r="I15" i="1"/>
  <c r="C15" i="1" s="1"/>
  <c r="I14" i="1"/>
  <c r="I13" i="1"/>
  <c r="C13" i="1" s="1"/>
  <c r="I12" i="1"/>
  <c r="I11" i="1"/>
  <c r="C11" i="1" s="1"/>
  <c r="I10" i="1"/>
  <c r="I9" i="1"/>
  <c r="C9" i="1" s="1"/>
  <c r="I8" i="1"/>
  <c r="I7" i="1"/>
  <c r="C7" i="1" s="1"/>
  <c r="I6" i="1"/>
  <c r="I5" i="1"/>
  <c r="C5" i="1" s="1"/>
  <c r="I4" i="1"/>
  <c r="I3" i="1"/>
  <c r="C3" i="1" s="1"/>
  <c r="C317" i="1"/>
  <c r="C309" i="1"/>
  <c r="C305" i="1"/>
  <c r="C293" i="1"/>
  <c r="C273" i="1"/>
  <c r="C257" i="1"/>
  <c r="C225" i="1"/>
  <c r="C221" i="1"/>
  <c r="C197" i="1"/>
  <c r="C173" i="1"/>
  <c r="C333" i="1" l="1"/>
  <c r="C335" i="1"/>
  <c r="C337" i="1"/>
  <c r="C339" i="1"/>
  <c r="C341" i="1"/>
  <c r="C343" i="1"/>
  <c r="C345" i="1"/>
  <c r="C347" i="1"/>
  <c r="C349" i="1"/>
  <c r="C351" i="1"/>
  <c r="C353" i="1"/>
  <c r="C355" i="1"/>
  <c r="C357" i="1"/>
  <c r="C359" i="1"/>
  <c r="C361" i="1"/>
  <c r="C363" i="1"/>
  <c r="C365" i="1"/>
  <c r="C367" i="1"/>
  <c r="C369" i="1"/>
  <c r="C371" i="1"/>
  <c r="C373" i="1"/>
  <c r="C375" i="1"/>
  <c r="C377" i="1"/>
  <c r="C379" i="1"/>
  <c r="C381" i="1"/>
  <c r="C383" i="1"/>
  <c r="C385" i="1"/>
  <c r="C387" i="1"/>
  <c r="C389" i="1"/>
  <c r="C391" i="1"/>
  <c r="C393" i="1"/>
  <c r="C395" i="1"/>
  <c r="C397" i="1"/>
  <c r="C399" i="1"/>
  <c r="C401" i="1"/>
  <c r="C403" i="1"/>
  <c r="C405" i="1"/>
  <c r="C407" i="1"/>
  <c r="C409" i="1"/>
  <c r="C411" i="1"/>
  <c r="C413" i="1"/>
  <c r="C415" i="1"/>
  <c r="C417" i="1"/>
  <c r="C419" i="1"/>
  <c r="C421" i="1"/>
  <c r="C423" i="1"/>
  <c r="C425" i="1"/>
  <c r="C427" i="1"/>
  <c r="C429" i="1"/>
  <c r="C431" i="1"/>
  <c r="C433" i="1"/>
  <c r="C435" i="1"/>
  <c r="C437" i="1"/>
  <c r="C439" i="1"/>
  <c r="C441" i="1"/>
  <c r="C443" i="1"/>
  <c r="C445" i="1"/>
  <c r="C447" i="1"/>
  <c r="C449" i="1"/>
  <c r="C451" i="1"/>
  <c r="C453" i="1"/>
  <c r="C455" i="1"/>
  <c r="C457" i="1"/>
  <c r="C459" i="1"/>
  <c r="C461" i="1"/>
  <c r="C463" i="1"/>
  <c r="C465" i="1"/>
  <c r="C467" i="1"/>
  <c r="C469" i="1"/>
  <c r="C471" i="1"/>
  <c r="C473" i="1"/>
  <c r="C475" i="1"/>
  <c r="C477" i="1"/>
  <c r="C479" i="1"/>
  <c r="C481" i="1"/>
  <c r="C483" i="1"/>
  <c r="C485" i="1"/>
  <c r="C487" i="1"/>
  <c r="C489" i="1"/>
  <c r="C491" i="1"/>
  <c r="C493" i="1"/>
  <c r="C495" i="1"/>
  <c r="C497" i="1"/>
  <c r="C499" i="1"/>
  <c r="C501" i="1"/>
  <c r="C422" i="1"/>
  <c r="C426" i="1"/>
  <c r="C430" i="1"/>
  <c r="C434" i="1"/>
  <c r="C438" i="1"/>
  <c r="C442" i="1"/>
  <c r="C446" i="1"/>
  <c r="C450" i="1"/>
  <c r="C454" i="1"/>
  <c r="C458" i="1"/>
  <c r="C462" i="1"/>
  <c r="C466" i="1"/>
  <c r="C470" i="1"/>
  <c r="C474" i="1"/>
  <c r="C478" i="1"/>
  <c r="C482" i="1"/>
  <c r="C486" i="1"/>
  <c r="C490" i="1"/>
  <c r="C494" i="1"/>
  <c r="C498" i="1"/>
  <c r="C502" i="1"/>
  <c r="C424" i="1"/>
  <c r="C432" i="1"/>
  <c r="C440" i="1"/>
  <c r="C452" i="1"/>
  <c r="C460" i="1"/>
  <c r="C472" i="1"/>
  <c r="C480" i="1"/>
  <c r="C488" i="1"/>
  <c r="C496" i="1"/>
  <c r="C420" i="1"/>
  <c r="C428" i="1"/>
  <c r="C436" i="1"/>
  <c r="C444" i="1"/>
  <c r="C448" i="1"/>
  <c r="C456" i="1"/>
  <c r="C464" i="1"/>
  <c r="C468" i="1"/>
  <c r="C476" i="1"/>
  <c r="C484" i="1"/>
  <c r="C492" i="1"/>
  <c r="C500" i="1"/>
  <c r="C4" i="1"/>
  <c r="C6" i="1"/>
  <c r="C8" i="1"/>
  <c r="C10" i="1"/>
  <c r="C12" i="1"/>
  <c r="C14" i="1"/>
  <c r="C16" i="1"/>
  <c r="C18" i="1"/>
  <c r="C20" i="1"/>
  <c r="C22" i="1"/>
  <c r="C24" i="1"/>
  <c r="C26" i="1"/>
  <c r="C28" i="1"/>
  <c r="C30" i="1"/>
  <c r="C32" i="1"/>
  <c r="C34" i="1"/>
  <c r="C36" i="1"/>
  <c r="C38" i="1"/>
  <c r="C40" i="1"/>
  <c r="C42" i="1"/>
  <c r="C44" i="1"/>
  <c r="C46" i="1"/>
  <c r="C48" i="1"/>
  <c r="C50" i="1"/>
  <c r="C52" i="1"/>
  <c r="C54" i="1"/>
  <c r="C56" i="1"/>
  <c r="C58" i="1"/>
  <c r="C60" i="1"/>
  <c r="C62" i="1"/>
  <c r="C64" i="1"/>
  <c r="C68" i="1"/>
  <c r="C72" i="1"/>
  <c r="C76" i="1"/>
  <c r="C80" i="1"/>
  <c r="C84" i="1"/>
  <c r="C88" i="1"/>
  <c r="C92" i="1"/>
  <c r="C96" i="1"/>
  <c r="C100" i="1"/>
  <c r="C104" i="1"/>
  <c r="C108" i="1"/>
  <c r="C112" i="1"/>
  <c r="C116" i="1"/>
  <c r="C120" i="1"/>
  <c r="C124" i="1"/>
  <c r="C126" i="1"/>
  <c r="C128" i="1"/>
  <c r="C130" i="1"/>
  <c r="C132" i="1"/>
  <c r="C134" i="1"/>
  <c r="C136" i="1"/>
  <c r="C138" i="1"/>
  <c r="C140" i="1"/>
  <c r="C142" i="1"/>
  <c r="C144" i="1"/>
  <c r="C146" i="1"/>
  <c r="C148" i="1"/>
  <c r="C150" i="1"/>
  <c r="C152" i="1"/>
  <c r="C154" i="1"/>
  <c r="C156" i="1"/>
  <c r="C158" i="1"/>
  <c r="C160" i="1"/>
  <c r="C162" i="1"/>
  <c r="C164" i="1"/>
  <c r="C166" i="1"/>
  <c r="C168" i="1"/>
  <c r="C170" i="1"/>
  <c r="C172" i="1"/>
  <c r="C174" i="1"/>
  <c r="C176" i="1"/>
  <c r="C178" i="1"/>
  <c r="C180" i="1"/>
  <c r="C182" i="1"/>
  <c r="C184" i="1"/>
  <c r="C186" i="1"/>
  <c r="C188" i="1"/>
  <c r="C190" i="1"/>
  <c r="C192" i="1"/>
  <c r="C194" i="1"/>
  <c r="C196" i="1"/>
  <c r="C198" i="1"/>
  <c r="C200" i="1"/>
  <c r="C202" i="1"/>
  <c r="C204" i="1"/>
  <c r="C206" i="1"/>
  <c r="C208" i="1"/>
  <c r="C210" i="1"/>
  <c r="C212" i="1"/>
  <c r="C214" i="1"/>
  <c r="C216" i="1"/>
  <c r="C218" i="1"/>
  <c r="C220" i="1"/>
  <c r="C222" i="1"/>
  <c r="C224" i="1"/>
  <c r="C226" i="1"/>
  <c r="C228" i="1"/>
  <c r="C230" i="1"/>
  <c r="C232" i="1"/>
  <c r="C234" i="1"/>
  <c r="C236" i="1"/>
  <c r="C238" i="1"/>
  <c r="C240" i="1"/>
  <c r="C242" i="1"/>
  <c r="C244" i="1"/>
  <c r="C246" i="1"/>
  <c r="C248" i="1"/>
  <c r="C250" i="1"/>
  <c r="C252" i="1"/>
  <c r="C254" i="1"/>
  <c r="C256" i="1"/>
  <c r="C258" i="1"/>
  <c r="C260" i="1"/>
  <c r="C262" i="1"/>
  <c r="C264" i="1"/>
  <c r="C266" i="1"/>
  <c r="C268" i="1"/>
  <c r="C270" i="1"/>
  <c r="C272" i="1"/>
  <c r="C274" i="1"/>
  <c r="C276" i="1"/>
  <c r="C278" i="1"/>
  <c r="C280" i="1"/>
  <c r="C282" i="1"/>
  <c r="C284" i="1"/>
  <c r="C286" i="1"/>
  <c r="C288" i="1"/>
  <c r="C290" i="1"/>
  <c r="C292" i="1"/>
  <c r="C294" i="1"/>
  <c r="C296" i="1"/>
  <c r="C298" i="1"/>
  <c r="C300" i="1"/>
  <c r="C302" i="1"/>
  <c r="C304" i="1"/>
  <c r="C306" i="1"/>
  <c r="C308" i="1"/>
  <c r="C310" i="1"/>
  <c r="C312" i="1"/>
  <c r="C314" i="1"/>
  <c r="C316" i="1"/>
  <c r="C318" i="1"/>
  <c r="C320" i="1"/>
  <c r="C322" i="1"/>
  <c r="C324" i="1"/>
  <c r="C326" i="1"/>
  <c r="C328" i="1"/>
  <c r="C330" i="1"/>
  <c r="C332" i="1"/>
  <c r="C334" i="1"/>
  <c r="C336" i="1"/>
  <c r="C338" i="1"/>
  <c r="C340" i="1"/>
  <c r="C342" i="1"/>
  <c r="C344" i="1"/>
  <c r="C346" i="1"/>
  <c r="C348" i="1"/>
  <c r="C350" i="1"/>
  <c r="C352" i="1"/>
  <c r="C354" i="1"/>
  <c r="C356" i="1"/>
  <c r="C358" i="1"/>
  <c r="C360" i="1"/>
  <c r="C362" i="1"/>
  <c r="C364" i="1"/>
  <c r="C366" i="1"/>
  <c r="C368" i="1"/>
  <c r="C370" i="1"/>
  <c r="C372" i="1"/>
  <c r="C374" i="1"/>
  <c r="C376" i="1"/>
  <c r="C378" i="1"/>
  <c r="C380" i="1"/>
  <c r="C382" i="1"/>
  <c r="C384" i="1"/>
  <c r="C386" i="1"/>
  <c r="C388" i="1"/>
  <c r="C390" i="1"/>
  <c r="C392" i="1"/>
  <c r="C394" i="1"/>
  <c r="C396" i="1"/>
  <c r="C398" i="1"/>
  <c r="C400" i="1"/>
  <c r="C402" i="1"/>
  <c r="C404" i="1"/>
  <c r="C406" i="1"/>
  <c r="C408" i="1"/>
  <c r="C410" i="1"/>
  <c r="C412" i="1"/>
  <c r="C414" i="1"/>
  <c r="C416" i="1"/>
  <c r="C418" i="1"/>
  <c r="C71" i="1"/>
  <c r="C73" i="1"/>
  <c r="C75" i="1"/>
  <c r="C77" i="1"/>
  <c r="C79" i="1"/>
  <c r="C81" i="1"/>
  <c r="C83" i="1"/>
  <c r="C85" i="1"/>
  <c r="C87" i="1"/>
  <c r="C89" i="1"/>
  <c r="C91" i="1"/>
  <c r="C93" i="1"/>
  <c r="C95" i="1"/>
  <c r="C97" i="1"/>
  <c r="C99" i="1"/>
  <c r="C101" i="1"/>
  <c r="C103" i="1"/>
  <c r="C105" i="1"/>
  <c r="C107" i="1"/>
  <c r="C109" i="1"/>
  <c r="C111" i="1"/>
  <c r="C113" i="1"/>
  <c r="C115" i="1"/>
  <c r="C117" i="1"/>
  <c r="C119" i="1"/>
  <c r="C121" i="1"/>
  <c r="C123" i="1"/>
  <c r="C125" i="1"/>
  <c r="C127" i="1"/>
  <c r="C131" i="1"/>
  <c r="C135" i="1"/>
  <c r="C139" i="1"/>
  <c r="C143" i="1"/>
  <c r="C147" i="1"/>
  <c r="C151" i="1"/>
  <c r="C155" i="1"/>
  <c r="C159" i="1"/>
  <c r="C163" i="1"/>
  <c r="C167" i="1"/>
  <c r="C171" i="1"/>
  <c r="C175" i="1"/>
  <c r="C179" i="1"/>
  <c r="C183" i="1"/>
  <c r="C187" i="1"/>
  <c r="C191" i="1"/>
  <c r="C195" i="1"/>
  <c r="C199" i="1"/>
  <c r="C66" i="1"/>
  <c r="C70" i="1"/>
  <c r="C74" i="1"/>
  <c r="C78" i="1"/>
  <c r="C82" i="1"/>
  <c r="C86" i="1"/>
  <c r="C90" i="1"/>
  <c r="C94" i="1"/>
  <c r="C98" i="1"/>
  <c r="C102" i="1"/>
  <c r="C106" i="1"/>
  <c r="C110" i="1"/>
  <c r="C114" i="1"/>
  <c r="C118" i="1"/>
  <c r="C122" i="1"/>
  <c r="C36" i="2"/>
  <c r="C35" i="2"/>
  <c r="B12" i="1"/>
  <c r="B24" i="1"/>
  <c r="B36" i="1"/>
  <c r="B48" i="1"/>
  <c r="B60" i="1"/>
  <c r="B72" i="1"/>
  <c r="B84" i="1"/>
  <c r="B96" i="1"/>
  <c r="B108" i="1"/>
  <c r="B120" i="1"/>
  <c r="B132" i="1"/>
  <c r="B144" i="1"/>
  <c r="B156" i="1"/>
  <c r="B168" i="1"/>
  <c r="B180" i="1"/>
  <c r="B192" i="1"/>
  <c r="B204" i="1"/>
  <c r="B216" i="1"/>
  <c r="B228" i="1"/>
  <c r="B240" i="1"/>
  <c r="B252" i="1"/>
  <c r="B264" i="1"/>
  <c r="B276" i="1"/>
  <c r="B288" i="1"/>
  <c r="B300" i="1"/>
  <c r="B312" i="1"/>
  <c r="B324" i="1"/>
  <c r="B336" i="1"/>
  <c r="B348" i="1"/>
  <c r="B360" i="1"/>
  <c r="B372" i="1"/>
  <c r="B384" i="1"/>
  <c r="B396" i="1"/>
  <c r="B408" i="1"/>
  <c r="B420" i="1"/>
  <c r="B432" i="1"/>
  <c r="B444" i="1"/>
  <c r="B456" i="1"/>
  <c r="B468" i="1"/>
  <c r="B480" i="1"/>
  <c r="B492" i="1"/>
  <c r="E36" i="2" l="1"/>
  <c r="E37" i="2"/>
  <c r="E39" i="2"/>
  <c r="B417" i="1"/>
  <c r="B405" i="1"/>
  <c r="B393" i="1"/>
  <c r="B381" i="1"/>
  <c r="B369" i="1"/>
  <c r="B357" i="1"/>
  <c r="B345" i="1"/>
  <c r="B333" i="1"/>
  <c r="B321" i="1"/>
  <c r="B309" i="1"/>
  <c r="B297" i="1"/>
  <c r="B285" i="1"/>
  <c r="B273" i="1"/>
  <c r="B261" i="1"/>
  <c r="B249" i="1"/>
  <c r="B237" i="1"/>
  <c r="B225" i="1"/>
  <c r="B213" i="1"/>
  <c r="B201" i="1"/>
  <c r="B189" i="1"/>
  <c r="B177" i="1"/>
  <c r="B165" i="1"/>
  <c r="B153" i="1"/>
  <c r="B141" i="1"/>
  <c r="B129" i="1"/>
  <c r="B117" i="1"/>
  <c r="B105" i="1"/>
  <c r="B93" i="1"/>
  <c r="B81" i="1"/>
  <c r="B69" i="1"/>
  <c r="B57" i="1"/>
  <c r="B45" i="1"/>
  <c r="B33" i="1"/>
  <c r="B21" i="1"/>
  <c r="B9" i="1"/>
  <c r="B397" i="1"/>
  <c r="B361" i="1"/>
  <c r="B472" i="1"/>
  <c r="B448" i="1"/>
  <c r="B424" i="1"/>
  <c r="B412" i="1"/>
  <c r="B400" i="1"/>
  <c r="B388" i="1"/>
  <c r="B376" i="1"/>
  <c r="B364" i="1"/>
  <c r="B352" i="1"/>
  <c r="B340" i="1"/>
  <c r="B328" i="1"/>
  <c r="B316" i="1"/>
  <c r="B304" i="1"/>
  <c r="B292" i="1"/>
  <c r="B280" i="1"/>
  <c r="B268" i="1"/>
  <c r="B256" i="1"/>
  <c r="B244" i="1"/>
  <c r="B232" i="1"/>
  <c r="B220" i="1"/>
  <c r="B208" i="1"/>
  <c r="B196" i="1"/>
  <c r="B184" i="1"/>
  <c r="B172" i="1"/>
  <c r="B160" i="1"/>
  <c r="B148" i="1"/>
  <c r="B136" i="1"/>
  <c r="B124" i="1"/>
  <c r="B112" i="1"/>
  <c r="B100" i="1"/>
  <c r="B88" i="1"/>
  <c r="B76" i="1"/>
  <c r="B64" i="1"/>
  <c r="B52" i="1"/>
  <c r="B40" i="1"/>
  <c r="B28" i="1"/>
  <c r="B16" i="1"/>
  <c r="B4" i="1"/>
  <c r="B496" i="1"/>
  <c r="B460" i="1"/>
  <c r="B436" i="1"/>
  <c r="B484" i="1"/>
  <c r="B409" i="1"/>
  <c r="B385" i="1"/>
  <c r="B373" i="1"/>
  <c r="B349" i="1"/>
  <c r="B337" i="1"/>
  <c r="B325" i="1"/>
  <c r="B313" i="1"/>
  <c r="B301" i="1"/>
  <c r="B289" i="1"/>
  <c r="B277" i="1"/>
  <c r="B265" i="1"/>
  <c r="B253" i="1"/>
  <c r="B241" i="1"/>
  <c r="B229" i="1"/>
  <c r="B217" i="1"/>
  <c r="B205" i="1"/>
  <c r="B193" i="1"/>
  <c r="B181" i="1"/>
  <c r="B169" i="1"/>
  <c r="B157" i="1"/>
  <c r="B145" i="1"/>
  <c r="B133" i="1"/>
  <c r="B121" i="1"/>
  <c r="B109" i="1"/>
  <c r="B97" i="1"/>
  <c r="B85" i="1"/>
  <c r="B73" i="1"/>
  <c r="B61" i="1"/>
  <c r="B49" i="1"/>
  <c r="B37" i="1"/>
  <c r="B25" i="1"/>
  <c r="B13" i="1"/>
  <c r="B500" i="1"/>
  <c r="B488" i="1"/>
  <c r="B476" i="1"/>
  <c r="B464" i="1"/>
  <c r="B452" i="1"/>
  <c r="B440" i="1"/>
  <c r="B428" i="1"/>
  <c r="B416" i="1"/>
  <c r="B404" i="1"/>
  <c r="B392" i="1"/>
  <c r="B380" i="1"/>
  <c r="B368" i="1"/>
  <c r="B356" i="1"/>
  <c r="B344" i="1"/>
  <c r="B332" i="1"/>
  <c r="B320" i="1"/>
  <c r="B308" i="1"/>
  <c r="B296" i="1"/>
  <c r="B284" i="1"/>
  <c r="B272" i="1"/>
  <c r="B260" i="1"/>
  <c r="B248" i="1"/>
  <c r="B236" i="1"/>
  <c r="B224" i="1"/>
  <c r="B212" i="1"/>
  <c r="B200" i="1"/>
  <c r="B188" i="1"/>
  <c r="B176" i="1"/>
  <c r="B164" i="1"/>
  <c r="B152" i="1"/>
  <c r="B140" i="1"/>
  <c r="B128" i="1"/>
  <c r="B116" i="1"/>
  <c r="B104" i="1"/>
  <c r="B92" i="1"/>
  <c r="B80" i="1"/>
  <c r="B68" i="1"/>
  <c r="B56" i="1"/>
  <c r="B44" i="1"/>
  <c r="B32" i="1"/>
  <c r="B20" i="1"/>
  <c r="B8" i="1"/>
  <c r="B425" i="1"/>
  <c r="B413" i="1"/>
  <c r="B401" i="1"/>
  <c r="B389" i="1"/>
  <c r="B377" i="1"/>
  <c r="B365" i="1"/>
  <c r="B353" i="1"/>
  <c r="B341" i="1"/>
  <c r="B329" i="1"/>
  <c r="B317" i="1"/>
  <c r="B305" i="1"/>
  <c r="B293" i="1"/>
  <c r="B281" i="1"/>
  <c r="B269" i="1"/>
  <c r="B257" i="1"/>
  <c r="B245" i="1"/>
  <c r="B233" i="1"/>
  <c r="B221" i="1"/>
  <c r="B209" i="1"/>
  <c r="B197" i="1"/>
  <c r="B185" i="1"/>
  <c r="B173" i="1"/>
  <c r="B161" i="1"/>
  <c r="B149" i="1"/>
  <c r="B137" i="1"/>
  <c r="B125" i="1"/>
  <c r="B113" i="1"/>
  <c r="B101" i="1"/>
  <c r="B89" i="1"/>
  <c r="B77" i="1"/>
  <c r="B65" i="1"/>
  <c r="B53" i="1"/>
  <c r="B41" i="1"/>
  <c r="B29" i="1"/>
  <c r="B17" i="1"/>
  <c r="B5" i="1"/>
  <c r="B421" i="1"/>
  <c r="B437" i="1"/>
  <c r="B433" i="1"/>
  <c r="B429" i="1"/>
  <c r="B502" i="1"/>
  <c r="B498" i="1"/>
  <c r="B494" i="1"/>
  <c r="B490" i="1"/>
  <c r="B486" i="1"/>
  <c r="B482" i="1"/>
  <c r="B478" i="1"/>
  <c r="B474" i="1"/>
  <c r="B470" i="1"/>
  <c r="B466" i="1"/>
  <c r="B462" i="1"/>
  <c r="B458" i="1"/>
  <c r="B454" i="1"/>
  <c r="B450" i="1"/>
  <c r="B446" i="1"/>
  <c r="B442" i="1"/>
  <c r="B438" i="1"/>
  <c r="B434" i="1"/>
  <c r="B430" i="1"/>
  <c r="B426" i="1"/>
  <c r="B422" i="1"/>
  <c r="B418" i="1"/>
  <c r="B414" i="1"/>
  <c r="B410" i="1"/>
  <c r="B406" i="1"/>
  <c r="B402" i="1"/>
  <c r="B398" i="1"/>
  <c r="B394" i="1"/>
  <c r="B390" i="1"/>
  <c r="B386" i="1"/>
  <c r="B382" i="1"/>
  <c r="B378" i="1"/>
  <c r="B374" i="1"/>
  <c r="B370" i="1"/>
  <c r="B366" i="1"/>
  <c r="B362" i="1"/>
  <c r="B358" i="1"/>
  <c r="B354" i="1"/>
  <c r="B350" i="1"/>
  <c r="B346" i="1"/>
  <c r="B342" i="1"/>
  <c r="B338" i="1"/>
  <c r="B334" i="1"/>
  <c r="B330" i="1"/>
  <c r="B326" i="1"/>
  <c r="B322" i="1"/>
  <c r="B318" i="1"/>
  <c r="B314" i="1"/>
  <c r="B310" i="1"/>
  <c r="B306" i="1"/>
  <c r="B302" i="1"/>
  <c r="B298" i="1"/>
  <c r="B294" i="1"/>
  <c r="B290" i="1"/>
  <c r="B286" i="1"/>
  <c r="B282" i="1"/>
  <c r="B278" i="1"/>
  <c r="B274" i="1"/>
  <c r="B270" i="1"/>
  <c r="B266" i="1"/>
  <c r="B262" i="1"/>
  <c r="B258" i="1"/>
  <c r="B254" i="1"/>
  <c r="B250" i="1"/>
  <c r="B246" i="1"/>
  <c r="B242" i="1"/>
  <c r="B238" i="1"/>
  <c r="B234" i="1"/>
  <c r="B230" i="1"/>
  <c r="B226" i="1"/>
  <c r="B222" i="1"/>
  <c r="B218" i="1"/>
  <c r="B214" i="1"/>
  <c r="B210" i="1"/>
  <c r="B206" i="1"/>
  <c r="B202" i="1"/>
  <c r="B198" i="1"/>
  <c r="B194" i="1"/>
  <c r="B190" i="1"/>
  <c r="B186" i="1"/>
  <c r="B182" i="1"/>
  <c r="B178" i="1"/>
  <c r="B174" i="1"/>
  <c r="B170" i="1"/>
  <c r="B166" i="1"/>
  <c r="B162" i="1"/>
  <c r="B158" i="1"/>
  <c r="B154" i="1"/>
  <c r="B150" i="1"/>
  <c r="B146" i="1"/>
  <c r="B142" i="1"/>
  <c r="B138" i="1"/>
  <c r="B134" i="1"/>
  <c r="B130" i="1"/>
  <c r="B126" i="1"/>
  <c r="B122" i="1"/>
  <c r="B118" i="1"/>
  <c r="B114" i="1"/>
  <c r="B110" i="1"/>
  <c r="B106" i="1"/>
  <c r="B102" i="1"/>
  <c r="B98" i="1"/>
  <c r="B94" i="1"/>
  <c r="B90" i="1"/>
  <c r="B86" i="1"/>
  <c r="B82" i="1"/>
  <c r="B78" i="1"/>
  <c r="B74" i="1"/>
  <c r="B70" i="1"/>
  <c r="B66" i="1"/>
  <c r="B62" i="1"/>
  <c r="B58" i="1"/>
  <c r="B54" i="1"/>
  <c r="B50" i="1"/>
  <c r="B46" i="1"/>
  <c r="B42" i="1"/>
  <c r="B38" i="1"/>
  <c r="B34" i="1"/>
  <c r="B30" i="1"/>
  <c r="B26" i="1"/>
  <c r="B22" i="1"/>
  <c r="B18" i="1"/>
  <c r="B14" i="1"/>
  <c r="B10" i="1"/>
  <c r="B6" i="1"/>
  <c r="B3" i="1"/>
  <c r="B499" i="1"/>
  <c r="B495" i="1"/>
  <c r="B491" i="1"/>
  <c r="B487" i="1"/>
  <c r="B483" i="1"/>
  <c r="B479" i="1"/>
  <c r="B475" i="1"/>
  <c r="B471" i="1"/>
  <c r="B467" i="1"/>
  <c r="B463" i="1"/>
  <c r="B459" i="1"/>
  <c r="B455" i="1"/>
  <c r="B451" i="1"/>
  <c r="B447" i="1"/>
  <c r="B443" i="1"/>
  <c r="B439" i="1"/>
  <c r="B435" i="1"/>
  <c r="B431" i="1"/>
  <c r="B427" i="1"/>
  <c r="B423" i="1"/>
  <c r="B419" i="1"/>
  <c r="B415" i="1"/>
  <c r="B411" i="1"/>
  <c r="B407" i="1"/>
  <c r="B403" i="1"/>
  <c r="B399" i="1"/>
  <c r="B395" i="1"/>
  <c r="B391" i="1"/>
  <c r="B387" i="1"/>
  <c r="B383" i="1"/>
  <c r="B379" i="1"/>
  <c r="B375" i="1"/>
  <c r="B371" i="1"/>
  <c r="B367" i="1"/>
  <c r="B363" i="1"/>
  <c r="B359" i="1"/>
  <c r="B355" i="1"/>
  <c r="B351" i="1"/>
  <c r="B347" i="1"/>
  <c r="B501" i="1"/>
  <c r="B497" i="1"/>
  <c r="B493" i="1"/>
  <c r="B489" i="1"/>
  <c r="B485" i="1"/>
  <c r="B481" i="1"/>
  <c r="B477" i="1"/>
  <c r="B473" i="1"/>
  <c r="B469" i="1"/>
  <c r="B465" i="1"/>
  <c r="B461" i="1"/>
  <c r="B457" i="1"/>
  <c r="B453" i="1"/>
  <c r="B449" i="1"/>
  <c r="B445" i="1"/>
  <c r="B441" i="1"/>
  <c r="B343" i="1"/>
  <c r="B339" i="1"/>
  <c r="B335" i="1"/>
  <c r="B331" i="1"/>
  <c r="B327" i="1"/>
  <c r="B323" i="1"/>
  <c r="B319" i="1"/>
  <c r="B315" i="1"/>
  <c r="B311" i="1"/>
  <c r="B307" i="1"/>
  <c r="B303" i="1"/>
  <c r="B299" i="1"/>
  <c r="B295" i="1"/>
  <c r="B291" i="1"/>
  <c r="B287" i="1"/>
  <c r="B283" i="1"/>
  <c r="B279" i="1"/>
  <c r="B275" i="1"/>
  <c r="B271" i="1"/>
  <c r="B267" i="1"/>
  <c r="B263" i="1"/>
  <c r="B259" i="1"/>
  <c r="B255" i="1"/>
  <c r="B251" i="1"/>
  <c r="B247" i="1"/>
  <c r="B243" i="1"/>
  <c r="B239" i="1"/>
  <c r="B235" i="1"/>
  <c r="B231" i="1"/>
  <c r="B227" i="1"/>
  <c r="B223" i="1"/>
  <c r="B219" i="1"/>
  <c r="B215" i="1"/>
  <c r="B211" i="1"/>
  <c r="B207" i="1"/>
  <c r="B203" i="1"/>
  <c r="B199" i="1"/>
  <c r="B195" i="1"/>
  <c r="B191" i="1"/>
  <c r="B187" i="1"/>
  <c r="B183" i="1"/>
  <c r="B179" i="1"/>
  <c r="B175" i="1"/>
  <c r="B171" i="1"/>
  <c r="B167" i="1"/>
  <c r="B163" i="1"/>
  <c r="B159" i="1"/>
  <c r="B155" i="1"/>
  <c r="B151" i="1"/>
  <c r="B147" i="1"/>
  <c r="B143" i="1"/>
  <c r="B139" i="1"/>
  <c r="B135" i="1"/>
  <c r="B131" i="1"/>
  <c r="B127" i="1"/>
  <c r="B123" i="1"/>
  <c r="B119" i="1"/>
  <c r="B115" i="1"/>
  <c r="B111" i="1"/>
  <c r="B107" i="1"/>
  <c r="B103" i="1"/>
  <c r="B99" i="1"/>
  <c r="B95" i="1"/>
  <c r="B91" i="1"/>
  <c r="B87" i="1"/>
  <c r="B83" i="1"/>
  <c r="B79" i="1"/>
  <c r="B75" i="1"/>
  <c r="B71" i="1"/>
  <c r="B67" i="1"/>
  <c r="B63" i="1"/>
  <c r="B59" i="1"/>
  <c r="B55" i="1"/>
  <c r="B51" i="1"/>
  <c r="B47" i="1"/>
  <c r="B43" i="1"/>
  <c r="B39" i="1"/>
  <c r="B35" i="1"/>
  <c r="B31" i="1"/>
  <c r="B27" i="1"/>
  <c r="B23" i="1"/>
  <c r="B19" i="1"/>
  <c r="B15" i="1"/>
  <c r="B11" i="1"/>
  <c r="B7" i="1"/>
  <c r="E38" i="2"/>
  <c r="H5" i="1"/>
  <c r="G6" i="1"/>
  <c r="G9" i="1"/>
  <c r="G10" i="1"/>
  <c r="G11" i="1"/>
  <c r="H13" i="1"/>
  <c r="G14" i="1"/>
  <c r="G17" i="1"/>
  <c r="G18" i="1"/>
  <c r="G19" i="1"/>
  <c r="H21" i="1"/>
  <c r="G22" i="1"/>
  <c r="G25" i="1"/>
  <c r="G26" i="1"/>
  <c r="G27" i="1"/>
  <c r="H29" i="1"/>
  <c r="G30" i="1"/>
  <c r="G33" i="1"/>
  <c r="G35" i="1"/>
  <c r="H37" i="1"/>
  <c r="G38" i="1"/>
  <c r="G41" i="1"/>
  <c r="G42" i="1"/>
  <c r="H43" i="1"/>
  <c r="H45" i="1"/>
  <c r="G46" i="1"/>
  <c r="G49" i="1"/>
  <c r="G51" i="1"/>
  <c r="H53" i="1"/>
  <c r="G54" i="1"/>
  <c r="G57" i="1"/>
  <c r="G58" i="1"/>
  <c r="H59" i="1"/>
  <c r="H61" i="1"/>
  <c r="G61" i="1"/>
  <c r="G62" i="1"/>
  <c r="G65" i="1"/>
  <c r="G67" i="1"/>
  <c r="H69" i="1"/>
  <c r="G70" i="1"/>
  <c r="G73" i="1"/>
  <c r="G74" i="1"/>
  <c r="G75" i="1"/>
  <c r="H77" i="1"/>
  <c r="G78" i="1"/>
  <c r="G81" i="1"/>
  <c r="G83" i="1"/>
  <c r="H85" i="1"/>
  <c r="G86" i="1"/>
  <c r="G89" i="1"/>
  <c r="G90" i="1"/>
  <c r="H91" i="1"/>
  <c r="H93" i="1"/>
  <c r="G94" i="1"/>
  <c r="G97" i="1"/>
  <c r="G99" i="1"/>
  <c r="H101" i="1"/>
  <c r="G102" i="1"/>
  <c r="G105" i="1"/>
  <c r="G106" i="1"/>
  <c r="H107" i="1"/>
  <c r="H109" i="1"/>
  <c r="G110" i="1"/>
  <c r="G113" i="1"/>
  <c r="G115" i="1"/>
  <c r="H117" i="1"/>
  <c r="G118" i="1"/>
  <c r="G121" i="1"/>
  <c r="G122" i="1"/>
  <c r="G123" i="1"/>
  <c r="H125" i="1"/>
  <c r="G126" i="1"/>
  <c r="G129" i="1"/>
  <c r="G131" i="1"/>
  <c r="H133" i="1"/>
  <c r="G134" i="1"/>
  <c r="G137" i="1"/>
  <c r="G138" i="1"/>
  <c r="G139" i="1"/>
  <c r="G141" i="1"/>
  <c r="G142" i="1"/>
  <c r="G145" i="1"/>
  <c r="G147" i="1"/>
  <c r="H149" i="1"/>
  <c r="G150" i="1"/>
  <c r="G153" i="1"/>
  <c r="G154" i="1"/>
  <c r="H155" i="1"/>
  <c r="H157" i="1"/>
  <c r="G158" i="1"/>
  <c r="G161" i="1"/>
  <c r="G163" i="1"/>
  <c r="H165" i="1"/>
  <c r="G166" i="1"/>
  <c r="G169" i="1"/>
  <c r="G170" i="1"/>
  <c r="H171" i="1"/>
  <c r="G173" i="1"/>
  <c r="H174" i="1"/>
  <c r="H176" i="1"/>
  <c r="G177" i="1"/>
  <c r="G179" i="1"/>
  <c r="G182" i="1"/>
  <c r="H184" i="1"/>
  <c r="G185" i="1"/>
  <c r="G187" i="1"/>
  <c r="G189" i="1"/>
  <c r="H190" i="1"/>
  <c r="H192" i="1"/>
  <c r="G193" i="1"/>
  <c r="G195" i="1"/>
  <c r="G198" i="1"/>
  <c r="H200" i="1"/>
  <c r="G201" i="1"/>
  <c r="G203" i="1"/>
  <c r="G205" i="1"/>
  <c r="H206" i="1"/>
  <c r="H208" i="1"/>
  <c r="G209" i="1"/>
  <c r="G211" i="1"/>
  <c r="G214" i="1"/>
  <c r="H216" i="1"/>
  <c r="G217" i="1"/>
  <c r="G219" i="1"/>
  <c r="G221" i="1"/>
  <c r="H222" i="1"/>
  <c r="H224" i="1"/>
  <c r="G225" i="1"/>
  <c r="G227" i="1"/>
  <c r="G230" i="1"/>
  <c r="H232" i="1"/>
  <c r="G233" i="1"/>
  <c r="G235" i="1"/>
  <c r="G237" i="1"/>
  <c r="H238" i="1"/>
  <c r="H240" i="1"/>
  <c r="G241" i="1"/>
  <c r="G243" i="1"/>
  <c r="G246" i="1"/>
  <c r="H248" i="1"/>
  <c r="G249" i="1"/>
  <c r="G251" i="1"/>
  <c r="G253" i="1"/>
  <c r="H254" i="1"/>
  <c r="G254" i="1"/>
  <c r="H256" i="1"/>
  <c r="G257" i="1"/>
  <c r="G259" i="1"/>
  <c r="G262" i="1"/>
  <c r="H264" i="1"/>
  <c r="G265" i="1"/>
  <c r="G267" i="1"/>
  <c r="G269" i="1"/>
  <c r="H270" i="1"/>
  <c r="H272" i="1"/>
  <c r="G273" i="1"/>
  <c r="G275" i="1"/>
  <c r="G278" i="1"/>
  <c r="H280" i="1"/>
  <c r="G281" i="1"/>
  <c r="G283" i="1"/>
  <c r="G285" i="1"/>
  <c r="H286" i="1"/>
  <c r="H288" i="1"/>
  <c r="G289" i="1"/>
  <c r="G291" i="1"/>
  <c r="G294" i="1"/>
  <c r="H296" i="1"/>
  <c r="G297" i="1"/>
  <c r="G299" i="1"/>
  <c r="G301" i="1"/>
  <c r="H302" i="1"/>
  <c r="H304" i="1"/>
  <c r="G305" i="1"/>
  <c r="G307" i="1"/>
  <c r="G310" i="1"/>
  <c r="H312" i="1"/>
  <c r="G313" i="1"/>
  <c r="G315" i="1"/>
  <c r="G317" i="1"/>
  <c r="H318" i="1"/>
  <c r="G318" i="1"/>
  <c r="H320" i="1"/>
  <c r="G321" i="1"/>
  <c r="G323" i="1"/>
  <c r="G326" i="1"/>
  <c r="H328" i="1"/>
  <c r="G329" i="1"/>
  <c r="G331" i="1"/>
  <c r="G333" i="1"/>
  <c r="H334" i="1"/>
  <c r="H336" i="1"/>
  <c r="G337" i="1"/>
  <c r="G339" i="1"/>
  <c r="G342" i="1"/>
  <c r="H344" i="1"/>
  <c r="G345" i="1"/>
  <c r="H346" i="1"/>
  <c r="G346" i="1"/>
  <c r="H348" i="1"/>
  <c r="G350" i="1"/>
  <c r="H352" i="1"/>
  <c r="G353" i="1"/>
  <c r="H354" i="1"/>
  <c r="H356" i="1"/>
  <c r="G358" i="1"/>
  <c r="H360" i="1"/>
  <c r="G361" i="1"/>
  <c r="H362" i="1"/>
  <c r="H364" i="1"/>
  <c r="G366" i="1"/>
  <c r="H368" i="1"/>
  <c r="G369" i="1"/>
  <c r="G370" i="1"/>
  <c r="G372" i="1"/>
  <c r="G374" i="1"/>
  <c r="H376" i="1"/>
  <c r="G377" i="1"/>
  <c r="H378" i="1"/>
  <c r="H380" i="1"/>
  <c r="G382" i="1"/>
  <c r="H384" i="1"/>
  <c r="G385" i="1"/>
  <c r="H386" i="1"/>
  <c r="G388" i="1"/>
  <c r="G390" i="1"/>
  <c r="H392" i="1"/>
  <c r="G393" i="1"/>
  <c r="H394" i="1"/>
  <c r="G394" i="1"/>
  <c r="H396" i="1"/>
  <c r="G398" i="1"/>
  <c r="H400" i="1"/>
  <c r="G401" i="1"/>
  <c r="G402" i="1"/>
  <c r="G404" i="1"/>
  <c r="G406" i="1"/>
  <c r="H408" i="1"/>
  <c r="G409" i="1"/>
  <c r="H410" i="1"/>
  <c r="G410" i="1"/>
  <c r="H412" i="1"/>
  <c r="G414" i="1"/>
  <c r="H416" i="1"/>
  <c r="G417" i="1"/>
  <c r="H418" i="1"/>
  <c r="G420" i="1"/>
  <c r="G422" i="1"/>
  <c r="H424" i="1"/>
  <c r="G425" i="1"/>
  <c r="H426" i="1"/>
  <c r="G426" i="1"/>
  <c r="G428" i="1"/>
  <c r="G430" i="1"/>
  <c r="H432" i="1"/>
  <c r="G433" i="1"/>
  <c r="G434" i="1"/>
  <c r="G436" i="1"/>
  <c r="G438" i="1"/>
  <c r="H440" i="1"/>
  <c r="G441" i="1"/>
  <c r="H442" i="1"/>
  <c r="G444" i="1"/>
  <c r="G446" i="1"/>
  <c r="H448" i="1"/>
  <c r="G449" i="1"/>
  <c r="H450" i="1"/>
  <c r="G452" i="1"/>
  <c r="G454" i="1"/>
  <c r="H456" i="1"/>
  <c r="G457" i="1"/>
  <c r="H458" i="1"/>
  <c r="H460" i="1"/>
  <c r="G462" i="1"/>
  <c r="H464" i="1"/>
  <c r="G465" i="1"/>
  <c r="G466" i="1"/>
  <c r="H468" i="1"/>
  <c r="G470" i="1"/>
  <c r="H472" i="1"/>
  <c r="G473" i="1"/>
  <c r="H474" i="1"/>
  <c r="G474" i="1"/>
  <c r="H476" i="1"/>
  <c r="G478" i="1"/>
  <c r="H480" i="1"/>
  <c r="G481" i="1"/>
  <c r="H482" i="1"/>
  <c r="H484" i="1"/>
  <c r="G486" i="1"/>
  <c r="H488" i="1"/>
  <c r="G489" i="1"/>
  <c r="H490" i="1"/>
  <c r="G490" i="1"/>
  <c r="H492" i="1"/>
  <c r="G494" i="1"/>
  <c r="H496" i="1"/>
  <c r="G497" i="1"/>
  <c r="G498" i="1"/>
  <c r="G500" i="1"/>
  <c r="G502" i="1"/>
  <c r="H3" i="1"/>
  <c r="J41" i="2" l="1"/>
  <c r="J42" i="2"/>
  <c r="J40" i="2"/>
  <c r="J39" i="2"/>
  <c r="G93" i="1"/>
  <c r="G458" i="1"/>
  <c r="G362" i="1"/>
  <c r="G222" i="1"/>
  <c r="G29" i="1"/>
  <c r="G442" i="1"/>
  <c r="G378" i="1"/>
  <c r="G286" i="1"/>
  <c r="G157" i="1"/>
  <c r="G13" i="1"/>
  <c r="G496" i="1"/>
  <c r="G464" i="1"/>
  <c r="G432" i="1"/>
  <c r="G400" i="1"/>
  <c r="G368" i="1"/>
  <c r="G328" i="1"/>
  <c r="G264" i="1"/>
  <c r="G200" i="1"/>
  <c r="G109" i="1"/>
  <c r="G45" i="1"/>
  <c r="G5" i="1"/>
  <c r="H462" i="1"/>
  <c r="H350" i="1"/>
  <c r="H269" i="1"/>
  <c r="H173" i="1"/>
  <c r="H54" i="1"/>
  <c r="H444" i="1"/>
  <c r="H333" i="1"/>
  <c r="H237" i="1"/>
  <c r="H141" i="1"/>
  <c r="H35" i="1"/>
  <c r="G480" i="1"/>
  <c r="G448" i="1"/>
  <c r="G416" i="1"/>
  <c r="G384" i="1"/>
  <c r="G352" i="1"/>
  <c r="G296" i="1"/>
  <c r="G232" i="1"/>
  <c r="G77" i="1"/>
  <c r="G21" i="1"/>
  <c r="H428" i="1"/>
  <c r="H301" i="1"/>
  <c r="H221" i="1"/>
  <c r="H102" i="1"/>
  <c r="H14" i="1"/>
  <c r="G190" i="1"/>
  <c r="G125" i="1"/>
  <c r="H478" i="1"/>
  <c r="H406" i="1"/>
  <c r="H285" i="1"/>
  <c r="H205" i="1"/>
  <c r="H70" i="1"/>
  <c r="H500" i="1"/>
  <c r="H388" i="1"/>
  <c r="H372" i="1"/>
  <c r="H315" i="1"/>
  <c r="H251" i="1"/>
  <c r="H187" i="1"/>
  <c r="H123" i="1"/>
  <c r="G492" i="1"/>
  <c r="G476" i="1"/>
  <c r="G460" i="1"/>
  <c r="G412" i="1"/>
  <c r="G396" i="1"/>
  <c r="G380" i="1"/>
  <c r="G364" i="1"/>
  <c r="G348" i="1"/>
  <c r="G320" i="1"/>
  <c r="G288" i="1"/>
  <c r="G256" i="1"/>
  <c r="G224" i="1"/>
  <c r="G192" i="1"/>
  <c r="H494" i="1"/>
  <c r="H438" i="1"/>
  <c r="H420" i="1"/>
  <c r="H404" i="1"/>
  <c r="H382" i="1"/>
  <c r="H366" i="1"/>
  <c r="H329" i="1"/>
  <c r="H313" i="1"/>
  <c r="H297" i="1"/>
  <c r="H281" i="1"/>
  <c r="H265" i="1"/>
  <c r="H249" i="1"/>
  <c r="H233" i="1"/>
  <c r="H217" i="1"/>
  <c r="H201" i="1"/>
  <c r="H185" i="1"/>
  <c r="H166" i="1"/>
  <c r="H134" i="1"/>
  <c r="H118" i="1"/>
  <c r="H67" i="1"/>
  <c r="H49" i="1"/>
  <c r="H470" i="1"/>
  <c r="H452" i="1"/>
  <c r="H436" i="1"/>
  <c r="H414" i="1"/>
  <c r="H398" i="1"/>
  <c r="H342" i="1"/>
  <c r="H323" i="1"/>
  <c r="H307" i="1"/>
  <c r="H291" i="1"/>
  <c r="H278" i="1"/>
  <c r="H259" i="1"/>
  <c r="H243" i="1"/>
  <c r="H227" i="1"/>
  <c r="H214" i="1"/>
  <c r="H195" i="1"/>
  <c r="H179" i="1"/>
  <c r="H131" i="1"/>
  <c r="H113" i="1"/>
  <c r="H86" i="1"/>
  <c r="H22" i="1"/>
  <c r="H9" i="1"/>
  <c r="G484" i="1"/>
  <c r="G468" i="1"/>
  <c r="G356" i="1"/>
  <c r="G336" i="1"/>
  <c r="G304" i="1"/>
  <c r="G272" i="1"/>
  <c r="G240" i="1"/>
  <c r="G208" i="1"/>
  <c r="G176" i="1"/>
  <c r="G165" i="1"/>
  <c r="G155" i="1"/>
  <c r="G133" i="1"/>
  <c r="G101" i="1"/>
  <c r="G91" i="1"/>
  <c r="G69" i="1"/>
  <c r="G59" i="1"/>
  <c r="G37" i="1"/>
  <c r="H502" i="1"/>
  <c r="H446" i="1"/>
  <c r="H430" i="1"/>
  <c r="H374" i="1"/>
  <c r="H339" i="1"/>
  <c r="H317" i="1"/>
  <c r="H305" i="1"/>
  <c r="H275" i="1"/>
  <c r="H253" i="1"/>
  <c r="H241" i="1"/>
  <c r="H211" i="1"/>
  <c r="H189" i="1"/>
  <c r="H177" i="1"/>
  <c r="H150" i="1"/>
  <c r="H38" i="1"/>
  <c r="H17" i="1"/>
  <c r="H6" i="1"/>
  <c r="G483" i="1"/>
  <c r="H483" i="1"/>
  <c r="G463" i="1"/>
  <c r="H463" i="1"/>
  <c r="G445" i="1"/>
  <c r="H445" i="1"/>
  <c r="G399" i="1"/>
  <c r="H399" i="1"/>
  <c r="G381" i="1"/>
  <c r="H381" i="1"/>
  <c r="G367" i="1"/>
  <c r="H367" i="1"/>
  <c r="G303" i="1"/>
  <c r="H303" i="1"/>
  <c r="G293" i="1"/>
  <c r="H293" i="1"/>
  <c r="G263" i="1"/>
  <c r="H263" i="1"/>
  <c r="G239" i="1"/>
  <c r="H239" i="1"/>
  <c r="G212" i="1"/>
  <c r="H212" i="1"/>
  <c r="G202" i="1"/>
  <c r="H202" i="1"/>
  <c r="G178" i="1"/>
  <c r="H178" i="1"/>
  <c r="G172" i="1"/>
  <c r="H172" i="1"/>
  <c r="G162" i="1"/>
  <c r="H162" i="1"/>
  <c r="G132" i="1"/>
  <c r="H132" i="1"/>
  <c r="G111" i="1"/>
  <c r="H111" i="1"/>
  <c r="G44" i="1"/>
  <c r="H44" i="1"/>
  <c r="G34" i="1"/>
  <c r="H34" i="1"/>
  <c r="G20" i="1"/>
  <c r="H20" i="1"/>
  <c r="H105" i="1"/>
  <c r="G3" i="1"/>
  <c r="G491" i="1"/>
  <c r="H491" i="1"/>
  <c r="G488" i="1"/>
  <c r="G485" i="1"/>
  <c r="H485" i="1"/>
  <c r="G482" i="1"/>
  <c r="G471" i="1"/>
  <c r="H471" i="1"/>
  <c r="G459" i="1"/>
  <c r="H459" i="1"/>
  <c r="G456" i="1"/>
  <c r="G453" i="1"/>
  <c r="H453" i="1"/>
  <c r="G450" i="1"/>
  <c r="G439" i="1"/>
  <c r="H439" i="1"/>
  <c r="G427" i="1"/>
  <c r="H427" i="1"/>
  <c r="G424" i="1"/>
  <c r="G421" i="1"/>
  <c r="H421" i="1"/>
  <c r="G418" i="1"/>
  <c r="G407" i="1"/>
  <c r="H407" i="1"/>
  <c r="G395" i="1"/>
  <c r="H395" i="1"/>
  <c r="G392" i="1"/>
  <c r="G389" i="1"/>
  <c r="H389" i="1"/>
  <c r="G386" i="1"/>
  <c r="G375" i="1"/>
  <c r="H375" i="1"/>
  <c r="G363" i="1"/>
  <c r="H363" i="1"/>
  <c r="G360" i="1"/>
  <c r="G357" i="1"/>
  <c r="H357" i="1"/>
  <c r="G354" i="1"/>
  <c r="G343" i="1"/>
  <c r="H343" i="1"/>
  <c r="G322" i="1"/>
  <c r="H322" i="1"/>
  <c r="G319" i="1"/>
  <c r="H319" i="1"/>
  <c r="G316" i="1"/>
  <c r="H316" i="1"/>
  <c r="G312" i="1"/>
  <c r="G309" i="1"/>
  <c r="H309" i="1"/>
  <c r="G302" i="1"/>
  <c r="G292" i="1"/>
  <c r="H292" i="1"/>
  <c r="G282" i="1"/>
  <c r="H282" i="1"/>
  <c r="G279" i="1"/>
  <c r="H279" i="1"/>
  <c r="G258" i="1"/>
  <c r="H258" i="1"/>
  <c r="G255" i="1"/>
  <c r="H255" i="1"/>
  <c r="G252" i="1"/>
  <c r="H252" i="1"/>
  <c r="G248" i="1"/>
  <c r="G245" i="1"/>
  <c r="H245" i="1"/>
  <c r="G238" i="1"/>
  <c r="G228" i="1"/>
  <c r="H228" i="1"/>
  <c r="G218" i="1"/>
  <c r="H218" i="1"/>
  <c r="G215" i="1"/>
  <c r="H215" i="1"/>
  <c r="G194" i="1"/>
  <c r="H194" i="1"/>
  <c r="G191" i="1"/>
  <c r="H191" i="1"/>
  <c r="G188" i="1"/>
  <c r="H188" i="1"/>
  <c r="G184" i="1"/>
  <c r="G181" i="1"/>
  <c r="H181" i="1"/>
  <c r="G174" i="1"/>
  <c r="G171" i="1"/>
  <c r="G168" i="1"/>
  <c r="H168" i="1"/>
  <c r="G151" i="1"/>
  <c r="H151" i="1"/>
  <c r="G148" i="1"/>
  <c r="H148" i="1"/>
  <c r="G127" i="1"/>
  <c r="H127" i="1"/>
  <c r="G124" i="1"/>
  <c r="H124" i="1"/>
  <c r="G117" i="1"/>
  <c r="G114" i="1"/>
  <c r="H114" i="1"/>
  <c r="G107" i="1"/>
  <c r="G104" i="1"/>
  <c r="H104" i="1"/>
  <c r="G87" i="1"/>
  <c r="H87" i="1"/>
  <c r="G84" i="1"/>
  <c r="H84" i="1"/>
  <c r="G63" i="1"/>
  <c r="H63" i="1"/>
  <c r="G60" i="1"/>
  <c r="H60" i="1"/>
  <c r="G53" i="1"/>
  <c r="G50" i="1"/>
  <c r="H50" i="1"/>
  <c r="G43" i="1"/>
  <c r="G40" i="1"/>
  <c r="H40" i="1"/>
  <c r="G15" i="1"/>
  <c r="H15" i="1"/>
  <c r="G12" i="1"/>
  <c r="H12" i="1"/>
  <c r="H331" i="1"/>
  <c r="H321" i="1"/>
  <c r="H294" i="1"/>
  <c r="H267" i="1"/>
  <c r="H257" i="1"/>
  <c r="H230" i="1"/>
  <c r="H203" i="1"/>
  <c r="H193" i="1"/>
  <c r="H147" i="1"/>
  <c r="H139" i="1"/>
  <c r="H129" i="1"/>
  <c r="H121" i="1"/>
  <c r="H110" i="1"/>
  <c r="H83" i="1"/>
  <c r="H75" i="1"/>
  <c r="H65" i="1"/>
  <c r="H57" i="1"/>
  <c r="H46" i="1"/>
  <c r="H19" i="1"/>
  <c r="H11" i="1"/>
  <c r="G495" i="1"/>
  <c r="H495" i="1"/>
  <c r="G431" i="1"/>
  <c r="H431" i="1"/>
  <c r="G413" i="1"/>
  <c r="H413" i="1"/>
  <c r="G355" i="1"/>
  <c r="H355" i="1"/>
  <c r="G327" i="1"/>
  <c r="H327" i="1"/>
  <c r="G300" i="1"/>
  <c r="H300" i="1"/>
  <c r="G276" i="1"/>
  <c r="H276" i="1"/>
  <c r="G236" i="1"/>
  <c r="H236" i="1"/>
  <c r="G199" i="1"/>
  <c r="H199" i="1"/>
  <c r="G135" i="1"/>
  <c r="H135" i="1"/>
  <c r="G71" i="1"/>
  <c r="H71" i="1"/>
  <c r="H486" i="1"/>
  <c r="H422" i="1"/>
  <c r="H169" i="1"/>
  <c r="H30" i="1"/>
  <c r="G499" i="1"/>
  <c r="H499" i="1"/>
  <c r="G493" i="1"/>
  <c r="H493" i="1"/>
  <c r="G479" i="1"/>
  <c r="H479" i="1"/>
  <c r="G467" i="1"/>
  <c r="H467" i="1"/>
  <c r="G461" i="1"/>
  <c r="H461" i="1"/>
  <c r="G447" i="1"/>
  <c r="H447" i="1"/>
  <c r="G435" i="1"/>
  <c r="H435" i="1"/>
  <c r="G429" i="1"/>
  <c r="H429" i="1"/>
  <c r="G415" i="1"/>
  <c r="H415" i="1"/>
  <c r="G403" i="1"/>
  <c r="H403" i="1"/>
  <c r="G397" i="1"/>
  <c r="H397" i="1"/>
  <c r="G383" i="1"/>
  <c r="H383" i="1"/>
  <c r="G371" i="1"/>
  <c r="H371" i="1"/>
  <c r="G365" i="1"/>
  <c r="H365" i="1"/>
  <c r="G351" i="1"/>
  <c r="H351" i="1"/>
  <c r="G338" i="1"/>
  <c r="H338" i="1"/>
  <c r="G335" i="1"/>
  <c r="H335" i="1"/>
  <c r="G332" i="1"/>
  <c r="H332" i="1"/>
  <c r="G325" i="1"/>
  <c r="H325" i="1"/>
  <c r="G308" i="1"/>
  <c r="H308" i="1"/>
  <c r="G298" i="1"/>
  <c r="H298" i="1"/>
  <c r="G295" i="1"/>
  <c r="H295" i="1"/>
  <c r="G274" i="1"/>
  <c r="H274" i="1"/>
  <c r="G271" i="1"/>
  <c r="H271" i="1"/>
  <c r="G268" i="1"/>
  <c r="H268" i="1"/>
  <c r="G261" i="1"/>
  <c r="H261" i="1"/>
  <c r="G244" i="1"/>
  <c r="H244" i="1"/>
  <c r="G234" i="1"/>
  <c r="H234" i="1"/>
  <c r="G231" i="1"/>
  <c r="H231" i="1"/>
  <c r="G210" i="1"/>
  <c r="H210" i="1"/>
  <c r="G207" i="1"/>
  <c r="H207" i="1"/>
  <c r="G204" i="1"/>
  <c r="H204" i="1"/>
  <c r="G197" i="1"/>
  <c r="H197" i="1"/>
  <c r="G180" i="1"/>
  <c r="H180" i="1"/>
  <c r="G167" i="1"/>
  <c r="H167" i="1"/>
  <c r="G164" i="1"/>
  <c r="H164" i="1"/>
  <c r="G143" i="1"/>
  <c r="H143" i="1"/>
  <c r="G140" i="1"/>
  <c r="H140" i="1"/>
  <c r="G130" i="1"/>
  <c r="H130" i="1"/>
  <c r="G120" i="1"/>
  <c r="H120" i="1"/>
  <c r="G103" i="1"/>
  <c r="H103" i="1"/>
  <c r="G100" i="1"/>
  <c r="H100" i="1"/>
  <c r="G79" i="1"/>
  <c r="H79" i="1"/>
  <c r="G76" i="1"/>
  <c r="H76" i="1"/>
  <c r="G66" i="1"/>
  <c r="H66" i="1"/>
  <c r="G56" i="1"/>
  <c r="H56" i="1"/>
  <c r="G39" i="1"/>
  <c r="H39" i="1"/>
  <c r="G36" i="1"/>
  <c r="H36" i="1"/>
  <c r="G8" i="1"/>
  <c r="H8" i="1"/>
  <c r="H498" i="1"/>
  <c r="H466" i="1"/>
  <c r="H434" i="1"/>
  <c r="H402" i="1"/>
  <c r="H370" i="1"/>
  <c r="H337" i="1"/>
  <c r="H310" i="1"/>
  <c r="H283" i="1"/>
  <c r="H273" i="1"/>
  <c r="H246" i="1"/>
  <c r="H219" i="1"/>
  <c r="H209" i="1"/>
  <c r="H182" i="1"/>
  <c r="H163" i="1"/>
  <c r="H145" i="1"/>
  <c r="H137" i="1"/>
  <c r="H126" i="1"/>
  <c r="H99" i="1"/>
  <c r="H81" i="1"/>
  <c r="H73" i="1"/>
  <c r="H62" i="1"/>
  <c r="H27" i="1"/>
  <c r="G477" i="1"/>
  <c r="H477" i="1"/>
  <c r="G451" i="1"/>
  <c r="H451" i="1"/>
  <c r="G419" i="1"/>
  <c r="H419" i="1"/>
  <c r="G387" i="1"/>
  <c r="H387" i="1"/>
  <c r="G349" i="1"/>
  <c r="H349" i="1"/>
  <c r="G340" i="1"/>
  <c r="H340" i="1"/>
  <c r="G330" i="1"/>
  <c r="H330" i="1"/>
  <c r="G306" i="1"/>
  <c r="H306" i="1"/>
  <c r="G266" i="1"/>
  <c r="H266" i="1"/>
  <c r="G242" i="1"/>
  <c r="H242" i="1"/>
  <c r="G229" i="1"/>
  <c r="H229" i="1"/>
  <c r="G175" i="1"/>
  <c r="H175" i="1"/>
  <c r="G152" i="1"/>
  <c r="H152" i="1"/>
  <c r="G108" i="1"/>
  <c r="H108" i="1"/>
  <c r="G98" i="1"/>
  <c r="H98" i="1"/>
  <c r="G88" i="1"/>
  <c r="H88" i="1"/>
  <c r="G68" i="1"/>
  <c r="H68" i="1"/>
  <c r="G47" i="1"/>
  <c r="H47" i="1"/>
  <c r="G23" i="1"/>
  <c r="H23" i="1"/>
  <c r="H454" i="1"/>
  <c r="H390" i="1"/>
  <c r="H358" i="1"/>
  <c r="H158" i="1"/>
  <c r="H94" i="1"/>
  <c r="H41" i="1"/>
  <c r="G501" i="1"/>
  <c r="H501" i="1"/>
  <c r="G487" i="1"/>
  <c r="H487" i="1"/>
  <c r="G475" i="1"/>
  <c r="H475" i="1"/>
  <c r="G472" i="1"/>
  <c r="G469" i="1"/>
  <c r="H469" i="1"/>
  <c r="G455" i="1"/>
  <c r="H455" i="1"/>
  <c r="G443" i="1"/>
  <c r="H443" i="1"/>
  <c r="G440" i="1"/>
  <c r="G437" i="1"/>
  <c r="H437" i="1"/>
  <c r="G423" i="1"/>
  <c r="H423" i="1"/>
  <c r="G411" i="1"/>
  <c r="H411" i="1"/>
  <c r="G408" i="1"/>
  <c r="G405" i="1"/>
  <c r="H405" i="1"/>
  <c r="G391" i="1"/>
  <c r="H391" i="1"/>
  <c r="G379" i="1"/>
  <c r="H379" i="1"/>
  <c r="G376" i="1"/>
  <c r="G373" i="1"/>
  <c r="H373" i="1"/>
  <c r="G359" i="1"/>
  <c r="H359" i="1"/>
  <c r="G347" i="1"/>
  <c r="H347" i="1"/>
  <c r="G344" i="1"/>
  <c r="G341" i="1"/>
  <c r="H341" i="1"/>
  <c r="G334" i="1"/>
  <c r="G324" i="1"/>
  <c r="H324" i="1"/>
  <c r="G314" i="1"/>
  <c r="H314" i="1"/>
  <c r="G311" i="1"/>
  <c r="H311" i="1"/>
  <c r="G290" i="1"/>
  <c r="H290" i="1"/>
  <c r="G287" i="1"/>
  <c r="H287" i="1"/>
  <c r="G284" i="1"/>
  <c r="H284" i="1"/>
  <c r="G280" i="1"/>
  <c r="G277" i="1"/>
  <c r="H277" i="1"/>
  <c r="G270" i="1"/>
  <c r="G260" i="1"/>
  <c r="H260" i="1"/>
  <c r="G250" i="1"/>
  <c r="H250" i="1"/>
  <c r="G247" i="1"/>
  <c r="H247" i="1"/>
  <c r="G226" i="1"/>
  <c r="H226" i="1"/>
  <c r="G223" i="1"/>
  <c r="H223" i="1"/>
  <c r="G220" i="1"/>
  <c r="H220" i="1"/>
  <c r="G216" i="1"/>
  <c r="G213" i="1"/>
  <c r="H213" i="1"/>
  <c r="G206" i="1"/>
  <c r="G196" i="1"/>
  <c r="H196" i="1"/>
  <c r="G186" i="1"/>
  <c r="H186" i="1"/>
  <c r="G183" i="1"/>
  <c r="H183" i="1"/>
  <c r="G159" i="1"/>
  <c r="H159" i="1"/>
  <c r="G156" i="1"/>
  <c r="H156" i="1"/>
  <c r="G149" i="1"/>
  <c r="G146" i="1"/>
  <c r="H146" i="1"/>
  <c r="G136" i="1"/>
  <c r="H136" i="1"/>
  <c r="G119" i="1"/>
  <c r="H119" i="1"/>
  <c r="G116" i="1"/>
  <c r="H116" i="1"/>
  <c r="G95" i="1"/>
  <c r="H95" i="1"/>
  <c r="G92" i="1"/>
  <c r="H92" i="1"/>
  <c r="G85" i="1"/>
  <c r="G82" i="1"/>
  <c r="H82" i="1"/>
  <c r="G72" i="1"/>
  <c r="H72" i="1"/>
  <c r="G55" i="1"/>
  <c r="H55" i="1"/>
  <c r="G52" i="1"/>
  <c r="H52" i="1"/>
  <c r="G31" i="1"/>
  <c r="H31" i="1"/>
  <c r="G28" i="1"/>
  <c r="H28" i="1"/>
  <c r="G7" i="1"/>
  <c r="H7" i="1"/>
  <c r="G4" i="1"/>
  <c r="H4" i="1"/>
  <c r="H326" i="1"/>
  <c r="H299" i="1"/>
  <c r="H289" i="1"/>
  <c r="H262" i="1"/>
  <c r="H235" i="1"/>
  <c r="H225" i="1"/>
  <c r="H198" i="1"/>
  <c r="H161" i="1"/>
  <c r="H153" i="1"/>
  <c r="H142" i="1"/>
  <c r="H115" i="1"/>
  <c r="H97" i="1"/>
  <c r="H89" i="1"/>
  <c r="H78" i="1"/>
  <c r="H51" i="1"/>
  <c r="H33" i="1"/>
  <c r="H25" i="1"/>
  <c r="G24" i="1"/>
  <c r="H24" i="1"/>
  <c r="H18" i="1"/>
  <c r="G160" i="1"/>
  <c r="H160" i="1"/>
  <c r="G144" i="1"/>
  <c r="H144" i="1"/>
  <c r="G128" i="1"/>
  <c r="H128" i="1"/>
  <c r="G112" i="1"/>
  <c r="H112" i="1"/>
  <c r="G96" i="1"/>
  <c r="H96" i="1"/>
  <c r="G80" i="1"/>
  <c r="H80" i="1"/>
  <c r="G64" i="1"/>
  <c r="H64" i="1"/>
  <c r="G48" i="1"/>
  <c r="H48" i="1"/>
  <c r="G32" i="1"/>
  <c r="H32" i="1"/>
  <c r="G16" i="1"/>
  <c r="H16" i="1"/>
  <c r="H497" i="1"/>
  <c r="H489" i="1"/>
  <c r="H481" i="1"/>
  <c r="H473" i="1"/>
  <c r="H465" i="1"/>
  <c r="H457" i="1"/>
  <c r="H449" i="1"/>
  <c r="H441" i="1"/>
  <c r="H433" i="1"/>
  <c r="H425" i="1"/>
  <c r="H417" i="1"/>
  <c r="H409" i="1"/>
  <c r="H401" i="1"/>
  <c r="H393" i="1"/>
  <c r="H385" i="1"/>
  <c r="H377" i="1"/>
  <c r="H369" i="1"/>
  <c r="H361" i="1"/>
  <c r="H353" i="1"/>
  <c r="H345" i="1"/>
  <c r="H170" i="1"/>
  <c r="H154" i="1"/>
  <c r="H138" i="1"/>
  <c r="H122" i="1"/>
  <c r="H106" i="1"/>
  <c r="H90" i="1"/>
  <c r="H74" i="1"/>
  <c r="H58" i="1"/>
  <c r="H42" i="1"/>
  <c r="H26" i="1"/>
  <c r="H10" i="1"/>
  <c r="I42" i="2" l="1"/>
  <c r="H41" i="2" l="1"/>
  <c r="I40" i="2"/>
  <c r="I41" i="2"/>
  <c r="H42" i="2"/>
  <c r="H40" i="2"/>
  <c r="H39" i="2" l="1"/>
  <c r="B94" i="2" s="1" a="1"/>
  <c r="I39" i="2"/>
  <c r="B94" i="2" l="1"/>
  <c r="B95" i="2"/>
  <c r="D94" i="2"/>
  <c r="D95" i="2"/>
  <c r="D96" i="2"/>
  <c r="D97" i="2"/>
  <c r="B96" i="2"/>
  <c r="B98" i="2"/>
  <c r="D98" i="2"/>
  <c r="C96" i="2"/>
  <c r="C94" i="2"/>
  <c r="C95" i="2"/>
  <c r="C97" i="2"/>
  <c r="C98" i="2"/>
  <c r="B97" i="2"/>
  <c r="B40" i="2" a="1"/>
  <c r="I24" i="2" l="1"/>
  <c r="I26" i="2" s="1"/>
  <c r="C42" i="2"/>
  <c r="B41" i="2"/>
  <c r="D43" i="2"/>
  <c r="C41" i="2"/>
  <c r="D41" i="2"/>
  <c r="D42" i="2"/>
  <c r="C43" i="2"/>
  <c r="B43" i="2"/>
  <c r="B40" i="2"/>
  <c r="B42" i="2"/>
  <c r="C40" i="2"/>
  <c r="C44" i="2"/>
  <c r="B44" i="2"/>
  <c r="D44" i="2"/>
  <c r="D40" i="2"/>
  <c r="E74" i="2" l="1"/>
  <c r="E78" i="2" s="1"/>
  <c r="I22" i="2"/>
  <c r="E72" i="2" s="1"/>
  <c r="E76" i="2" l="1"/>
  <c r="B5" i="3"/>
  <c r="E5" i="3" s="1"/>
  <c r="E80" i="2"/>
  <c r="A24" i="3"/>
  <c r="E18" i="3" s="1"/>
  <c r="F18" i="3" s="1"/>
  <c r="G18" i="3" s="1"/>
  <c r="H18" i="3" s="1"/>
  <c r="I18" i="3" s="1"/>
  <c r="J18" i="3" s="1"/>
  <c r="K18" i="3" s="1"/>
  <c r="L18" i="3" s="1"/>
  <c r="M18" i="3" s="1"/>
  <c r="N18" i="3" s="1"/>
  <c r="O18" i="3" s="1"/>
  <c r="P18" i="3" s="1"/>
  <c r="Q18" i="3" s="1"/>
  <c r="R18" i="3" s="1"/>
  <c r="S18" i="3" s="1"/>
  <c r="A31" i="3"/>
  <c r="E16" i="3" l="1"/>
  <c r="F16" i="3" s="1"/>
  <c r="G16" i="3" s="1"/>
  <c r="D5" i="3"/>
  <c r="A22" i="3"/>
  <c r="F5" i="3"/>
  <c r="G5" i="3" s="1"/>
  <c r="H5" i="3" s="1"/>
  <c r="I5" i="3" s="1"/>
  <c r="J5" i="3" s="1"/>
  <c r="K5" i="3" s="1"/>
  <c r="L5" i="3" s="1"/>
  <c r="M5" i="3" s="1"/>
  <c r="N5" i="3" s="1"/>
  <c r="O5" i="3" s="1"/>
  <c r="P5" i="3" s="1"/>
  <c r="Q5" i="3" s="1"/>
  <c r="R5" i="3" s="1"/>
  <c r="S5" i="3" s="1"/>
  <c r="T5" i="3" s="1"/>
  <c r="U5" i="3" s="1"/>
  <c r="V5" i="3" s="1"/>
  <c r="W5" i="3" s="1"/>
  <c r="X5" i="3" s="1"/>
  <c r="Y5" i="3" s="1"/>
  <c r="Z5" i="3" s="1"/>
  <c r="AA5" i="3" s="1"/>
  <c r="AB5" i="3" s="1"/>
  <c r="AC5" i="3" s="1"/>
  <c r="AD5" i="3" s="1"/>
  <c r="AE5" i="3" s="1"/>
  <c r="AF5" i="3" s="1"/>
  <c r="AG5" i="3" s="1"/>
  <c r="AH5" i="3" s="1"/>
  <c r="T18" i="3"/>
  <c r="A37" i="3"/>
  <c r="E17" i="3" s="1"/>
  <c r="C8" i="3" l="1"/>
  <c r="E82" i="2" s="1"/>
  <c r="E21" i="3"/>
  <c r="AF17" i="3"/>
  <c r="AE17" i="3"/>
  <c r="AH17" i="3"/>
  <c r="AD17" i="3"/>
  <c r="AG17" i="3"/>
  <c r="H16" i="3"/>
  <c r="U18" i="3"/>
  <c r="O17" i="3"/>
  <c r="N17" i="3"/>
  <c r="J17" i="3"/>
  <c r="Z17" i="3"/>
  <c r="F17" i="3"/>
  <c r="F21" i="3" s="1"/>
  <c r="AB17" i="3"/>
  <c r="AC17" i="3"/>
  <c r="U17" i="3"/>
  <c r="H17" i="3"/>
  <c r="T17" i="3"/>
  <c r="V17" i="3"/>
  <c r="L17" i="3"/>
  <c r="P17" i="3"/>
  <c r="G17" i="3"/>
  <c r="G21" i="3" s="1"/>
  <c r="R17" i="3"/>
  <c r="S17" i="3"/>
  <c r="W17" i="3"/>
  <c r="AA17" i="3"/>
  <c r="K17" i="3"/>
  <c r="Q17" i="3"/>
  <c r="X17" i="3"/>
  <c r="I17" i="3"/>
  <c r="M17" i="3"/>
  <c r="Y17" i="3"/>
  <c r="V18" i="3" l="1"/>
  <c r="I16" i="3"/>
  <c r="H21" i="3"/>
  <c r="J16" i="3" l="1"/>
  <c r="I21" i="3"/>
  <c r="W18" i="3"/>
  <c r="X18" i="3" l="1"/>
  <c r="K16" i="3"/>
  <c r="J21" i="3"/>
  <c r="L16" i="3" l="1"/>
  <c r="K21" i="3"/>
  <c r="Y18" i="3"/>
  <c r="Z18" i="3" l="1"/>
  <c r="M16" i="3"/>
  <c r="L21" i="3"/>
  <c r="N16" i="3" l="1"/>
  <c r="M21" i="3"/>
  <c r="AA18" i="3"/>
  <c r="AB18" i="3" l="1"/>
  <c r="O16" i="3"/>
  <c r="N21" i="3"/>
  <c r="P16" i="3" l="1"/>
  <c r="O21" i="3"/>
  <c r="AC18" i="3"/>
  <c r="AD18" i="3" s="1"/>
  <c r="AE18" i="3" l="1"/>
  <c r="AF18" i="3" s="1"/>
  <c r="AG18" i="3" s="1"/>
  <c r="Q16" i="3"/>
  <c r="P21" i="3"/>
  <c r="AH18" i="3" l="1"/>
  <c r="R16" i="3"/>
  <c r="Q21" i="3"/>
  <c r="S16" i="3" l="1"/>
  <c r="R21" i="3"/>
  <c r="T16" i="3" l="1"/>
  <c r="S21" i="3"/>
  <c r="U16" i="3" l="1"/>
  <c r="T21" i="3"/>
  <c r="V16" i="3" l="1"/>
  <c r="U21" i="3"/>
  <c r="W16" i="3" l="1"/>
  <c r="V21" i="3"/>
  <c r="X16" i="3" l="1"/>
  <c r="W21" i="3"/>
  <c r="Y16" i="3" l="1"/>
  <c r="X21" i="3"/>
  <c r="Z16" i="3" l="1"/>
  <c r="Y21" i="3"/>
  <c r="AA16" i="3" l="1"/>
  <c r="Z21" i="3"/>
  <c r="AB16" i="3" l="1"/>
  <c r="AA21" i="3"/>
  <c r="AC16" i="3" l="1"/>
  <c r="AB21" i="3"/>
  <c r="AC21" i="3" l="1"/>
  <c r="AD16" i="3"/>
  <c r="AE16" i="3" l="1"/>
  <c r="AD21" i="3"/>
  <c r="AE21" i="3" l="1"/>
  <c r="AF16" i="3"/>
  <c r="AF21" i="3" l="1"/>
  <c r="AG16" i="3"/>
  <c r="AH16" i="3" l="1"/>
  <c r="AH21" i="3" s="1"/>
  <c r="AG21" i="3"/>
  <c r="E24" i="3" l="1"/>
  <c r="E84" i="2" s="1"/>
</calcChain>
</file>

<file path=xl/sharedStrings.xml><?xml version="1.0" encoding="utf-8"?>
<sst xmlns="http://schemas.openxmlformats.org/spreadsheetml/2006/main" count="1689" uniqueCount="170">
  <si>
    <t>Locación</t>
  </si>
  <si>
    <t>Proceso</t>
  </si>
  <si>
    <t>T° Impulsión [°C]</t>
  </si>
  <si>
    <t>T° Retorno [°C]</t>
  </si>
  <si>
    <t>Área Solar [m2]</t>
  </si>
  <si>
    <t>FS</t>
  </si>
  <si>
    <t>Producción Específica [kWh/m2.año]</t>
  </si>
  <si>
    <t>Captador</t>
  </si>
  <si>
    <t>SIM</t>
  </si>
  <si>
    <t>ETC</t>
  </si>
  <si>
    <t>Seleccione Proceso</t>
  </si>
  <si>
    <t>Secado</t>
  </si>
  <si>
    <t>Carnica</t>
  </si>
  <si>
    <t>Bebidas</t>
  </si>
  <si>
    <t>Lacteos</t>
  </si>
  <si>
    <t>Farmaceutica</t>
  </si>
  <si>
    <t>AIRE</t>
  </si>
  <si>
    <t>PLANO1</t>
  </si>
  <si>
    <t>PLANO2</t>
  </si>
  <si>
    <t>WESSUN</t>
  </si>
  <si>
    <t>Barcelona</t>
  </si>
  <si>
    <t>Bilbao</t>
  </si>
  <si>
    <t>Madrid</t>
  </si>
  <si>
    <t>Sevilla</t>
  </si>
  <si>
    <t>Valencia</t>
  </si>
  <si>
    <t>FS Real</t>
  </si>
  <si>
    <t>ID</t>
  </si>
  <si>
    <t>FS fija</t>
  </si>
  <si>
    <t>Resultados Simulaciones</t>
  </si>
  <si>
    <t>Captador2</t>
  </si>
  <si>
    <t>ID2</t>
  </si>
  <si>
    <t>Producción Solar Captador [kWh/m2.año]</t>
  </si>
  <si>
    <t>TPM</t>
  </si>
  <si>
    <t>Ajuste Polinomio de grado 2</t>
  </si>
  <si>
    <t>[%]</t>
  </si>
  <si>
    <t>Seleccione Localidad</t>
  </si>
  <si>
    <t>Seleccione Captador Solar</t>
  </si>
  <si>
    <r>
      <t>Aportación Solar [kWh/m</t>
    </r>
    <r>
      <rPr>
        <i/>
        <vertAlign val="superscript"/>
        <sz val="10"/>
        <color theme="1"/>
        <rFont val="Calibri Light"/>
        <family val="2"/>
        <scheme val="major"/>
      </rPr>
      <t>2</t>
    </r>
    <r>
      <rPr>
        <i/>
        <sz val="10"/>
        <color theme="1"/>
        <rFont val="Calibri Light"/>
        <family val="2"/>
        <scheme val="major"/>
      </rPr>
      <t>.año]</t>
    </r>
  </si>
  <si>
    <t>Sel. Cobertura Solar Objetivo</t>
  </si>
  <si>
    <t>Captador PLANO Estándard</t>
  </si>
  <si>
    <t>Captador PLANO Gran Formato</t>
  </si>
  <si>
    <r>
      <rPr>
        <b/>
        <sz val="14"/>
        <rFont val="Calibri Light"/>
        <family val="2"/>
        <scheme val="major"/>
      </rPr>
      <t xml:space="preserve">Área de captación solar </t>
    </r>
    <r>
      <rPr>
        <sz val="14"/>
        <rFont val="Calibri Light"/>
        <family val="2"/>
        <scheme val="major"/>
      </rPr>
      <t>[m</t>
    </r>
    <r>
      <rPr>
        <vertAlign val="superscript"/>
        <sz val="14"/>
        <rFont val="Calibri Light"/>
        <family val="2"/>
        <scheme val="major"/>
      </rPr>
      <t>2</t>
    </r>
    <r>
      <rPr>
        <sz val="14"/>
        <rFont val="Calibri Light"/>
        <family val="2"/>
        <scheme val="major"/>
      </rPr>
      <t>]</t>
    </r>
  </si>
  <si>
    <t>Demanda proceso industrial [MWh/año]</t>
  </si>
  <si>
    <t>TIR</t>
  </si>
  <si>
    <t>Incremento anual del coste de la Energía estimado</t>
  </si>
  <si>
    <t>VALOR ENERGIA PRODUCIDA</t>
  </si>
  <si>
    <t>Vida ÚTIL</t>
  </si>
  <si>
    <t>COSTE NIVELADO DE LA ENERGÍA</t>
  </si>
  <si>
    <t>Incremento anual del coste de la Energía estimado %</t>
  </si>
  <si>
    <t>VIDA UTIL</t>
  </si>
  <si>
    <t>COSTE DE ENERGÍA</t>
  </si>
  <si>
    <t>Demanda anual de energía MWh/año</t>
  </si>
  <si>
    <t>CONTRIBUCIÓN ANUAL DE ENERGIA SOLAR TERMICA MWh/año</t>
  </si>
  <si>
    <t>CO2 ANUAL EVITADO tonCO2/año</t>
  </si>
  <si>
    <t>PRECIO CO2 EVITADO €/tonCO2 evitado</t>
  </si>
  <si>
    <t>GUIA SOLAR TÉRMICA EN INDUSTRIA</t>
  </si>
  <si>
    <t>DATOS GENERALES</t>
  </si>
  <si>
    <t>Nombre del proyecto</t>
  </si>
  <si>
    <t>Empresa</t>
  </si>
  <si>
    <t>Autor de la simulación</t>
  </si>
  <si>
    <t>Teléfono</t>
  </si>
  <si>
    <t>email</t>
  </si>
  <si>
    <t>PARÁMETROS TÉCNICOS</t>
  </si>
  <si>
    <t>Fuente de energía convencional</t>
  </si>
  <si>
    <t>%</t>
  </si>
  <si>
    <t>PARÁMETROS FINANCIEROS Y DE INVERSIÓN</t>
  </si>
  <si>
    <r>
      <t>Coste estimado por m</t>
    </r>
    <r>
      <rPr>
        <vertAlign val="superscript"/>
        <sz val="11"/>
        <color theme="1"/>
        <rFont val="Calibri Light"/>
        <family val="2"/>
        <scheme val="major"/>
      </rPr>
      <t>2</t>
    </r>
    <r>
      <rPr>
        <sz val="11"/>
        <color theme="1"/>
        <rFont val="Calibri Light"/>
        <family val="2"/>
        <scheme val="major"/>
      </rPr>
      <t xml:space="preserve"> apertura</t>
    </r>
  </si>
  <si>
    <r>
      <t>€/m</t>
    </r>
    <r>
      <rPr>
        <vertAlign val="superscript"/>
        <sz val="11"/>
        <color theme="1"/>
        <rFont val="Calibri Light"/>
        <family val="2"/>
        <scheme val="major"/>
      </rPr>
      <t>2</t>
    </r>
  </si>
  <si>
    <t>Coste de energía convencional bruto</t>
  </si>
  <si>
    <t>€/MWh PCI</t>
  </si>
  <si>
    <t>Coste de energía convencional (neto)</t>
  </si>
  <si>
    <t>€/MWh útil</t>
  </si>
  <si>
    <r>
      <t>ton CO</t>
    </r>
    <r>
      <rPr>
        <vertAlign val="subscript"/>
        <sz val="11"/>
        <color theme="1"/>
        <rFont val="Calibri Light"/>
        <family val="2"/>
        <scheme val="major"/>
      </rPr>
      <t>2</t>
    </r>
    <r>
      <rPr>
        <sz val="11"/>
        <color theme="1"/>
        <rFont val="Calibri Light"/>
        <family val="2"/>
        <scheme val="major"/>
      </rPr>
      <t>/MWh</t>
    </r>
  </si>
  <si>
    <t>Precio de CO2 evitado</t>
  </si>
  <si>
    <r>
      <t>€/ton CO</t>
    </r>
    <r>
      <rPr>
        <vertAlign val="subscript"/>
        <sz val="11"/>
        <color theme="1"/>
        <rFont val="Calibri Light"/>
        <family val="2"/>
        <scheme val="major"/>
      </rPr>
      <t>2</t>
    </r>
    <r>
      <rPr>
        <sz val="11"/>
        <color theme="1"/>
        <rFont val="Calibri Light"/>
        <family val="2"/>
        <scheme val="major"/>
      </rPr>
      <t xml:space="preserve"> evitado</t>
    </r>
  </si>
  <si>
    <t>Coste estimado de operación y mantenimiento</t>
  </si>
  <si>
    <t>% anual</t>
  </si>
  <si>
    <t>Inflación general. % Anual estimado</t>
  </si>
  <si>
    <t>Años</t>
  </si>
  <si>
    <t>Porcentaje de subvenciones</t>
  </si>
  <si>
    <t>RESULTADOS FINALES</t>
  </si>
  <si>
    <t>Aportación solar</t>
  </si>
  <si>
    <r>
      <t>kWh/m</t>
    </r>
    <r>
      <rPr>
        <vertAlign val="superscript"/>
        <sz val="11"/>
        <color theme="1"/>
        <rFont val="Calibri Light"/>
        <family val="2"/>
        <scheme val="major"/>
      </rPr>
      <t>2</t>
    </r>
    <r>
      <rPr>
        <sz val="11"/>
        <color theme="1"/>
        <rFont val="Calibri Light"/>
        <family val="2"/>
        <scheme val="major"/>
      </rPr>
      <t>.año</t>
    </r>
  </si>
  <si>
    <t>Superficie de apertura</t>
  </si>
  <si>
    <r>
      <t>m</t>
    </r>
    <r>
      <rPr>
        <vertAlign val="superscript"/>
        <sz val="11"/>
        <color theme="1"/>
        <rFont val="Calibri Light"/>
        <family val="2"/>
        <scheme val="major"/>
      </rPr>
      <t>2</t>
    </r>
  </si>
  <si>
    <r>
      <t>Emisiones de CO</t>
    </r>
    <r>
      <rPr>
        <vertAlign val="subscript"/>
        <sz val="11"/>
        <color theme="1"/>
        <rFont val="Calibri Light"/>
        <family val="2"/>
        <scheme val="major"/>
      </rPr>
      <t>2</t>
    </r>
    <r>
      <rPr>
        <sz val="11"/>
        <color theme="1"/>
        <rFont val="Calibri Light"/>
        <family val="2"/>
        <scheme val="major"/>
      </rPr>
      <t xml:space="preserve"> evitadas durante la vida útil</t>
    </r>
  </si>
  <si>
    <r>
      <t>ton CO</t>
    </r>
    <r>
      <rPr>
        <vertAlign val="subscript"/>
        <sz val="11"/>
        <color theme="1"/>
        <rFont val="Calibri Light"/>
        <family val="2"/>
        <scheme val="major"/>
      </rPr>
      <t>2</t>
    </r>
  </si>
  <si>
    <t>Coste de Inversión total</t>
  </si>
  <si>
    <t>€</t>
  </si>
  <si>
    <t>Coste de Inversión menos subvenciones</t>
  </si>
  <si>
    <t>Rentabilidad del proyecto TIR</t>
  </si>
  <si>
    <t>€/MWh</t>
  </si>
  <si>
    <t xml:space="preserve">Nota: </t>
  </si>
  <si>
    <r>
      <t xml:space="preserve">Simulador de viabilidad. </t>
    </r>
    <r>
      <rPr>
        <i/>
        <sz val="10"/>
        <color theme="1"/>
        <rFont val="Calibri Light"/>
        <family val="2"/>
        <scheme val="major"/>
      </rPr>
      <t>(Versión julio 2022)</t>
    </r>
  </si>
  <si>
    <t>COSTE ENERGÍA CONVENCIONAL €/MWh neto</t>
  </si>
  <si>
    <t>GASTOS DE INVERSIÓN (Coste de inversión menos subvenciones)</t>
  </si>
  <si>
    <t>Coste de operación y mantenimiento Año1</t>
  </si>
  <si>
    <t>LCOE numerador</t>
  </si>
  <si>
    <t>LCOE denominador</t>
  </si>
  <si>
    <t>COSTES DE OPERACIÓN Y MANTENIMIENTO</t>
  </si>
  <si>
    <t>LCOE</t>
  </si>
  <si>
    <t>PRECIO CO2 EVITADO</t>
  </si>
  <si>
    <t>Estimación de coste nivelado de la energía</t>
  </si>
  <si>
    <t>Eficiencia del sistema de generación de energía convencional [%]</t>
  </si>
  <si>
    <r>
      <t xml:space="preserve">Vida útil estimada de la instalación </t>
    </r>
    <r>
      <rPr>
        <i/>
        <sz val="10"/>
        <color theme="1"/>
        <rFont val="Calibri Light"/>
        <family val="2"/>
        <scheme val="major"/>
      </rPr>
      <t>(Valor máximo 30 años)</t>
    </r>
  </si>
  <si>
    <t>Esta hoja de cálculo ha sido realizada como complemento a la Guía de Energía Solar Térmica en Industria publicada por IDAE.</t>
  </si>
  <si>
    <t>Herramienta válida para versiones de Excell 2019 y posteriores</t>
  </si>
  <si>
    <t>Su utilización está limitada a las ciudades, tecnologías y procesos indicados.</t>
  </si>
  <si>
    <t>El carácter de los resultados es aproximativo y en ningún momento sustituye a los cálculos de detalle que deben ser realizados por técnicos competentes para el diseño de las instalaciones que se simulan.</t>
  </si>
  <si>
    <r>
      <t>Coeficiente de emisiones de CO</t>
    </r>
    <r>
      <rPr>
        <vertAlign val="subscript"/>
        <sz val="11"/>
        <color theme="1"/>
        <rFont val="Calibri Light"/>
        <family val="2"/>
        <scheme val="major"/>
      </rPr>
      <t>2</t>
    </r>
    <r>
      <rPr>
        <sz val="11"/>
        <color theme="1"/>
        <rFont val="Calibri Light"/>
        <family val="2"/>
        <scheme val="major"/>
      </rPr>
      <t xml:space="preserve"> </t>
    </r>
    <r>
      <rPr>
        <i/>
        <sz val="9"/>
        <color theme="1"/>
        <rFont val="Calibri Light"/>
        <family val="2"/>
        <scheme val="major"/>
      </rPr>
      <t>(asignado a la fuente de energía convencional)</t>
    </r>
  </si>
  <si>
    <t>TUBO DE VACIO</t>
  </si>
  <si>
    <t>Captador TUBO DE VACIO-CPC</t>
  </si>
  <si>
    <t>Fuentes de energia convencional</t>
  </si>
  <si>
    <t>Electricidad</t>
  </si>
  <si>
    <t>Gas Natural</t>
  </si>
  <si>
    <t>Gasóleo</t>
  </si>
  <si>
    <t>GLP</t>
  </si>
  <si>
    <t>Propano</t>
  </si>
  <si>
    <t>Fueloleo</t>
  </si>
  <si>
    <r>
      <t>Factores de conversion tonCO</t>
    </r>
    <r>
      <rPr>
        <b/>
        <vertAlign val="subscript"/>
        <sz val="11"/>
        <color theme="0"/>
        <rFont val="Calibri Light"/>
        <family val="2"/>
        <scheme val="major"/>
      </rPr>
      <t>2</t>
    </r>
    <r>
      <rPr>
        <b/>
        <sz val="11"/>
        <color theme="0"/>
        <rFont val="Calibri Light"/>
        <family val="2"/>
        <scheme val="major"/>
      </rPr>
      <t>/MWh</t>
    </r>
  </si>
  <si>
    <t>Concentrador con TUBO DE VACIO-CPC</t>
  </si>
  <si>
    <r>
      <rPr>
        <b/>
        <sz val="14"/>
        <rFont val="Calibri Light"/>
        <family val="2"/>
        <scheme val="major"/>
      </rPr>
      <t xml:space="preserve">Potencia nominal solar </t>
    </r>
    <r>
      <rPr>
        <sz val="14"/>
        <rFont val="Calibri Light"/>
        <family val="2"/>
        <scheme val="major"/>
      </rPr>
      <t>[kW]</t>
    </r>
  </si>
  <si>
    <r>
      <rPr>
        <b/>
        <sz val="14"/>
        <rFont val="Calibri Light"/>
        <family val="2"/>
        <scheme val="major"/>
      </rPr>
      <t xml:space="preserve">Aportación solar </t>
    </r>
    <r>
      <rPr>
        <sz val="14"/>
        <rFont val="Calibri Light"/>
        <family val="2"/>
        <scheme val="major"/>
      </rPr>
      <t>[kWh/m</t>
    </r>
    <r>
      <rPr>
        <vertAlign val="superscript"/>
        <sz val="14"/>
        <rFont val="Calibri Light"/>
        <family val="2"/>
        <scheme val="major"/>
      </rPr>
      <t>2</t>
    </r>
    <r>
      <rPr>
        <sz val="14"/>
        <rFont val="Calibri Light"/>
        <family val="2"/>
        <scheme val="major"/>
      </rPr>
      <t>.año]</t>
    </r>
  </si>
  <si>
    <t>OBJETO DEL SIMULADOR</t>
  </si>
  <si>
    <t>HIPÓTESIS Y EXCLUSIONES</t>
  </si>
  <si>
    <t>Este simulador ha sido desarrollado como complemento a la Guía Solar Térmica en Industria.
Su propósito es permitir al usuario realizar un pre-dimensionado sencillo y determinar la contribución solar al proceso industrial como primera aproximación.
Facilita, a través de la modificación de diferentes variables, simular la viabilidad de la instalación, mediante el cálculo estimado de la rentabilidad de la instalación (TIR) y del coste nivelado de generación de la energía.
Esta herramienta parte de la caracterización de perfiles de consumo estándar que han sido definidos para la simulación de instalaciones de 5 procesos industriales diferentes: secado, industria cárnica, bebidas, lácteos e industrias farmacéuticas.
Las instalaciones pueden simularse en 5 ubicaciones geográficas diferentes que pueden ser consideradas representativas por sus niveles de radiación solar de las diferentes zonas señaladas en los mapas de radiación solar en España.
Finalmente, la herramienta desarrollada permite al usuario considerar en sus cálculos la utilización de 5 tecnologías diferentes de captadores solares.</t>
  </si>
  <si>
    <t>ELEMENTOS INCLUIDOS EN LA SIMULACIÓN</t>
  </si>
  <si>
    <t>Para la realización de las simulaciones han sido considerados:
- Campo de captadores
- Tuberías circuito primario
- Intercambiador primario‐secundario
- Acumulación solar (acumulador vertical de agua)
- Demanda de proceso caracterizada por una potencia y dos temperaturas de proceso*1
  que entra en la parte inferior de la acumulación solar.
- Control del sistema por sensor crepuscular, delta T secundario y Tmax acumulación</t>
  </si>
  <si>
    <t>ELEMENTOS EXCLUIDOS EN LA SIMULACIÓN</t>
  </si>
  <si>
    <t>Para la realización de las simulacioneshan sido excluidos los siguientes elementos:
- Sombras horizonte y sombres entre filas captadoes
- Consumos parasitarios (parametrización correcta)
- Equipos Auxiliares, Boilers, Bombas de calor, etc
- Intercambiador de proceso ‐&gt; *1 se puede integrar mediante un delta T en la
temperatura de retorno e impulsión de proceso</t>
  </si>
  <si>
    <t>LOCALIZACIONES CLIMÁTICAS</t>
  </si>
  <si>
    <t>Se han tenido en consideración 5 localizaciones climáticas cuyas características se consideran representativas. El usuario asignará a la localización de la instalación que desee simular la zona climática correspondiente en función del mapa adjunto.
A. Sevilla
B. Valencia
C. Barcelona
D. Madrid
E. Bilbao</t>
  </si>
  <si>
    <t>PROCESOS INDUSTRIALES</t>
  </si>
  <si>
    <t>Esta herramienta es aplicable a los siguientes industrias y procesos industriales:
- Procesos de secado
- Industria cárnica
- Bebidas
- Industrias lácteas
- Industrias farmacéuticas</t>
  </si>
  <si>
    <t>DEMANDAS DE PROCESO</t>
  </si>
  <si>
    <t>La herramienta es válida para demandas de proceso situadas dentro de los siguientes rangos:
- Secado de pasta con aire ambiente hasta 60ºC
- Cárnica entre 60 y 120ºC
- Lácteos entre 60 y 120ºC
- Bebidas &lt; 60ºC
- Farmacéuticos entre 60 y 120ºC</t>
  </si>
  <si>
    <t>PERFILES DE DEMANDA CONSIDERADOS EN LOS CÁLCULOS</t>
  </si>
  <si>
    <t xml:space="preserve">Para cada una de los tipos de empresa se han definido unos perfiles base de consumos en los que se han considerado los principales parámetros de funcionamiento de los procesos.
A continuación se indican los valores de referencia que se han considerado:
Demanda anual de energía 5GWh.
</t>
  </si>
  <si>
    <t>Cárnica</t>
  </si>
  <si>
    <t>Lácteos</t>
  </si>
  <si>
    <t>Farmacéutica</t>
  </si>
  <si>
    <t>MAX (kWh)</t>
  </si>
  <si>
    <t>TOTAL (kWh/año)</t>
  </si>
  <si>
    <t>T Impulsión (ºC)</t>
  </si>
  <si>
    <t>T Retorno (ºC)</t>
  </si>
  <si>
    <t>Horas de operación (hrs)</t>
  </si>
  <si>
    <t>CAPTADORES SOLARES</t>
  </si>
  <si>
    <t>Para la simulación se consideran captadores solares con las siguientes características</t>
  </si>
  <si>
    <t>C</t>
  </si>
  <si>
    <t>ao</t>
  </si>
  <si>
    <t>a1</t>
  </si>
  <si>
    <t>a2</t>
  </si>
  <si>
    <t>IAM</t>
  </si>
  <si>
    <t>UFPC-Air*</t>
  </si>
  <si>
    <t>FPC1</t>
  </si>
  <si>
    <t>FPC2</t>
  </si>
  <si>
    <t>WeSSun</t>
  </si>
  <si>
    <t>El del plano 0,999</t>
  </si>
  <si>
    <t>El del plano 0,88</t>
  </si>
  <si>
    <t>El del plano 0,91</t>
  </si>
  <si>
    <t>Linuo</t>
  </si>
  <si>
    <t>IAM_LIN_WeSSun_1R_Giro</t>
  </si>
  <si>
    <t>* Captador de aire se ha considerado únicamente para el proceso de secado con volumen de acumulación menor</t>
  </si>
  <si>
    <t>FRACCIONES SOLARES</t>
  </si>
  <si>
    <t xml:space="preserve">El usuario puede realizar simulaciones con niveles de objetivo de cobertura solar:
- 30%
- 45%
- 60%
- 75%
</t>
  </si>
  <si>
    <t>CRITERIOS DE DIMENSIONADO PARA EL CÁLCULO DE LAS SIMULACIONES</t>
  </si>
  <si>
    <t>La herramienta ha sido diseñada teniendo en cuenta los siguientes criterios:
- Área campo de captadores: dimensionado según la Gth y las Eta para el punto de trabajo del captador según las temperaturas de proceso
- Azimut: 0°
- Slope: Latitud – 5°? (si es el aire Fachada)
- Caudal de campo ‐ Salto térmico campo de captadores: min (20º y Salto de proceso/Demanda)
- Tuberías y equipos de recirculación en base al caudal de campo según correlaciones habituales
- DTLM HX primario 7ºC para todos
- Volumen acumulación: 75 l/m2 para procesos continuos – 125 l/m2 para procesos interrumpidos durante fin de semana.
- Control solar crepuscular y deltaT secundario y temperatura máxima acumulador (100ºC o según proceso?)
- Para el captador de aire aplicado a un proceso de secado considera un sistema sin intercambiadores y sin almacenamiento, consigna del aire 65º, 24/7 todo el año pero variable</t>
  </si>
  <si>
    <t>Ejemplo</t>
  </si>
  <si>
    <t>REQUISITOS</t>
  </si>
  <si>
    <t>Este simulador ha sido desarrollado con Microsoft 365 Excell version 2207
Si dispone de versiones anteriores se recomienda que actualice su cuenta de Microsoft para asegurar un correcto funcionamiento.</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</si>
</sst>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4" formatCode="_-* #,##0.00\ &quot;€&quot;_-;\-* #,##0.00\ &quot;€&quot;_-;_-* &quot;-&quot;??\ &quot;€&quot;_-;_-@_-"/>
    <numFmt numFmtId="164" formatCode="0.0"/>
    <numFmt numFmtId="165" formatCode="#,##0.00\ &quot;€&quot;"/>
    <numFmt numFmtId="166" formatCode="0.000"/>
  </numFmts>
  <fonts count="31" x14ac:knownFonts="1">
    <font>
      <sz val="11"/>
      <color theme="1"/>
      <name val="Calibri"/>
      <family val="2"/>
      <scheme val="minor"/>
    </font>
    <font>
      <sz val="11"/>
      <color theme="1"/>
      <name val="Calibri"/>
      <family val="2"/>
      <scheme val="minor"/>
    </font>
    <font>
      <sz val="8"/>
      <color theme="1"/>
      <name val="Calibri Light"/>
      <family val="2"/>
      <scheme val="major"/>
    </font>
    <font>
      <sz val="11"/>
      <color theme="1"/>
      <name val="Calibri Light"/>
      <family val="2"/>
      <scheme val="major"/>
    </font>
    <font>
      <sz val="11"/>
      <color rgb="FFFF0000"/>
      <name val="Calibri Light"/>
      <family val="2"/>
      <scheme val="major"/>
    </font>
    <font>
      <sz val="8"/>
      <color rgb="FFFF0000"/>
      <name val="Calibri Light"/>
      <family val="2"/>
      <scheme val="major"/>
    </font>
    <font>
      <sz val="14"/>
      <name val="Calibri Light"/>
      <family val="2"/>
      <scheme val="major"/>
    </font>
    <font>
      <vertAlign val="superscript"/>
      <sz val="14"/>
      <name val="Calibri Light"/>
      <family val="2"/>
      <scheme val="major"/>
    </font>
    <font>
      <b/>
      <sz val="14"/>
      <name val="Calibri Light"/>
      <family val="2"/>
      <scheme val="major"/>
    </font>
    <font>
      <i/>
      <sz val="10"/>
      <color theme="1"/>
      <name val="Calibri Light"/>
      <family val="2"/>
      <scheme val="major"/>
    </font>
    <font>
      <i/>
      <sz val="11"/>
      <color theme="1"/>
      <name val="Calibri Light"/>
      <family val="2"/>
      <scheme val="major"/>
    </font>
    <font>
      <i/>
      <vertAlign val="superscript"/>
      <sz val="10"/>
      <color theme="1"/>
      <name val="Calibri Light"/>
      <family val="2"/>
      <scheme val="major"/>
    </font>
    <font>
      <sz val="8"/>
      <color theme="0"/>
      <name val="Calibri Light"/>
      <family val="2"/>
      <scheme val="major"/>
    </font>
    <font>
      <sz val="11"/>
      <color theme="0"/>
      <name val="Calibri Light"/>
      <family val="2"/>
      <scheme val="major"/>
    </font>
    <font>
      <sz val="11"/>
      <name val="Calibri Light"/>
      <family val="2"/>
      <scheme val="major"/>
    </font>
    <font>
      <b/>
      <sz val="11"/>
      <color rgb="FF00B050"/>
      <name val="Calibri"/>
      <family val="2"/>
      <scheme val="minor"/>
    </font>
    <font>
      <b/>
      <sz val="11"/>
      <color rgb="FFFF0000"/>
      <name val="Calibri"/>
      <family val="2"/>
      <scheme val="minor"/>
    </font>
    <font>
      <u/>
      <sz val="11"/>
      <color theme="10"/>
      <name val="Calibri"/>
      <family val="2"/>
      <scheme val="minor"/>
    </font>
    <font>
      <b/>
      <sz val="14"/>
      <color theme="1"/>
      <name val="Calibri Light"/>
      <family val="2"/>
      <scheme val="major"/>
    </font>
    <font>
      <sz val="14"/>
      <color theme="1"/>
      <name val="Calibri Light"/>
      <family val="2"/>
      <scheme val="major"/>
    </font>
    <font>
      <vertAlign val="superscript"/>
      <sz val="11"/>
      <color theme="1"/>
      <name val="Calibri Light"/>
      <family val="2"/>
      <scheme val="major"/>
    </font>
    <font>
      <vertAlign val="subscript"/>
      <sz val="11"/>
      <color theme="1"/>
      <name val="Calibri Light"/>
      <family val="2"/>
      <scheme val="major"/>
    </font>
    <font>
      <sz val="11"/>
      <color theme="1"/>
      <name val="Calibri"/>
      <family val="2"/>
    </font>
    <font>
      <b/>
      <sz val="14"/>
      <color theme="0"/>
      <name val="Calibri Light"/>
      <family val="2"/>
      <scheme val="major"/>
    </font>
    <font>
      <i/>
      <sz val="9"/>
      <color theme="1"/>
      <name val="Calibri Light"/>
      <family val="2"/>
      <scheme val="major"/>
    </font>
    <font>
      <b/>
      <sz val="11"/>
      <color theme="1"/>
      <name val="Calibri"/>
      <family val="2"/>
      <scheme val="minor"/>
    </font>
    <font>
      <b/>
      <sz val="14"/>
      <color theme="1"/>
      <name val="Calibri"/>
      <family val="2"/>
      <scheme val="minor"/>
    </font>
    <font>
      <sz val="11"/>
      <color theme="0"/>
      <name val="Calibri"/>
      <family val="2"/>
      <scheme val="minor"/>
    </font>
    <font>
      <b/>
      <sz val="11"/>
      <color theme="0"/>
      <name val="Calibri Light"/>
      <family val="2"/>
      <scheme val="major"/>
    </font>
    <font>
      <b/>
      <vertAlign val="subscript"/>
      <sz val="11"/>
      <color theme="0"/>
      <name val="Calibri Light"/>
      <family val="2"/>
      <scheme val="major"/>
    </font>
    <font>
      <sz val="14"/>
      <color theme="1"/>
      <name val="Calibri"/>
      <family val="2"/>
      <scheme val="minor"/>
    </font>
  </fonts>
  <fills count="6">
    <fill>
      <patternFill patternType="none"/>
    </fill>
    <fill>
      <patternFill patternType="gray125"/>
    </fill>
    <fill>
      <patternFill patternType="solid">
        <fgColor theme="0"/>
        <bgColor indexed="64"/>
      </patternFill>
    </fill>
    <fill>
      <patternFill patternType="solid">
        <fgColor theme="7" tint="0.79998168889431442"/>
        <bgColor indexed="64"/>
      </patternFill>
    </fill>
    <fill>
      <patternFill patternType="solid">
        <fgColor theme="1" tint="0.249977111117893"/>
        <bgColor indexed="64"/>
      </patternFill>
    </fill>
    <fill>
      <patternFill patternType="solid">
        <fgColor theme="0" tint="-0.14999847407452621"/>
        <bgColor indexed="64"/>
      </patternFill>
    </fill>
  </fills>
  <borders count="22">
    <border>
      <left/>
      <right/>
      <top/>
      <bottom/>
      <diagonal/>
    </border>
    <border>
      <left style="thin">
        <color theme="0"/>
      </left>
      <right style="thin">
        <color theme="0"/>
      </right>
      <top style="thin">
        <color theme="0"/>
      </top>
      <bottom style="thin">
        <color theme="0"/>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theme="0"/>
      </left>
      <right/>
      <top/>
      <bottom/>
      <diagonal/>
    </border>
    <border>
      <left/>
      <right/>
      <top style="thin">
        <color theme="0"/>
      </top>
      <bottom style="thin">
        <color theme="0"/>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
    <xf numFmtId="0" fontId="0" fillId="0" borderId="0"/>
    <xf numFmtId="9" fontId="1" fillId="0" borderId="0" applyFont="0" applyFill="0" applyBorder="0" applyAlignment="0" applyProtection="0"/>
    <xf numFmtId="44" fontId="1" fillId="0" borderId="0" applyFont="0" applyFill="0" applyBorder="0" applyAlignment="0" applyProtection="0"/>
    <xf numFmtId="0" fontId="17" fillId="0" borderId="0" applyNumberFormat="0" applyFill="0" applyBorder="0" applyAlignment="0" applyProtection="0"/>
  </cellStyleXfs>
  <cellXfs count="117">
    <xf numFmtId="0" fontId="0" fillId="0" borderId="0" xfId="0"/>
    <xf numFmtId="0" fontId="0" fillId="0" borderId="0" xfId="0" applyAlignment="1" applyProtection="1">
      <alignment horizontal="center" vertical="center" wrapText="1"/>
      <protection hidden="1"/>
    </xf>
    <xf numFmtId="2" fontId="0" fillId="0" borderId="0" xfId="0" applyNumberFormat="1" applyAlignment="1" applyProtection="1">
      <alignment horizontal="center" vertical="center" wrapText="1"/>
      <protection hidden="1"/>
    </xf>
    <xf numFmtId="9" fontId="0" fillId="0" borderId="0" xfId="1" applyFont="1" applyAlignment="1" applyProtection="1">
      <alignment horizontal="center" vertical="center" wrapText="1"/>
      <protection hidden="1"/>
    </xf>
    <xf numFmtId="0" fontId="0" fillId="0" borderId="0" xfId="0" applyProtection="1">
      <protection hidden="1"/>
    </xf>
    <xf numFmtId="0" fontId="0" fillId="3" borderId="2" xfId="0" applyFill="1" applyBorder="1" applyProtection="1">
      <protection hidden="1"/>
    </xf>
    <xf numFmtId="0" fontId="0" fillId="3" borderId="3" xfId="0" applyFill="1" applyBorder="1" applyProtection="1">
      <protection hidden="1"/>
    </xf>
    <xf numFmtId="2" fontId="0" fillId="3" borderId="4" xfId="1" applyNumberFormat="1" applyFont="1" applyFill="1" applyBorder="1" applyProtection="1">
      <protection hidden="1"/>
    </xf>
    <xf numFmtId="44" fontId="0" fillId="3" borderId="0" xfId="2" applyFont="1" applyFill="1" applyBorder="1" applyProtection="1">
      <protection hidden="1"/>
    </xf>
    <xf numFmtId="0" fontId="0" fillId="3" borderId="0" xfId="0" applyFill="1" applyProtection="1">
      <protection hidden="1"/>
    </xf>
    <xf numFmtId="0" fontId="0" fillId="3" borderId="4" xfId="0" applyFill="1" applyBorder="1" applyProtection="1">
      <protection hidden="1"/>
    </xf>
    <xf numFmtId="0" fontId="0" fillId="3" borderId="5" xfId="0" applyFill="1" applyBorder="1" applyProtection="1">
      <protection hidden="1"/>
    </xf>
    <xf numFmtId="10" fontId="0" fillId="3" borderId="6" xfId="1" applyNumberFormat="1" applyFont="1" applyFill="1" applyBorder="1" applyProtection="1">
      <protection hidden="1"/>
    </xf>
    <xf numFmtId="0" fontId="0" fillId="3" borderId="7" xfId="0" applyFill="1" applyBorder="1" applyProtection="1">
      <protection hidden="1"/>
    </xf>
    <xf numFmtId="0" fontId="0" fillId="3" borderId="8" xfId="0" applyFill="1" applyBorder="1" applyProtection="1">
      <protection hidden="1"/>
    </xf>
    <xf numFmtId="2" fontId="0" fillId="3" borderId="0" xfId="1" applyNumberFormat="1" applyFont="1" applyFill="1" applyBorder="1" applyProtection="1">
      <protection hidden="1"/>
    </xf>
    <xf numFmtId="0" fontId="25" fillId="3" borderId="0" xfId="0" applyFont="1" applyFill="1" applyProtection="1">
      <protection hidden="1"/>
    </xf>
    <xf numFmtId="44" fontId="0" fillId="3" borderId="0" xfId="2" applyFont="1" applyFill="1" applyBorder="1" applyAlignment="1" applyProtection="1">
      <alignment horizontal="left"/>
      <protection hidden="1"/>
    </xf>
    <xf numFmtId="0" fontId="0" fillId="3" borderId="0" xfId="0" applyFill="1" applyAlignment="1" applyProtection="1">
      <alignment horizontal="left"/>
      <protection hidden="1"/>
    </xf>
    <xf numFmtId="0" fontId="0" fillId="3" borderId="0" xfId="0" applyFill="1" applyAlignment="1" applyProtection="1">
      <alignment wrapText="1"/>
      <protection hidden="1"/>
    </xf>
    <xf numFmtId="0" fontId="0" fillId="0" borderId="0" xfId="0" applyAlignment="1" applyProtection="1">
      <alignment wrapText="1"/>
      <protection hidden="1"/>
    </xf>
    <xf numFmtId="165" fontId="0" fillId="0" borderId="0" xfId="0" applyNumberFormat="1" applyProtection="1">
      <protection hidden="1"/>
    </xf>
    <xf numFmtId="44" fontId="0" fillId="0" borderId="0" xfId="2" applyFont="1" applyFill="1" applyBorder="1" applyProtection="1">
      <protection hidden="1"/>
    </xf>
    <xf numFmtId="165" fontId="25" fillId="0" borderId="0" xfId="0" applyNumberFormat="1" applyFont="1" applyProtection="1">
      <protection hidden="1"/>
    </xf>
    <xf numFmtId="0" fontId="26" fillId="0" borderId="5" xfId="0" applyFont="1" applyBorder="1" applyProtection="1">
      <protection hidden="1"/>
    </xf>
    <xf numFmtId="2" fontId="26" fillId="0" borderId="6" xfId="0" applyNumberFormat="1" applyFont="1" applyBorder="1" applyProtection="1">
      <protection hidden="1"/>
    </xf>
    <xf numFmtId="0" fontId="3" fillId="2" borderId="0" xfId="0" applyFont="1" applyFill="1" applyProtection="1">
      <protection hidden="1"/>
    </xf>
    <xf numFmtId="0" fontId="25" fillId="0" borderId="0" xfId="0" applyFont="1" applyProtection="1">
      <protection hidden="1"/>
    </xf>
    <xf numFmtId="2" fontId="15" fillId="0" borderId="0" xfId="0" applyNumberFormat="1" applyFont="1" applyProtection="1">
      <protection hidden="1"/>
    </xf>
    <xf numFmtId="2" fontId="0" fillId="0" borderId="0" xfId="0" applyNumberFormat="1" applyProtection="1">
      <protection hidden="1"/>
    </xf>
    <xf numFmtId="2" fontId="16" fillId="0" borderId="0" xfId="0" applyNumberFormat="1" applyFont="1" applyProtection="1">
      <protection hidden="1"/>
    </xf>
    <xf numFmtId="0" fontId="2" fillId="2" borderId="0" xfId="0" applyFont="1" applyFill="1" applyProtection="1">
      <protection hidden="1"/>
    </xf>
    <xf numFmtId="0" fontId="18" fillId="2" borderId="9" xfId="0" applyFont="1" applyFill="1" applyBorder="1" applyProtection="1">
      <protection hidden="1"/>
    </xf>
    <xf numFmtId="0" fontId="3" fillId="2" borderId="10" xfId="0" applyFont="1" applyFill="1" applyBorder="1" applyProtection="1">
      <protection hidden="1"/>
    </xf>
    <xf numFmtId="0" fontId="3" fillId="2" borderId="11" xfId="0" applyFont="1" applyFill="1" applyBorder="1" applyProtection="1">
      <protection hidden="1"/>
    </xf>
    <xf numFmtId="2" fontId="23" fillId="4" borderId="0" xfId="0" applyNumberFormat="1" applyFont="1" applyFill="1" applyAlignment="1" applyProtection="1">
      <alignment horizontal="center"/>
      <protection hidden="1"/>
    </xf>
    <xf numFmtId="0" fontId="2" fillId="0" borderId="0" xfId="0" applyFont="1" applyProtection="1">
      <protection hidden="1"/>
    </xf>
    <xf numFmtId="0" fontId="3" fillId="0" borderId="0" xfId="0" applyFont="1" applyProtection="1">
      <protection hidden="1"/>
    </xf>
    <xf numFmtId="2" fontId="23" fillId="0" borderId="0" xfId="0" applyNumberFormat="1" applyFont="1" applyAlignment="1" applyProtection="1">
      <alignment horizontal="center"/>
      <protection hidden="1"/>
    </xf>
    <xf numFmtId="10" fontId="23" fillId="4" borderId="0" xfId="0" applyNumberFormat="1" applyFont="1" applyFill="1" applyAlignment="1" applyProtection="1">
      <alignment horizontal="center"/>
      <protection hidden="1"/>
    </xf>
    <xf numFmtId="0" fontId="24" fillId="2" borderId="0" xfId="0" applyFont="1" applyFill="1" applyProtection="1">
      <protection hidden="1"/>
    </xf>
    <xf numFmtId="0" fontId="5" fillId="2" borderId="0" xfId="0" applyFont="1" applyFill="1" applyProtection="1">
      <protection hidden="1"/>
    </xf>
    <xf numFmtId="0" fontId="13" fillId="2" borderId="0" xfId="0" applyFont="1" applyFill="1" applyProtection="1">
      <protection hidden="1"/>
    </xf>
    <xf numFmtId="0" fontId="4" fillId="2" borderId="0" xfId="0" applyFont="1" applyFill="1" applyProtection="1">
      <protection hidden="1"/>
    </xf>
    <xf numFmtId="0" fontId="18" fillId="2" borderId="0" xfId="0" applyFont="1" applyFill="1" applyProtection="1">
      <protection hidden="1"/>
    </xf>
    <xf numFmtId="0" fontId="3" fillId="2" borderId="0" xfId="0" applyFont="1" applyFill="1" applyAlignment="1" applyProtection="1">
      <alignment horizontal="center"/>
      <protection hidden="1"/>
    </xf>
    <xf numFmtId="0" fontId="22" fillId="2" borderId="0" xfId="0" applyFont="1" applyFill="1" applyProtection="1">
      <protection hidden="1"/>
    </xf>
    <xf numFmtId="0" fontId="3" fillId="0" borderId="0" xfId="0" applyFont="1" applyAlignment="1" applyProtection="1">
      <alignment horizontal="center"/>
      <protection hidden="1"/>
    </xf>
    <xf numFmtId="0" fontId="12" fillId="2" borderId="0" xfId="0" applyFont="1" applyFill="1" applyProtection="1">
      <protection hidden="1"/>
    </xf>
    <xf numFmtId="9" fontId="13" fillId="2" borderId="0" xfId="0" applyNumberFormat="1" applyFont="1" applyFill="1" applyProtection="1">
      <protection hidden="1"/>
    </xf>
    <xf numFmtId="0" fontId="9" fillId="2" borderId="0" xfId="0" applyFont="1" applyFill="1" applyProtection="1">
      <protection hidden="1"/>
    </xf>
    <xf numFmtId="0" fontId="10" fillId="2" borderId="0" xfId="0" applyFont="1" applyFill="1" applyProtection="1">
      <protection hidden="1"/>
    </xf>
    <xf numFmtId="0" fontId="9" fillId="2" borderId="0" xfId="0" applyFont="1" applyFill="1" applyAlignment="1" applyProtection="1">
      <alignment horizontal="left"/>
      <protection hidden="1"/>
    </xf>
    <xf numFmtId="0" fontId="9" fillId="2" borderId="0" xfId="0" applyFont="1" applyFill="1" applyAlignment="1" applyProtection="1">
      <alignment vertical="top" wrapText="1"/>
      <protection hidden="1"/>
    </xf>
    <xf numFmtId="0" fontId="9" fillId="2" borderId="0" xfId="0" applyFont="1" applyFill="1" applyAlignment="1" applyProtection="1">
      <alignment wrapText="1"/>
      <protection hidden="1"/>
    </xf>
    <xf numFmtId="0" fontId="10" fillId="2" borderId="0" xfId="0" applyFont="1" applyFill="1" applyAlignment="1" applyProtection="1">
      <alignment horizontal="left"/>
      <protection hidden="1"/>
    </xf>
    <xf numFmtId="9" fontId="9" fillId="2" borderId="0" xfId="1" applyFont="1" applyFill="1" applyAlignment="1" applyProtection="1">
      <alignment horizontal="left"/>
      <protection hidden="1"/>
    </xf>
    <xf numFmtId="164" fontId="9" fillId="2" borderId="0" xfId="0" applyNumberFormat="1" applyFont="1" applyFill="1" applyAlignment="1" applyProtection="1">
      <alignment horizontal="left"/>
      <protection hidden="1"/>
    </xf>
    <xf numFmtId="0" fontId="4" fillId="2" borderId="10" xfId="0" applyFont="1" applyFill="1" applyBorder="1" applyProtection="1">
      <protection hidden="1"/>
    </xf>
    <xf numFmtId="0" fontId="3" fillId="2" borderId="12" xfId="0" applyFont="1" applyFill="1" applyBorder="1" applyProtection="1">
      <protection hidden="1"/>
    </xf>
    <xf numFmtId="0" fontId="4" fillId="2" borderId="12" xfId="0" applyFont="1" applyFill="1" applyBorder="1" applyProtection="1">
      <protection hidden="1"/>
    </xf>
    <xf numFmtId="0" fontId="6" fillId="2" borderId="13" xfId="0" applyFont="1" applyFill="1" applyBorder="1" applyAlignment="1" applyProtection="1">
      <alignment vertical="top"/>
      <protection hidden="1"/>
    </xf>
    <xf numFmtId="0" fontId="6" fillId="2" borderId="0" xfId="0" applyFont="1" applyFill="1" applyAlignment="1" applyProtection="1">
      <alignment vertical="top"/>
      <protection hidden="1"/>
    </xf>
    <xf numFmtId="164" fontId="8" fillId="2" borderId="0" xfId="0" applyNumberFormat="1" applyFont="1" applyFill="1" applyAlignment="1" applyProtection="1">
      <alignment vertical="top"/>
      <protection hidden="1"/>
    </xf>
    <xf numFmtId="0" fontId="6" fillId="2" borderId="13" xfId="0" applyFont="1" applyFill="1" applyBorder="1" applyAlignment="1" applyProtection="1">
      <alignment horizontal="right" vertical="top"/>
      <protection hidden="1"/>
    </xf>
    <xf numFmtId="0" fontId="8" fillId="2" borderId="0" xfId="0" applyFont="1" applyFill="1" applyProtection="1">
      <protection hidden="1"/>
    </xf>
    <xf numFmtId="0" fontId="18" fillId="2" borderId="0" xfId="0" applyFont="1" applyFill="1" applyAlignment="1" applyProtection="1">
      <alignment horizontal="right"/>
      <protection hidden="1"/>
    </xf>
    <xf numFmtId="0" fontId="19" fillId="2" borderId="0" xfId="0" applyFont="1" applyFill="1" applyAlignment="1" applyProtection="1">
      <alignment horizontal="right"/>
      <protection hidden="1"/>
    </xf>
    <xf numFmtId="0" fontId="18" fillId="2" borderId="12" xfId="0" applyFont="1" applyFill="1" applyBorder="1" applyProtection="1">
      <protection hidden="1"/>
    </xf>
    <xf numFmtId="0" fontId="3" fillId="5" borderId="0" xfId="0" applyFont="1" applyFill="1" applyAlignment="1" applyProtection="1">
      <alignment wrapText="1"/>
      <protection locked="0"/>
    </xf>
    <xf numFmtId="0" fontId="3" fillId="5" borderId="0" xfId="0" applyFont="1" applyFill="1" applyAlignment="1" applyProtection="1">
      <alignment wrapText="1"/>
      <protection hidden="1"/>
    </xf>
    <xf numFmtId="0" fontId="3" fillId="5" borderId="0" xfId="0" applyFont="1" applyFill="1" applyAlignment="1" applyProtection="1">
      <alignment horizontal="left"/>
      <protection locked="0"/>
    </xf>
    <xf numFmtId="0" fontId="17" fillId="5" borderId="0" xfId="3" applyFill="1" applyAlignment="1" applyProtection="1">
      <alignment wrapText="1"/>
      <protection locked="0"/>
    </xf>
    <xf numFmtId="0" fontId="17" fillId="5" borderId="0" xfId="3" applyFill="1" applyAlignment="1" applyProtection="1">
      <alignment wrapText="1"/>
      <protection hidden="1"/>
    </xf>
    <xf numFmtId="0" fontId="3" fillId="5" borderId="1" xfId="0" applyFont="1" applyFill="1" applyBorder="1" applyAlignment="1" applyProtection="1">
      <alignment horizontal="center" vertical="center"/>
      <protection locked="0"/>
    </xf>
    <xf numFmtId="9" fontId="3" fillId="5" borderId="1" xfId="1" applyFont="1" applyFill="1" applyBorder="1" applyAlignment="1" applyProtection="1">
      <alignment horizontal="center" vertical="center"/>
      <protection locked="0"/>
    </xf>
    <xf numFmtId="0" fontId="3" fillId="5" borderId="0" xfId="0" applyFont="1" applyFill="1" applyAlignment="1" applyProtection="1">
      <alignment horizontal="center" vertical="center"/>
      <protection locked="0"/>
    </xf>
    <xf numFmtId="0" fontId="3" fillId="5" borderId="14" xfId="0" applyFont="1" applyFill="1" applyBorder="1" applyAlignment="1" applyProtection="1">
      <alignment horizontal="center" vertical="center"/>
      <protection locked="0"/>
    </xf>
    <xf numFmtId="0" fontId="3" fillId="5" borderId="0" xfId="0" applyFont="1" applyFill="1" applyAlignment="1" applyProtection="1">
      <alignment horizontal="center"/>
      <protection locked="0"/>
    </xf>
    <xf numFmtId="2" fontId="3" fillId="5" borderId="0" xfId="0" applyNumberFormat="1" applyFont="1" applyFill="1" applyAlignment="1" applyProtection="1">
      <alignment horizontal="center"/>
      <protection hidden="1"/>
    </xf>
    <xf numFmtId="2" fontId="3" fillId="2" borderId="0" xfId="0" applyNumberFormat="1" applyFont="1" applyFill="1" applyProtection="1">
      <protection hidden="1"/>
    </xf>
    <xf numFmtId="0" fontId="28" fillId="2" borderId="0" xfId="0" applyFont="1" applyFill="1" applyAlignment="1" applyProtection="1">
      <alignment wrapText="1"/>
      <protection hidden="1"/>
    </xf>
    <xf numFmtId="0" fontId="27" fillId="0" borderId="0" xfId="0" applyFont="1"/>
    <xf numFmtId="166" fontId="27" fillId="0" borderId="0" xfId="0" applyNumberFormat="1" applyFont="1" applyAlignment="1">
      <alignment horizontal="left"/>
    </xf>
    <xf numFmtId="0" fontId="13" fillId="2" borderId="0" xfId="0" applyFont="1" applyFill="1" applyAlignment="1" applyProtection="1">
      <alignment horizontal="left"/>
      <protection hidden="1"/>
    </xf>
    <xf numFmtId="0" fontId="27" fillId="2" borderId="0" xfId="0" applyFont="1" applyFill="1"/>
    <xf numFmtId="166" fontId="27" fillId="2" borderId="0" xfId="0" applyNumberFormat="1" applyFont="1" applyFill="1" applyAlignment="1">
      <alignment horizontal="left"/>
    </xf>
    <xf numFmtId="0" fontId="25" fillId="0" borderId="0" xfId="0" applyFont="1"/>
    <xf numFmtId="0" fontId="30" fillId="5" borderId="0" xfId="0" applyFont="1" applyFill="1"/>
    <xf numFmtId="0" fontId="0" fillId="5" borderId="0" xfId="0" applyFill="1"/>
    <xf numFmtId="0" fontId="0" fillId="0" borderId="17" xfId="0" applyBorder="1"/>
    <xf numFmtId="3" fontId="0" fillId="0" borderId="0" xfId="0" applyNumberFormat="1"/>
    <xf numFmtId="0" fontId="0" fillId="0" borderId="18" xfId="0" applyBorder="1"/>
    <xf numFmtId="0" fontId="0" fillId="0" borderId="19" xfId="0" applyBorder="1"/>
    <xf numFmtId="0" fontId="0" fillId="0" borderId="20" xfId="0" applyBorder="1"/>
    <xf numFmtId="3" fontId="0" fillId="0" borderId="20" xfId="0" applyNumberFormat="1" applyBorder="1"/>
    <xf numFmtId="0" fontId="0" fillId="0" borderId="21" xfId="0" applyBorder="1"/>
    <xf numFmtId="0" fontId="0" fillId="0" borderId="0" xfId="0" applyAlignment="1">
      <alignment horizontal="center"/>
    </xf>
    <xf numFmtId="0" fontId="0" fillId="0" borderId="20" xfId="0" applyBorder="1" applyAlignment="1">
      <alignment horizontal="center"/>
    </xf>
    <xf numFmtId="0" fontId="0" fillId="0" borderId="12" xfId="0" applyBorder="1"/>
    <xf numFmtId="3" fontId="14" fillId="5" borderId="0" xfId="0" applyNumberFormat="1" applyFont="1" applyFill="1" applyAlignment="1" applyProtection="1">
      <alignment horizontal="center" vertical="center"/>
      <protection locked="0"/>
    </xf>
    <xf numFmtId="4" fontId="8" fillId="2" borderId="0" xfId="0" applyNumberFormat="1" applyFont="1" applyFill="1" applyAlignment="1" applyProtection="1">
      <alignment vertical="top"/>
      <protection hidden="1"/>
    </xf>
    <xf numFmtId="4" fontId="23" fillId="4" borderId="0" xfId="0" applyNumberFormat="1" applyFont="1" applyFill="1" applyAlignment="1" applyProtection="1">
      <alignment horizontal="center"/>
      <protection hidden="1"/>
    </xf>
    <xf numFmtId="0" fontId="0" fillId="0" borderId="15" xfId="0" applyBorder="1" applyAlignment="1">
      <alignment horizontal="left" vertical="top" wrapText="1"/>
    </xf>
    <xf numFmtId="0" fontId="0" fillId="0" borderId="12" xfId="0" applyBorder="1" applyAlignment="1">
      <alignment horizontal="left" vertical="top"/>
    </xf>
    <xf numFmtId="0" fontId="0" fillId="0" borderId="16" xfId="0" applyBorder="1" applyAlignment="1">
      <alignment horizontal="left" vertical="top"/>
    </xf>
    <xf numFmtId="0" fontId="0" fillId="0" borderId="17" xfId="0" applyBorder="1" applyAlignment="1">
      <alignment horizontal="left" vertical="top"/>
    </xf>
    <xf numFmtId="0" fontId="0" fillId="0" borderId="0" xfId="0" applyAlignment="1">
      <alignment horizontal="left" vertical="top"/>
    </xf>
    <xf numFmtId="0" fontId="0" fillId="0" borderId="18" xfId="0" applyBorder="1" applyAlignment="1">
      <alignment horizontal="left" vertical="top"/>
    </xf>
    <xf numFmtId="0" fontId="0" fillId="0" borderId="19" xfId="0" applyBorder="1" applyAlignment="1">
      <alignment horizontal="left" vertical="top"/>
    </xf>
    <xf numFmtId="0" fontId="0" fillId="0" borderId="20" xfId="0" applyBorder="1" applyAlignment="1">
      <alignment horizontal="left" vertical="top"/>
    </xf>
    <xf numFmtId="0" fontId="0" fillId="0" borderId="21" xfId="0" applyBorder="1" applyAlignment="1">
      <alignment horizontal="left" vertical="top"/>
    </xf>
    <xf numFmtId="0" fontId="0" fillId="0" borderId="9" xfId="0" applyBorder="1" applyAlignment="1">
      <alignment horizontal="left" vertical="top" wrapText="1"/>
    </xf>
    <xf numFmtId="0" fontId="0" fillId="0" borderId="10" xfId="0" applyBorder="1" applyAlignment="1">
      <alignment horizontal="left" vertical="top"/>
    </xf>
    <xf numFmtId="0" fontId="0" fillId="0" borderId="11" xfId="0" applyBorder="1" applyAlignment="1">
      <alignment horizontal="left" vertical="top"/>
    </xf>
    <xf numFmtId="0" fontId="0" fillId="0" borderId="0" xfId="0" applyAlignment="1">
      <alignment horizontal="left" vertical="top" wrapText="1"/>
    </xf>
    <xf numFmtId="0" fontId="0" fillId="0" borderId="15" xfId="0" applyBorder="1" applyAlignment="1">
      <alignment horizontal="left" vertical="top"/>
    </xf>
  </cellXfs>
  <cellStyles count="4">
    <cellStyle name="Hipervínculo" xfId="3" builtinId="8"/>
    <cellStyle name="Moneda" xfId="2" builtinId="4"/>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s-ES"/>
        </a:p>
      </c:txPr>
    </c:title>
    <c:autoTitleDeleted val="0"/>
    <c:plotArea>
      <c:layout>
        <c:manualLayout>
          <c:layoutTarget val="inner"/>
          <c:xMode val="edge"/>
          <c:yMode val="edge"/>
          <c:x val="0.17897919148041758"/>
          <c:y val="0.16355659722222221"/>
          <c:w val="0.76532730797076065"/>
          <c:h val="0.64601701388888888"/>
        </c:manualLayout>
      </c:layout>
      <c:scatterChart>
        <c:scatterStyle val="smoothMarker"/>
        <c:varyColors val="0"/>
        <c:ser>
          <c:idx val="0"/>
          <c:order val="0"/>
          <c:tx>
            <c:strRef>
              <c:f>INTERFAZ!$D$37</c:f>
              <c:strCache>
                <c:ptCount val="1"/>
                <c:pt idx="0">
                  <c:v>Captador PLANO Gran Formato</c:v>
                </c:pt>
              </c:strCache>
            </c:strRef>
          </c:tx>
          <c:spPr>
            <a:ln w="9525" cap="flat" cmpd="sng" algn="ctr">
              <a:solidFill>
                <a:schemeClr val="accent1">
                  <a:alpha val="70000"/>
                </a:schemeClr>
              </a:solidFill>
              <a:prstDash val="sysDot"/>
              <a:round/>
            </a:ln>
            <a:effectLst/>
          </c:spPr>
          <c:marker>
            <c:symbol val="circle"/>
            <c:size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trendline>
            <c:spPr>
              <a:ln w="9525" cap="rnd">
                <a:solidFill>
                  <a:schemeClr val="accent1"/>
                </a:solidFill>
              </a:ln>
              <a:effectLst/>
            </c:spPr>
            <c:trendlineType val="poly"/>
            <c:order val="2"/>
            <c:dispRSqr val="1"/>
            <c:dispEq val="1"/>
            <c:trendlineLbl>
              <c:layout>
                <c:manualLayout>
                  <c:x val="-0.16555215780706711"/>
                  <c:y val="-2.2148245460119561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s-ES"/>
                </a:p>
              </c:txPr>
            </c:trendlineLbl>
          </c:trendline>
          <c:xVal>
            <c:numRef>
              <c:f>INTERFAZ!$H$39:$H$42</c:f>
              <c:numCache>
                <c:formatCode>0%</c:formatCode>
                <c:ptCount val="4"/>
                <c:pt idx="0">
                  <c:v>0.27144248242298902</c:v>
                </c:pt>
                <c:pt idx="1">
                  <c:v>0.39411870272092187</c:v>
                </c:pt>
                <c:pt idx="2">
                  <c:v>0.49630500812123007</c:v>
                </c:pt>
                <c:pt idx="3">
                  <c:v>0.56635165162089085</c:v>
                </c:pt>
              </c:numCache>
            </c:numRef>
          </c:xVal>
          <c:yVal>
            <c:numRef>
              <c:f>INTERFAZ!$I$39:$I$42</c:f>
              <c:numCache>
                <c:formatCode>0.0</c:formatCode>
                <c:ptCount val="4"/>
                <c:pt idx="0">
                  <c:v>510.49397870590224</c:v>
                </c:pt>
                <c:pt idx="1">
                  <c:v>473.08136477191033</c:v>
                </c:pt>
                <c:pt idx="2">
                  <c:v>429.58153213211136</c:v>
                </c:pt>
                <c:pt idx="3">
                  <c:v>396.89173385925017</c:v>
                </c:pt>
              </c:numCache>
            </c:numRef>
          </c:yVal>
          <c:smooth val="1"/>
          <c:extLst xmlns:c16r2="http://schemas.microsoft.com/office/drawing/2015/06/chart">
            <c:ext xmlns:c16="http://schemas.microsoft.com/office/drawing/2014/chart" uri="{C3380CC4-5D6E-409C-BE32-E72D297353CC}">
              <c16:uniqueId val="{00000000-B2BE-44D0-8E2B-52323309E265}"/>
            </c:ext>
          </c:extLst>
        </c:ser>
        <c:dLbls>
          <c:showLegendKey val="0"/>
          <c:showVal val="0"/>
          <c:showCatName val="0"/>
          <c:showSerName val="0"/>
          <c:showPercent val="0"/>
          <c:showBubbleSize val="0"/>
        </c:dLbls>
        <c:axId val="-1096927216"/>
        <c:axId val="-1096936464"/>
      </c:scatterChart>
      <c:valAx>
        <c:axId val="-1096927216"/>
        <c:scaling>
          <c:orientation val="minMax"/>
        </c:scaling>
        <c:delete val="0"/>
        <c:axPos val="b"/>
        <c:majorGridlines>
          <c:spPr>
            <a:ln w="9525" cap="flat" cmpd="sng" algn="ctr">
              <a:solidFill>
                <a:schemeClr val="dk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r>
                  <a:rPr lang="en-US"/>
                  <a:t>Fracción Solar [%]</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s-ES"/>
            </a:p>
          </c:txPr>
        </c:title>
        <c:numFmt formatCode="0%" sourceLinked="1"/>
        <c:majorTickMark val="none"/>
        <c:minorTickMark val="none"/>
        <c:tickLblPos val="nextTo"/>
        <c:spPr>
          <a:noFill/>
          <a:ln w="9525" cap="rnd">
            <a:solidFill>
              <a:schemeClr val="dk1">
                <a:lumMod val="25000"/>
                <a:lumOff val="75000"/>
              </a:schemeClr>
            </a:solidFill>
            <a:round/>
          </a:ln>
          <a:effectLst/>
        </c:spPr>
        <c:txPr>
          <a:bodyPr rot="-60000000" spcFirstLastPara="1" vertOverflow="ellipsis" vert="horz" wrap="square" anchor="ctr" anchorCtr="1"/>
          <a:lstStyle/>
          <a:p>
            <a:pPr>
              <a:defRPr sz="900" b="0" i="0" u="none" strike="noStrike" kern="1200" spc="0" baseline="0">
                <a:solidFill>
                  <a:schemeClr val="dk1">
                    <a:lumMod val="65000"/>
                    <a:lumOff val="35000"/>
                  </a:schemeClr>
                </a:solidFill>
                <a:latin typeface="+mn-lt"/>
                <a:ea typeface="+mn-ea"/>
                <a:cs typeface="+mn-cs"/>
              </a:defRPr>
            </a:pPr>
            <a:endParaRPr lang="es-ES"/>
          </a:p>
        </c:txPr>
        <c:crossAx val="-1096936464"/>
        <c:crosses val="autoZero"/>
        <c:crossBetween val="midCat"/>
      </c:valAx>
      <c:valAx>
        <c:axId val="-1096936464"/>
        <c:scaling>
          <c:orientation val="minMax"/>
        </c:scaling>
        <c:delete val="0"/>
        <c:axPos val="l"/>
        <c:majorGridlines>
          <c:spPr>
            <a:ln w="9525" cap="flat" cmpd="sng" algn="ctr">
              <a:solidFill>
                <a:schemeClr val="dk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r>
                  <a:rPr lang="ca-ES"/>
                  <a:t>Aportación</a:t>
                </a:r>
                <a:r>
                  <a:rPr lang="ca-ES" baseline="0"/>
                  <a:t> Solar [kWh/m</a:t>
                </a:r>
                <a:r>
                  <a:rPr lang="ca-ES" baseline="30000"/>
                  <a:t>2</a:t>
                </a:r>
                <a:r>
                  <a:rPr lang="ca-ES" baseline="0"/>
                  <a:t>.año]</a:t>
                </a:r>
                <a:endParaRPr lang="ca-ES"/>
              </a:p>
            </c:rich>
          </c:tx>
          <c:layout>
            <c:manualLayout>
              <c:xMode val="edge"/>
              <c:yMode val="edge"/>
              <c:x val="1.4829865246736263E-2"/>
              <c:y val="0.21963368055555554"/>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s-ES"/>
            </a:p>
          </c:txPr>
        </c:title>
        <c:numFmt formatCode="0.0" sourceLinked="1"/>
        <c:majorTickMark val="none"/>
        <c:minorTickMark val="none"/>
        <c:tickLblPos val="nextTo"/>
        <c:spPr>
          <a:noFill/>
          <a:ln w="9525" cap="rnd">
            <a:solidFill>
              <a:schemeClr val="dk1">
                <a:lumMod val="25000"/>
                <a:lumOff val="75000"/>
              </a:schemeClr>
            </a:solidFill>
            <a:round/>
          </a:ln>
          <a:effectLst/>
        </c:spPr>
        <c:txPr>
          <a:bodyPr rot="-60000000" spcFirstLastPara="1" vertOverflow="ellipsis" vert="horz" wrap="square" anchor="ctr" anchorCtr="1"/>
          <a:lstStyle/>
          <a:p>
            <a:pPr>
              <a:defRPr sz="900" b="0" i="0" u="none" strike="noStrike" kern="1200" spc="0" baseline="0">
                <a:solidFill>
                  <a:schemeClr val="dk1">
                    <a:lumMod val="65000"/>
                    <a:lumOff val="35000"/>
                  </a:schemeClr>
                </a:solidFill>
                <a:latin typeface="+mn-lt"/>
                <a:ea typeface="+mn-ea"/>
                <a:cs typeface="+mn-cs"/>
              </a:defRPr>
            </a:pPr>
            <a:endParaRPr lang="es-ES"/>
          </a:p>
        </c:txPr>
        <c:crossAx val="-1096927216"/>
        <c:crosses val="autoZero"/>
        <c:crossBetween val="midCat"/>
      </c:valAx>
      <c:spPr>
        <a:gradFill>
          <a:gsLst>
            <a:gs pos="100000">
              <a:schemeClr val="lt1">
                <a:lumMod val="95000"/>
              </a:schemeClr>
            </a:gs>
            <a:gs pos="0">
              <a:schemeClr val="lt1">
                <a:alpha val="0"/>
              </a:schemeClr>
            </a:gs>
          </a:gsLst>
          <a:lin ang="5400000" scaled="0"/>
        </a:grad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6">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spPr>
      <a:ln w="9525" cap="rnd">
        <a:solidFill>
          <a:schemeClr val="dk1">
            <a:lumMod val="20000"/>
            <a:lumOff val="80000"/>
          </a:schemeClr>
        </a:solidFill>
        <a:round/>
      </a:ln>
    </cs:spPr>
    <cs:defRPr sz="900" kern="120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effectRef idx="1"/>
    <cs:fontRef idx="minor">
      <a:schemeClr val="dk1"/>
    </cs:fontRef>
    <cs:spPr>
      <a:ln w="9525" cap="flat" cmpd="sng" algn="ctr">
        <a:solidFill>
          <a:schemeClr val="phClr">
            <a:alpha val="70000"/>
          </a:schemeClr>
        </a:solidFill>
        <a:prstDash val="sysDot"/>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rnd">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rnd">
        <a:solidFill>
          <a:schemeClr val="dk1">
            <a:lumMod val="65000"/>
            <a:lumOff val="35000"/>
          </a:schemeClr>
        </a:solidFill>
        <a:round/>
      </a:ln>
    </cs:spPr>
  </cs:downBar>
  <cs:dropLine>
    <cs:lnRef idx="0"/>
    <cs:fillRef idx="0"/>
    <cs:effectRef idx="0"/>
    <cs:fontRef idx="minor">
      <a:schemeClr val="dk1"/>
    </cs:fontRef>
    <cs:spPr>
      <a:ln w="9525" cap="rnd">
        <a:solidFill>
          <a:schemeClr val="dk1">
            <a:lumMod val="35000"/>
            <a:lumOff val="65000"/>
          </a:schemeClr>
        </a:solidFill>
        <a:round/>
      </a:ln>
    </cs:spPr>
  </cs:dropLine>
  <cs:errorBar>
    <cs:lnRef idx="0"/>
    <cs:fillRef idx="0"/>
    <cs:effectRef idx="0"/>
    <cs:fontRef idx="minor">
      <a:schemeClr val="dk1"/>
    </cs:fontRef>
    <cs:spPr>
      <a:ln w="9525" cap="rnd">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rnd">
        <a:solidFill>
          <a:schemeClr val="dk1">
            <a:lumMod val="35000"/>
            <a:lumOff val="65000"/>
          </a:schemeClr>
        </a:solidFill>
        <a:round/>
      </a:ln>
    </cs:spPr>
  </cs:hiLoLine>
  <cs:leaderLine>
    <cs:lnRef idx="0"/>
    <cs:fillRef idx="0"/>
    <cs:effectRef idx="0"/>
    <cs:fontRef idx="minor">
      <a:schemeClr val="dk1"/>
    </cs:fontRef>
    <cs:spPr>
      <a:ln w="9525" cap="rnd">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spc="0" baseline="0"/>
  </cs:legend>
  <cs:plotArea>
    <cs:lnRef idx="0"/>
    <cs:fillRef idx="0"/>
    <cs:effectRef idx="0"/>
    <cs:fontRef idx="minor">
      <a:schemeClr val="dk1"/>
    </cs:fontRef>
    <cs:spPr>
      <a:gradFill>
        <a:gsLst>
          <a:gs pos="100000">
            <a:schemeClr val="lt1">
              <a:lumMod val="95000"/>
            </a:schemeClr>
          </a:gs>
          <a:gs pos="0">
            <a:schemeClr val="lt1">
              <a:alpha val="0"/>
            </a:schemeClr>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rnd">
        <a:solidFill>
          <a:schemeClr val="dk1">
            <a:lumMod val="20000"/>
            <a:lumOff val="80000"/>
          </a:schemeClr>
        </a:solidFill>
        <a:round/>
      </a:ln>
    </cs:spPr>
    <cs:defRPr sz="900" kern="1200"/>
  </cs:seriesAxis>
  <cs:seriesLine>
    <cs:lnRef idx="0"/>
    <cs:fillRef idx="0"/>
    <cs:effectRef idx="0"/>
    <cs:fontRef idx="minor">
      <a:schemeClr val="dk1"/>
    </cs:fontRef>
    <cs:spPr>
      <a:ln w="9525" cap="rnd">
        <a:solidFill>
          <a:schemeClr val="dk1">
            <a:lumMod val="35000"/>
            <a:lumOff val="65000"/>
          </a:schemeClr>
        </a:solidFill>
        <a:round/>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cs:spPr>
  </cs:upBar>
  <cs:valueAxis>
    <cs:lnRef idx="0"/>
    <cs:fillRef idx="0"/>
    <cs:effectRef idx="0"/>
    <cs:fontRef idx="minor">
      <a:schemeClr val="dk1">
        <a:lumMod val="65000"/>
        <a:lumOff val="35000"/>
      </a:schemeClr>
    </cs:fontRef>
    <cs:spPr>
      <a:ln w="9525" cap="rnd">
        <a:solidFill>
          <a:schemeClr val="dk1">
            <a:lumMod val="25000"/>
            <a:lumOff val="75000"/>
          </a:schemeClr>
        </a:solidFill>
        <a:round/>
      </a:ln>
    </cs:spPr>
    <cs:defRPr sz="900" kern="1200" spc="0" baseline="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382792</xdr:colOff>
      <xdr:row>28</xdr:row>
      <xdr:rowOff>25158</xdr:rowOff>
    </xdr:from>
    <xdr:to>
      <xdr:col>5</xdr:col>
      <xdr:colOff>1246899</xdr:colOff>
      <xdr:row>43</xdr:row>
      <xdr:rowOff>156468</xdr:rowOff>
    </xdr:to>
    <xdr:graphicFrame macro="">
      <xdr:nvGraphicFramePr>
        <xdr:cNvPr id="2" name="Gráfico 1">
          <a:extLst>
            <a:ext uri="{FF2B5EF4-FFF2-40B4-BE49-F238E27FC236}">
              <a16:creationId xmlns:a16="http://schemas.microsoft.com/office/drawing/2014/main" xmlns="" id="{10FE781D-2821-AD2A-C8CB-5568AA626D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152400</xdr:rowOff>
    </xdr:from>
    <xdr:to>
      <xdr:col>3</xdr:col>
      <xdr:colOff>113805</xdr:colOff>
      <xdr:row>4</xdr:row>
      <xdr:rowOff>77214</xdr:rowOff>
    </xdr:to>
    <xdr:pic>
      <xdr:nvPicPr>
        <xdr:cNvPr id="3" name="Imagen 2">
          <a:extLst>
            <a:ext uri="{FF2B5EF4-FFF2-40B4-BE49-F238E27FC236}">
              <a16:creationId xmlns:a16="http://schemas.microsoft.com/office/drawing/2014/main" xmlns="" id="{A411E82E-1868-4218-92B7-E1D101A8DA23}"/>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98145" y="152400"/>
          <a:ext cx="1704480" cy="65633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152400</xdr:rowOff>
    </xdr:from>
    <xdr:to>
      <xdr:col>3</xdr:col>
      <xdr:colOff>129045</xdr:colOff>
      <xdr:row>4</xdr:row>
      <xdr:rowOff>168654</xdr:rowOff>
    </xdr:to>
    <xdr:pic>
      <xdr:nvPicPr>
        <xdr:cNvPr id="2" name="Imagen 1">
          <a:extLst>
            <a:ext uri="{FF2B5EF4-FFF2-40B4-BE49-F238E27FC236}">
              <a16:creationId xmlns:a16="http://schemas.microsoft.com/office/drawing/2014/main" xmlns="" id="{22576256-3B4A-4D40-8AFB-DBE958F15B57}"/>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98145" y="152400"/>
          <a:ext cx="1704480" cy="747774"/>
        </a:xfrm>
        <a:prstGeom prst="rect">
          <a:avLst/>
        </a:prstGeom>
      </xdr:spPr>
    </xdr:pic>
    <xdr:clientData/>
  </xdr:twoCellAnchor>
  <xdr:twoCellAnchor editAs="oneCell">
    <xdr:from>
      <xdr:col>3</xdr:col>
      <xdr:colOff>17929</xdr:colOff>
      <xdr:row>30</xdr:row>
      <xdr:rowOff>519953</xdr:rowOff>
    </xdr:from>
    <xdr:to>
      <xdr:col>9</xdr:col>
      <xdr:colOff>109738</xdr:colOff>
      <xdr:row>30</xdr:row>
      <xdr:rowOff>3424518</xdr:rowOff>
    </xdr:to>
    <xdr:pic>
      <xdr:nvPicPr>
        <xdr:cNvPr id="3" name="Imagen 2">
          <a:extLst>
            <a:ext uri="{FF2B5EF4-FFF2-40B4-BE49-F238E27FC236}">
              <a16:creationId xmlns:a16="http://schemas.microsoft.com/office/drawing/2014/main" xmlns="" id="{DEBBC9D1-9E97-65EB-BB0D-29299F9D66BF}"/>
            </a:ext>
          </a:extLst>
        </xdr:cNvPr>
        <xdr:cNvPicPr>
          <a:picLocks noChangeAspect="1"/>
        </xdr:cNvPicPr>
      </xdr:nvPicPr>
      <xdr:blipFill>
        <a:blip xmlns:r="http://schemas.openxmlformats.org/officeDocument/2006/relationships" r:embed="rId2"/>
        <a:stretch>
          <a:fillRect/>
        </a:stretch>
      </xdr:blipFill>
      <xdr:spPr>
        <a:xfrm>
          <a:off x="1981200" y="9027459"/>
          <a:ext cx="4825173" cy="2904565"/>
        </a:xfrm>
        <a:prstGeom prst="rect">
          <a:avLst/>
        </a:prstGeom>
      </xdr:spPr>
    </xdr:pic>
    <xdr:clientData/>
  </xdr:twoCellAnchor>
  <xdr:twoCellAnchor editAs="oneCell">
    <xdr:from>
      <xdr:col>1</xdr:col>
      <xdr:colOff>143436</xdr:colOff>
      <xdr:row>69</xdr:row>
      <xdr:rowOff>770965</xdr:rowOff>
    </xdr:from>
    <xdr:to>
      <xdr:col>4</xdr:col>
      <xdr:colOff>116296</xdr:colOff>
      <xdr:row>69</xdr:row>
      <xdr:rowOff>1190101</xdr:rowOff>
    </xdr:to>
    <xdr:pic>
      <xdr:nvPicPr>
        <xdr:cNvPr id="6" name="Imagen 5">
          <a:extLst>
            <a:ext uri="{FF2B5EF4-FFF2-40B4-BE49-F238E27FC236}">
              <a16:creationId xmlns:a16="http://schemas.microsoft.com/office/drawing/2014/main" xmlns="" id="{58A5657A-7846-12D3-6919-44185369E8CC}"/>
            </a:ext>
          </a:extLst>
        </xdr:cNvPr>
        <xdr:cNvPicPr>
          <a:picLocks noChangeAspect="1"/>
        </xdr:cNvPicPr>
      </xdr:nvPicPr>
      <xdr:blipFill>
        <a:blip xmlns:r="http://schemas.openxmlformats.org/officeDocument/2006/relationships" r:embed="rId3"/>
        <a:stretch>
          <a:fillRect/>
        </a:stretch>
      </xdr:blipFill>
      <xdr:spPr>
        <a:xfrm>
          <a:off x="528918" y="23066189"/>
          <a:ext cx="2339543" cy="419136"/>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
    <pageSetUpPr fitToPage="1"/>
  </sheetPr>
  <dimension ref="A3:L510"/>
  <sheetViews>
    <sheetView tabSelected="1" zoomScaleNormal="100" workbookViewId="0">
      <selection activeCell="E9" sqref="E9"/>
    </sheetView>
  </sheetViews>
  <sheetFormatPr baseColWidth="10" defaultColWidth="11.5546875" defaultRowHeight="14.4" x14ac:dyDescent="0.3"/>
  <cols>
    <col min="1" max="1" width="5.6640625" style="31" customWidth="1"/>
    <col min="2" max="3" width="11.6640625" style="26" customWidth="1"/>
    <col min="4" max="4" width="36.21875" style="26" customWidth="1"/>
    <col min="5" max="5" width="36.44140625" style="26" customWidth="1"/>
    <col min="6" max="6" width="19.88671875" style="26" customWidth="1"/>
    <col min="7" max="7" width="13.5546875" style="26" customWidth="1"/>
    <col min="8" max="8" width="15" style="26" customWidth="1"/>
    <col min="9" max="9" width="17.44140625" style="26" bestFit="1" customWidth="1"/>
    <col min="10" max="13" width="11.6640625" style="26" customWidth="1"/>
    <col min="14" max="16384" width="11.5546875" style="26"/>
  </cols>
  <sheetData>
    <row r="3" spans="2:10" ht="18" x14ac:dyDescent="0.35">
      <c r="J3" s="66" t="s">
        <v>55</v>
      </c>
    </row>
    <row r="4" spans="2:10" ht="18" x14ac:dyDescent="0.35">
      <c r="J4" s="67" t="s">
        <v>93</v>
      </c>
    </row>
    <row r="7" spans="2:10" ht="18" x14ac:dyDescent="0.35">
      <c r="B7" s="32" t="s">
        <v>56</v>
      </c>
      <c r="C7" s="33"/>
      <c r="D7" s="33"/>
      <c r="E7" s="33"/>
      <c r="F7" s="33"/>
      <c r="G7" s="33"/>
      <c r="H7" s="33"/>
      <c r="I7" s="33"/>
      <c r="J7" s="34"/>
    </row>
    <row r="8" spans="2:10" ht="15" customHeight="1" x14ac:dyDescent="0.35">
      <c r="B8" s="68"/>
      <c r="C8" s="59"/>
      <c r="D8" s="59"/>
      <c r="E8" s="59"/>
      <c r="F8" s="59"/>
      <c r="G8" s="59"/>
      <c r="H8" s="59"/>
      <c r="I8" s="59"/>
      <c r="J8" s="59"/>
    </row>
    <row r="9" spans="2:10" x14ac:dyDescent="0.3">
      <c r="B9" s="26" t="s">
        <v>57</v>
      </c>
      <c r="E9" s="69" t="s">
        <v>167</v>
      </c>
      <c r="F9" s="70"/>
      <c r="G9" s="70"/>
      <c r="H9" s="70"/>
    </row>
    <row r="10" spans="2:10" ht="3" customHeight="1" x14ac:dyDescent="0.3">
      <c r="E10" s="37"/>
    </row>
    <row r="11" spans="2:10" x14ac:dyDescent="0.3">
      <c r="B11" s="26" t="s">
        <v>58</v>
      </c>
      <c r="E11" s="69"/>
      <c r="F11" s="70"/>
      <c r="G11" s="70"/>
      <c r="H11" s="70"/>
    </row>
    <row r="12" spans="2:10" ht="3" customHeight="1" x14ac:dyDescent="0.3"/>
    <row r="13" spans="2:10" x14ac:dyDescent="0.3">
      <c r="B13" s="26" t="s">
        <v>59</v>
      </c>
      <c r="E13" s="69"/>
      <c r="F13" s="70"/>
      <c r="G13" s="70"/>
      <c r="H13" s="70"/>
    </row>
    <row r="14" spans="2:10" ht="3" customHeight="1" x14ac:dyDescent="0.3"/>
    <row r="15" spans="2:10" x14ac:dyDescent="0.3">
      <c r="B15" s="26" t="s">
        <v>60</v>
      </c>
      <c r="E15" s="71"/>
      <c r="F15" s="26" t="s">
        <v>61</v>
      </c>
      <c r="G15" s="72"/>
      <c r="H15" s="73"/>
    </row>
    <row r="16" spans="2:10" ht="3" customHeight="1" x14ac:dyDescent="0.3"/>
    <row r="19" spans="1:12" ht="18" x14ac:dyDescent="0.35">
      <c r="B19" s="32" t="s">
        <v>62</v>
      </c>
      <c r="C19" s="33"/>
      <c r="D19" s="33"/>
      <c r="E19" s="33"/>
      <c r="F19" s="33"/>
      <c r="G19" s="33"/>
      <c r="H19" s="33"/>
      <c r="I19" s="33"/>
      <c r="J19" s="34"/>
    </row>
    <row r="21" spans="1:12" ht="18" x14ac:dyDescent="0.35">
      <c r="B21" s="26" t="s">
        <v>42</v>
      </c>
      <c r="C21" s="65"/>
      <c r="E21" s="100">
        <v>5000</v>
      </c>
      <c r="J21" s="43"/>
      <c r="K21" s="43"/>
      <c r="L21" s="43"/>
    </row>
    <row r="22" spans="1:12" ht="19.8" x14ac:dyDescent="0.3">
      <c r="B22" s="26" t="s">
        <v>35</v>
      </c>
      <c r="E22" s="74" t="s">
        <v>22</v>
      </c>
      <c r="G22" s="62"/>
      <c r="H22" s="64" t="s">
        <v>122</v>
      </c>
      <c r="I22" s="101">
        <f>ROUND(B40*E25^2+C40*E25+D40,1)</f>
        <v>450.6</v>
      </c>
      <c r="K22" s="43"/>
      <c r="L22" s="43"/>
    </row>
    <row r="23" spans="1:12" ht="14.4" customHeight="1" x14ac:dyDescent="0.3">
      <c r="B23" s="26" t="s">
        <v>36</v>
      </c>
      <c r="E23" s="74" t="s">
        <v>111</v>
      </c>
      <c r="F23" s="61"/>
      <c r="G23" s="62"/>
      <c r="H23" s="62"/>
      <c r="I23" s="63"/>
    </row>
    <row r="24" spans="1:12" ht="19.8" x14ac:dyDescent="0.3">
      <c r="B24" s="26" t="s">
        <v>10</v>
      </c>
      <c r="E24" s="74" t="s">
        <v>12</v>
      </c>
      <c r="H24" s="64" t="s">
        <v>41</v>
      </c>
      <c r="I24" s="101">
        <f>ROUND(B94*E25^2+C94*E25+D94,1)*E21/5000</f>
        <v>5894.3</v>
      </c>
    </row>
    <row r="25" spans="1:12" ht="14.4" customHeight="1" x14ac:dyDescent="0.3">
      <c r="B25" s="26" t="s">
        <v>38</v>
      </c>
      <c r="E25" s="75">
        <v>0.45</v>
      </c>
      <c r="F25" s="61"/>
      <c r="G25" s="62"/>
      <c r="H25" s="62"/>
      <c r="I25" s="63"/>
    </row>
    <row r="26" spans="1:12" ht="18" x14ac:dyDescent="0.3">
      <c r="B26" s="26" t="s">
        <v>63</v>
      </c>
      <c r="E26" s="77" t="s">
        <v>116</v>
      </c>
      <c r="G26" s="43"/>
      <c r="H26" s="64" t="s">
        <v>121</v>
      </c>
      <c r="I26" s="101">
        <f>I24*0.7</f>
        <v>4126.01</v>
      </c>
      <c r="J26" s="43"/>
    </row>
    <row r="27" spans="1:12" x14ac:dyDescent="0.3">
      <c r="B27" s="26" t="s">
        <v>103</v>
      </c>
      <c r="E27" s="76">
        <v>90</v>
      </c>
      <c r="G27" s="43"/>
      <c r="H27" s="43"/>
      <c r="I27" s="43"/>
      <c r="J27" s="43"/>
    </row>
    <row r="28" spans="1:12" x14ac:dyDescent="0.3">
      <c r="A28" s="41"/>
      <c r="B28" s="43"/>
      <c r="C28" s="43"/>
      <c r="D28" s="43"/>
      <c r="E28" s="43"/>
      <c r="F28" s="43"/>
      <c r="G28" s="43"/>
      <c r="H28" s="43"/>
      <c r="I28" s="43"/>
    </row>
    <row r="29" spans="1:12" x14ac:dyDescent="0.3">
      <c r="A29" s="48" t="str">
        <f>C29</f>
        <v>-</v>
      </c>
      <c r="B29" s="42" t="s">
        <v>16</v>
      </c>
      <c r="C29" s="42" t="str">
        <f>IF(E24="Secado","Captador de AIRE","-")</f>
        <v>-</v>
      </c>
      <c r="D29" s="42" t="s">
        <v>11</v>
      </c>
      <c r="E29" s="42" t="s">
        <v>20</v>
      </c>
      <c r="F29" s="49">
        <v>0.3</v>
      </c>
      <c r="G29" s="42"/>
      <c r="H29" s="43"/>
      <c r="I29" s="43"/>
    </row>
    <row r="30" spans="1:12" x14ac:dyDescent="0.3">
      <c r="A30" s="48" t="str">
        <f t="shared" ref="A30:A33" si="0">C30</f>
        <v>Captador TUBO DE VACIO-CPC</v>
      </c>
      <c r="B30" s="42" t="s">
        <v>110</v>
      </c>
      <c r="C30" s="42" t="s">
        <v>111</v>
      </c>
      <c r="D30" s="42" t="s">
        <v>12</v>
      </c>
      <c r="E30" s="42" t="s">
        <v>21</v>
      </c>
      <c r="F30" s="49">
        <v>0.45</v>
      </c>
      <c r="G30" s="42"/>
      <c r="H30" s="43"/>
      <c r="I30" s="43"/>
      <c r="J30" s="43"/>
      <c r="K30" s="43"/>
      <c r="L30" s="43"/>
    </row>
    <row r="31" spans="1:12" x14ac:dyDescent="0.3">
      <c r="A31" s="48" t="str">
        <f t="shared" si="0"/>
        <v>Captador PLANO Estándard</v>
      </c>
      <c r="B31" s="42" t="s">
        <v>17</v>
      </c>
      <c r="C31" s="42" t="s">
        <v>39</v>
      </c>
      <c r="D31" s="42" t="s">
        <v>13</v>
      </c>
      <c r="E31" s="42" t="s">
        <v>22</v>
      </c>
      <c r="F31" s="49">
        <v>0.6</v>
      </c>
      <c r="G31" s="42"/>
      <c r="H31" s="43"/>
      <c r="I31" s="43"/>
      <c r="J31" s="43"/>
      <c r="K31" s="43"/>
      <c r="L31" s="43"/>
    </row>
    <row r="32" spans="1:12" x14ac:dyDescent="0.3">
      <c r="A32" s="48" t="str">
        <f t="shared" si="0"/>
        <v>Captador PLANO Gran Formato</v>
      </c>
      <c r="B32" s="42" t="s">
        <v>18</v>
      </c>
      <c r="C32" s="42" t="s">
        <v>40</v>
      </c>
      <c r="D32" s="42" t="s">
        <v>14</v>
      </c>
      <c r="E32" s="42" t="s">
        <v>23</v>
      </c>
      <c r="F32" s="49">
        <v>0.75</v>
      </c>
      <c r="G32" s="42"/>
      <c r="H32" s="43"/>
      <c r="I32" s="43"/>
      <c r="J32" s="43"/>
      <c r="K32" s="43"/>
      <c r="L32" s="43"/>
    </row>
    <row r="33" spans="1:12" x14ac:dyDescent="0.3">
      <c r="A33" s="48" t="str">
        <f t="shared" si="0"/>
        <v>Concentrador con TUBO DE VACIO-CPC</v>
      </c>
      <c r="B33" s="42" t="s">
        <v>19</v>
      </c>
      <c r="C33" s="42" t="s">
        <v>120</v>
      </c>
      <c r="D33" s="42" t="s">
        <v>15</v>
      </c>
      <c r="E33" s="42" t="s">
        <v>24</v>
      </c>
      <c r="F33" s="42"/>
      <c r="G33" s="42"/>
      <c r="H33" s="43"/>
      <c r="I33" s="43"/>
      <c r="J33" s="43"/>
      <c r="K33" s="43"/>
      <c r="L33" s="43"/>
    </row>
    <row r="34" spans="1:12" x14ac:dyDescent="0.3">
      <c r="A34" s="48"/>
      <c r="B34" s="42"/>
      <c r="C34" s="42"/>
      <c r="D34" s="42"/>
      <c r="E34" s="42"/>
      <c r="F34" s="42"/>
      <c r="G34" s="42"/>
      <c r="H34" s="43"/>
      <c r="I34" s="43"/>
      <c r="J34" s="43"/>
      <c r="K34" s="43"/>
      <c r="L34" s="43"/>
    </row>
    <row r="35" spans="1:12" x14ac:dyDescent="0.3">
      <c r="A35" s="48"/>
      <c r="B35" s="42" t="s">
        <v>0</v>
      </c>
      <c r="C35" s="42" t="str">
        <f>E22</f>
        <v>Madrid</v>
      </c>
      <c r="D35" s="42"/>
      <c r="E35" s="48" t="s">
        <v>26</v>
      </c>
      <c r="F35" s="42"/>
      <c r="G35" s="42"/>
      <c r="I35" s="50"/>
      <c r="J35" s="51"/>
    </row>
    <row r="36" spans="1:12" x14ac:dyDescent="0.3">
      <c r="A36" s="42"/>
      <c r="B36" s="42" t="s">
        <v>1</v>
      </c>
      <c r="C36" s="42" t="str">
        <f>E24</f>
        <v>Carnica</v>
      </c>
      <c r="D36" s="42"/>
      <c r="E36" s="48" t="str">
        <f>_xlfn.CONCAT($C$35,$C$36,$C$37,0.3)</f>
        <v>MadridCarnicaPLANO20,3</v>
      </c>
      <c r="F36" s="42"/>
      <c r="G36" s="42"/>
      <c r="H36" s="50" t="s">
        <v>28</v>
      </c>
      <c r="I36" s="50"/>
      <c r="J36" s="51"/>
    </row>
    <row r="37" spans="1:12" ht="14.4" customHeight="1" x14ac:dyDescent="0.3">
      <c r="A37" s="42"/>
      <c r="B37" s="42" t="s">
        <v>7</v>
      </c>
      <c r="C37" s="42" t="str">
        <f>VLOOKUP(E23,A29:B33,2)</f>
        <v>PLANO2</v>
      </c>
      <c r="D37" s="42" t="str">
        <f>VLOOKUP(C37,B29:C33,2)</f>
        <v>Captador PLANO Gran Formato</v>
      </c>
      <c r="E37" s="48" t="str">
        <f>_xlfn.CONCAT($C$35,$C$36,$C$37,0.45)</f>
        <v>MadridCarnicaPLANO20,45</v>
      </c>
      <c r="F37" s="42"/>
      <c r="G37" s="42"/>
      <c r="H37" s="52" t="s">
        <v>25</v>
      </c>
      <c r="I37" s="53" t="s">
        <v>37</v>
      </c>
      <c r="J37" s="54" t="str">
        <f>LISTADO!K2</f>
        <v>Área Solar [m2]</v>
      </c>
    </row>
    <row r="38" spans="1:12" ht="14.4" customHeight="1" x14ac:dyDescent="0.3">
      <c r="A38" s="42"/>
      <c r="B38" s="42"/>
      <c r="C38" s="42"/>
      <c r="D38" s="42"/>
      <c r="E38" s="48" t="str">
        <f>_xlfn.CONCAT($C$35,$C$36,$C$37,0.6)</f>
        <v>MadridCarnicaPLANO20,6</v>
      </c>
      <c r="F38" s="42"/>
      <c r="G38" s="42"/>
      <c r="H38" s="55" t="s">
        <v>34</v>
      </c>
      <c r="I38" s="53"/>
      <c r="J38" s="54"/>
    </row>
    <row r="39" spans="1:12" x14ac:dyDescent="0.3">
      <c r="A39" s="42"/>
      <c r="B39" s="42" t="s">
        <v>33</v>
      </c>
      <c r="C39" s="42"/>
      <c r="D39" s="42"/>
      <c r="E39" s="48" t="str">
        <f>_xlfn.CONCAT($C$35,$C$36,$C$37,0.75)</f>
        <v>MadridCarnicaPLANO20,75</v>
      </c>
      <c r="F39" s="42"/>
      <c r="G39" s="42"/>
      <c r="H39" s="56">
        <f>VLOOKUP(E36,LISTADO!$B$2:$O$522,12,FALSE)</f>
        <v>0.27144248242298902</v>
      </c>
      <c r="I39" s="57">
        <f>VLOOKUP(E36,LISTADO!$B$2:$O$522,11,FALSE)</f>
        <v>510.49397870590224</v>
      </c>
      <c r="J39" s="57">
        <f>VLOOKUP(E36,LISTADO!$B$2:$O$522,10,FALSE)</f>
        <v>3076.8598970799499</v>
      </c>
    </row>
    <row r="40" spans="1:12" x14ac:dyDescent="0.3">
      <c r="A40" s="42"/>
      <c r="B40" s="42">
        <f t="array" ref="B40:D44">LINEST(I39:I42,H39:H42^{1,2},,1)</f>
        <v>-437.02163998187797</v>
      </c>
      <c r="C40" s="42">
        <v>-21.075189977301285</v>
      </c>
      <c r="D40" s="42">
        <v>548.59420347781793</v>
      </c>
      <c r="E40" s="42"/>
      <c r="F40" s="42"/>
      <c r="G40" s="42"/>
      <c r="H40" s="56">
        <f>VLOOKUP(E37,LISTADO!$B$2:$O$522,12,FALSE)</f>
        <v>0.39411870272092187</v>
      </c>
      <c r="I40" s="57">
        <f>VLOOKUP(E37,LISTADO!$B$2:$O$522,11,FALSE)</f>
        <v>473.08136477191033</v>
      </c>
      <c r="J40" s="57">
        <f>VLOOKUP(E37,LISTADO!$B$2:$O$522,10,FALSE)</f>
        <v>4863.2522039795213</v>
      </c>
    </row>
    <row r="41" spans="1:12" x14ac:dyDescent="0.3">
      <c r="A41" s="48"/>
      <c r="B41" s="42">
        <v>64.658792291613054</v>
      </c>
      <c r="C41" s="42">
        <v>54.172197369881651</v>
      </c>
      <c r="D41" s="42">
        <v>10.69929269403011</v>
      </c>
      <c r="E41" s="42"/>
      <c r="F41" s="42"/>
      <c r="G41" s="42"/>
      <c r="H41" s="56">
        <f>VLOOKUP(E38,LISTADO!$B$2:$O$522,12,FALSE)</f>
        <v>0.49630500812123007</v>
      </c>
      <c r="I41" s="57">
        <f>VLOOKUP(E38,LISTADO!$B$2:$O$522,11,FALSE)</f>
        <v>429.58153213211136</v>
      </c>
      <c r="J41" s="57">
        <f>VLOOKUP(E38,LISTADO!$B$2:$O$522,10,FALSE)</f>
        <v>6856.7209449477677</v>
      </c>
    </row>
    <row r="42" spans="1:12" x14ac:dyDescent="0.3">
      <c r="A42" s="48"/>
      <c r="B42" s="42">
        <v>0.99980035041199977</v>
      </c>
      <c r="C42" s="42">
        <v>1.2158499891063475</v>
      </c>
      <c r="D42" s="42" t="e">
        <v>#N/A</v>
      </c>
      <c r="E42" s="42"/>
      <c r="F42" s="42"/>
      <c r="G42" s="42"/>
      <c r="H42" s="56">
        <f>VLOOKUP(E39,LISTADO!$B$2:$O$522,12,FALSE)</f>
        <v>0.56635165162089085</v>
      </c>
      <c r="I42" s="57">
        <f>VLOOKUP(E39,LISTADO!$B$2:$O$522,11,FALSE)</f>
        <v>396.89173385925017</v>
      </c>
      <c r="J42" s="57">
        <f>VLOOKUP(E39,LISTADO!$B$2:$O$522,10,FALSE)</f>
        <v>8601.2093988511497</v>
      </c>
    </row>
    <row r="43" spans="1:12" x14ac:dyDescent="0.3">
      <c r="A43" s="48"/>
      <c r="B43" s="42">
        <v>2503.8878377522469</v>
      </c>
      <c r="C43" s="42">
        <v>1</v>
      </c>
      <c r="D43" s="42" t="e">
        <v>#N/A</v>
      </c>
      <c r="E43" s="42"/>
      <c r="F43" s="42"/>
      <c r="G43" s="42"/>
    </row>
    <row r="44" spans="1:12" x14ac:dyDescent="0.3">
      <c r="A44" s="48"/>
      <c r="B44" s="42">
        <v>7402.9506926908489</v>
      </c>
      <c r="C44" s="42">
        <v>1.4782911960099052</v>
      </c>
      <c r="D44" s="42" t="e">
        <v>#N/A</v>
      </c>
      <c r="E44" s="42"/>
      <c r="F44" s="42"/>
      <c r="G44" s="42"/>
    </row>
    <row r="45" spans="1:12" x14ac:dyDescent="0.3">
      <c r="A45" s="41"/>
      <c r="B45" s="43"/>
      <c r="C45" s="43"/>
      <c r="D45" s="43"/>
      <c r="E45" s="43"/>
      <c r="F45" s="43"/>
      <c r="G45" s="43"/>
      <c r="H45" s="43"/>
    </row>
    <row r="46" spans="1:12" ht="18" x14ac:dyDescent="0.35">
      <c r="A46" s="41"/>
      <c r="B46" s="32" t="s">
        <v>65</v>
      </c>
      <c r="C46" s="58"/>
      <c r="D46" s="58"/>
      <c r="E46" s="58"/>
      <c r="F46" s="58"/>
      <c r="G46" s="33"/>
      <c r="H46" s="33"/>
      <c r="I46" s="33"/>
      <c r="J46" s="34"/>
    </row>
    <row r="47" spans="1:12" ht="3" customHeight="1" x14ac:dyDescent="0.3">
      <c r="A47" s="41"/>
      <c r="B47" s="59"/>
      <c r="C47" s="60"/>
      <c r="D47" s="60"/>
      <c r="E47" s="60"/>
      <c r="F47" s="60"/>
      <c r="G47" s="59"/>
      <c r="H47" s="59"/>
      <c r="I47" s="59"/>
      <c r="J47" s="59"/>
    </row>
    <row r="48" spans="1:12" x14ac:dyDescent="0.3">
      <c r="A48" s="41"/>
      <c r="B48" s="43"/>
      <c r="C48" s="43"/>
      <c r="D48" s="43"/>
      <c r="E48" s="43"/>
      <c r="F48" s="43"/>
    </row>
    <row r="49" spans="1:11" ht="18" x14ac:dyDescent="0.35">
      <c r="B49" s="26" t="s">
        <v>66</v>
      </c>
      <c r="E49" s="78">
        <v>450</v>
      </c>
      <c r="F49" s="26" t="s">
        <v>67</v>
      </c>
      <c r="G49" s="44"/>
      <c r="H49" s="44"/>
      <c r="I49" s="44"/>
    </row>
    <row r="50" spans="1:11" ht="3" customHeight="1" x14ac:dyDescent="0.3">
      <c r="E50" s="45"/>
    </row>
    <row r="51" spans="1:11" x14ac:dyDescent="0.3">
      <c r="B51" s="26" t="s">
        <v>68</v>
      </c>
      <c r="E51" s="78">
        <v>33.19</v>
      </c>
      <c r="F51" s="26" t="s">
        <v>69</v>
      </c>
    </row>
    <row r="52" spans="1:11" s="37" customFormat="1" ht="3" customHeight="1" x14ac:dyDescent="0.3">
      <c r="A52" s="36"/>
      <c r="E52" s="47"/>
      <c r="G52" s="26"/>
    </row>
    <row r="53" spans="1:11" x14ac:dyDescent="0.3">
      <c r="B53" s="26" t="s">
        <v>70</v>
      </c>
      <c r="E53" s="79">
        <f>E51/E27*100</f>
        <v>36.877777777777773</v>
      </c>
      <c r="F53" s="26" t="s">
        <v>71</v>
      </c>
    </row>
    <row r="54" spans="1:11" ht="3" customHeight="1" x14ac:dyDescent="0.3">
      <c r="E54" s="45"/>
    </row>
    <row r="55" spans="1:11" ht="15.6" x14ac:dyDescent="0.35">
      <c r="B55" s="26" t="s">
        <v>109</v>
      </c>
      <c r="E55" s="79">
        <f>IF(E26=B501,D501,IF(E26=B502,D502,IF(E26=B503,D503,IF(E26=B504,D504,IF(E26=B505,D505,IF(E26=B506,D506,"Error"))))))</f>
        <v>0.22716000000000003</v>
      </c>
      <c r="F55" s="26" t="s">
        <v>72</v>
      </c>
    </row>
    <row r="56" spans="1:11" ht="3" customHeight="1" x14ac:dyDescent="0.3">
      <c r="E56" s="45"/>
    </row>
    <row r="57" spans="1:11" ht="15.6" x14ac:dyDescent="0.35">
      <c r="B57" s="26" t="s">
        <v>73</v>
      </c>
      <c r="E57" s="78">
        <v>20</v>
      </c>
      <c r="F57" s="26" t="s">
        <v>74</v>
      </c>
    </row>
    <row r="58" spans="1:11" ht="3" customHeight="1" x14ac:dyDescent="0.3">
      <c r="E58" s="45"/>
    </row>
    <row r="59" spans="1:11" x14ac:dyDescent="0.3">
      <c r="B59" s="26" t="s">
        <v>75</v>
      </c>
      <c r="E59" s="78">
        <v>2</v>
      </c>
      <c r="F59" s="26" t="s">
        <v>76</v>
      </c>
    </row>
    <row r="60" spans="1:11" ht="3" customHeight="1" x14ac:dyDescent="0.3">
      <c r="E60" s="45"/>
    </row>
    <row r="61" spans="1:11" ht="18" x14ac:dyDescent="0.35">
      <c r="B61" s="26" t="s">
        <v>44</v>
      </c>
      <c r="E61" s="78">
        <v>2</v>
      </c>
      <c r="F61" s="26" t="s">
        <v>76</v>
      </c>
      <c r="H61" s="44"/>
      <c r="J61" s="44"/>
      <c r="K61" s="46"/>
    </row>
    <row r="62" spans="1:11" ht="3" customHeight="1" x14ac:dyDescent="0.3">
      <c r="E62" s="45"/>
    </row>
    <row r="63" spans="1:11" ht="18" x14ac:dyDescent="0.35">
      <c r="B63" s="26" t="s">
        <v>77</v>
      </c>
      <c r="E63" s="78">
        <v>1</v>
      </c>
      <c r="F63" s="26" t="s">
        <v>76</v>
      </c>
      <c r="H63" s="44"/>
      <c r="J63" s="44"/>
      <c r="K63" s="46"/>
    </row>
    <row r="64" spans="1:11" ht="3" customHeight="1" x14ac:dyDescent="0.3">
      <c r="E64" s="45"/>
    </row>
    <row r="65" spans="1:10" ht="18" x14ac:dyDescent="0.35">
      <c r="B65" s="26" t="s">
        <v>104</v>
      </c>
      <c r="E65" s="78">
        <v>30</v>
      </c>
      <c r="F65" s="26" t="s">
        <v>78</v>
      </c>
      <c r="H65" s="44"/>
      <c r="J65" s="44"/>
    </row>
    <row r="66" spans="1:10" ht="3" customHeight="1" x14ac:dyDescent="0.3">
      <c r="E66" s="45"/>
    </row>
    <row r="67" spans="1:10" ht="18" x14ac:dyDescent="0.35">
      <c r="B67" s="26" t="s">
        <v>79</v>
      </c>
      <c r="E67" s="78">
        <v>60</v>
      </c>
      <c r="F67" s="26" t="s">
        <v>64</v>
      </c>
      <c r="H67" s="44"/>
      <c r="J67" s="44"/>
    </row>
    <row r="68" spans="1:10" ht="3" customHeight="1" x14ac:dyDescent="0.3"/>
    <row r="70" spans="1:10" ht="18" x14ac:dyDescent="0.35">
      <c r="B70" s="32" t="s">
        <v>80</v>
      </c>
      <c r="C70" s="33"/>
      <c r="D70" s="33"/>
      <c r="E70" s="33"/>
      <c r="F70" s="33"/>
      <c r="G70" s="33"/>
      <c r="H70" s="33"/>
      <c r="I70" s="33"/>
      <c r="J70" s="34"/>
    </row>
    <row r="71" spans="1:10" ht="15" customHeight="1" x14ac:dyDescent="0.3"/>
    <row r="72" spans="1:10" ht="18" x14ac:dyDescent="0.35">
      <c r="B72" s="26" t="s">
        <v>81</v>
      </c>
      <c r="E72" s="102">
        <f>I22</f>
        <v>450.6</v>
      </c>
      <c r="F72" s="26" t="s">
        <v>82</v>
      </c>
    </row>
    <row r="73" spans="1:10" ht="3" customHeight="1" x14ac:dyDescent="0.3"/>
    <row r="74" spans="1:10" ht="18" x14ac:dyDescent="0.35">
      <c r="B74" s="26" t="s">
        <v>83</v>
      </c>
      <c r="E74" s="102">
        <f>I24</f>
        <v>5894.3</v>
      </c>
      <c r="F74" s="26" t="s">
        <v>84</v>
      </c>
    </row>
    <row r="75" spans="1:10" ht="3" customHeight="1" x14ac:dyDescent="0.3"/>
    <row r="76" spans="1:10" ht="18" x14ac:dyDescent="0.35">
      <c r="B76" s="26" t="s">
        <v>85</v>
      </c>
      <c r="E76" s="102">
        <f>E72/1000*E74*E65*E55</f>
        <v>18099.915123384002</v>
      </c>
      <c r="F76" s="26" t="s">
        <v>86</v>
      </c>
    </row>
    <row r="77" spans="1:10" ht="3" customHeight="1" x14ac:dyDescent="0.3"/>
    <row r="78" spans="1:10" ht="18" x14ac:dyDescent="0.35">
      <c r="B78" s="26" t="s">
        <v>87</v>
      </c>
      <c r="E78" s="102">
        <f>E74*E49</f>
        <v>2652435</v>
      </c>
      <c r="F78" s="26" t="s">
        <v>88</v>
      </c>
    </row>
    <row r="79" spans="1:10" s="37" customFormat="1" ht="3" customHeight="1" x14ac:dyDescent="0.35">
      <c r="A79" s="36"/>
      <c r="E79" s="38"/>
    </row>
    <row r="80" spans="1:10" ht="18" x14ac:dyDescent="0.35">
      <c r="B80" s="26" t="s">
        <v>89</v>
      </c>
      <c r="E80" s="102">
        <f>E78-E78*E67%</f>
        <v>1060974</v>
      </c>
      <c r="F80" s="26" t="s">
        <v>88</v>
      </c>
    </row>
    <row r="81" spans="1:7" ht="3" customHeight="1" x14ac:dyDescent="0.3"/>
    <row r="82" spans="1:7" ht="18" x14ac:dyDescent="0.35">
      <c r="B82" s="26" t="s">
        <v>90</v>
      </c>
      <c r="E82" s="39">
        <f>CALCULOS!C8</f>
        <v>0.10363797406298048</v>
      </c>
    </row>
    <row r="83" spans="1:7" ht="5.0999999999999996" customHeight="1" x14ac:dyDescent="0.3"/>
    <row r="84" spans="1:7" ht="18" x14ac:dyDescent="0.35">
      <c r="B84" s="26" t="s">
        <v>102</v>
      </c>
      <c r="E84" s="35">
        <f>CALCULOS!E24</f>
        <v>40.340517069512416</v>
      </c>
      <c r="F84" s="26" t="s">
        <v>91</v>
      </c>
    </row>
    <row r="85" spans="1:7" ht="5.0999999999999996" customHeight="1" x14ac:dyDescent="0.3"/>
    <row r="87" spans="1:7" x14ac:dyDescent="0.3">
      <c r="B87" s="40" t="s">
        <v>92</v>
      </c>
    </row>
    <row r="88" spans="1:7" x14ac:dyDescent="0.3">
      <c r="B88" s="40" t="s">
        <v>105</v>
      </c>
    </row>
    <row r="89" spans="1:7" x14ac:dyDescent="0.3">
      <c r="B89" s="40" t="s">
        <v>106</v>
      </c>
    </row>
    <row r="90" spans="1:7" x14ac:dyDescent="0.3">
      <c r="B90" s="40" t="s">
        <v>107</v>
      </c>
    </row>
    <row r="91" spans="1:7" x14ac:dyDescent="0.3">
      <c r="B91" s="40" t="s">
        <v>108</v>
      </c>
    </row>
    <row r="92" spans="1:7" x14ac:dyDescent="0.3">
      <c r="B92" s="40"/>
    </row>
    <row r="93" spans="1:7" x14ac:dyDescent="0.3">
      <c r="A93" s="41"/>
      <c r="B93" s="42"/>
      <c r="C93" s="42"/>
      <c r="D93" s="42"/>
      <c r="E93" s="42"/>
      <c r="F93" s="43"/>
      <c r="G93" s="43"/>
    </row>
    <row r="94" spans="1:7" x14ac:dyDescent="0.3">
      <c r="A94" s="41"/>
      <c r="B94" s="42">
        <f t="array" ref="B94:D98">LINEST(J39:J42,H39:H42^{1,2},,1)</f>
        <v>25116.071887743834</v>
      </c>
      <c r="C94" s="42">
        <v>-2372.1472612281136</v>
      </c>
      <c r="D94" s="42">
        <v>1875.7852698059496</v>
      </c>
      <c r="E94" s="42"/>
      <c r="F94" s="43"/>
    </row>
    <row r="95" spans="1:7" s="43" customFormat="1" x14ac:dyDescent="0.3">
      <c r="A95" s="41"/>
      <c r="B95" s="42">
        <v>2019.8089474124579</v>
      </c>
      <c r="C95" s="42">
        <v>1692.2290854924181</v>
      </c>
      <c r="D95" s="42">
        <v>334.22410701583544</v>
      </c>
      <c r="E95" s="42"/>
    </row>
    <row r="96" spans="1:7" s="43" customFormat="1" x14ac:dyDescent="0.3">
      <c r="A96" s="41"/>
      <c r="B96" s="42">
        <v>0.99991635856207584</v>
      </c>
      <c r="C96" s="42">
        <v>37.980676713426362</v>
      </c>
      <c r="D96" s="42" t="e">
        <v>#N/A</v>
      </c>
      <c r="E96" s="42"/>
    </row>
    <row r="97" spans="1:5" s="43" customFormat="1" x14ac:dyDescent="0.3">
      <c r="A97" s="41"/>
      <c r="B97" s="42">
        <v>5977.3981855146858</v>
      </c>
      <c r="C97" s="42">
        <v>1</v>
      </c>
      <c r="D97" s="42" t="e">
        <v>#N/A</v>
      </c>
      <c r="E97" s="42"/>
    </row>
    <row r="98" spans="1:5" s="43" customFormat="1" x14ac:dyDescent="0.3">
      <c r="A98" s="41"/>
      <c r="B98" s="42">
        <v>17245173.970888983</v>
      </c>
      <c r="C98" s="42">
        <v>1442.5318036098076</v>
      </c>
      <c r="D98" s="42" t="e">
        <v>#N/A</v>
      </c>
      <c r="E98" s="42"/>
    </row>
    <row r="99" spans="1:5" s="43" customFormat="1" x14ac:dyDescent="0.3">
      <c r="A99" s="41"/>
    </row>
    <row r="100" spans="1:5" s="43" customFormat="1" x14ac:dyDescent="0.3">
      <c r="A100" s="41"/>
    </row>
    <row r="101" spans="1:5" s="43" customFormat="1" x14ac:dyDescent="0.3">
      <c r="A101" s="41"/>
    </row>
    <row r="102" spans="1:5" s="43" customFormat="1" x14ac:dyDescent="0.3">
      <c r="A102" s="41"/>
    </row>
    <row r="103" spans="1:5" s="43" customFormat="1" x14ac:dyDescent="0.3">
      <c r="A103" s="41"/>
    </row>
    <row r="104" spans="1:5" s="43" customFormat="1" x14ac:dyDescent="0.3">
      <c r="A104" s="41"/>
    </row>
    <row r="105" spans="1:5" s="43" customFormat="1" x14ac:dyDescent="0.3">
      <c r="A105" s="41"/>
    </row>
    <row r="106" spans="1:5" s="43" customFormat="1" x14ac:dyDescent="0.3">
      <c r="A106" s="41"/>
    </row>
    <row r="107" spans="1:5" s="43" customFormat="1" x14ac:dyDescent="0.3">
      <c r="A107" s="41"/>
    </row>
    <row r="108" spans="1:5" s="43" customFormat="1" x14ac:dyDescent="0.3">
      <c r="A108" s="41"/>
    </row>
    <row r="109" spans="1:5" s="43" customFormat="1" x14ac:dyDescent="0.3">
      <c r="A109" s="41"/>
    </row>
    <row r="110" spans="1:5" s="43" customFormat="1" x14ac:dyDescent="0.3">
      <c r="A110" s="41"/>
    </row>
    <row r="111" spans="1:5" s="43" customFormat="1" x14ac:dyDescent="0.3">
      <c r="A111" s="41"/>
    </row>
    <row r="112" spans="1:5" s="43" customFormat="1" x14ac:dyDescent="0.3">
      <c r="A112" s="41"/>
    </row>
    <row r="113" spans="1:1" s="43" customFormat="1" x14ac:dyDescent="0.3">
      <c r="A113" s="41"/>
    </row>
    <row r="114" spans="1:1" s="43" customFormat="1" x14ac:dyDescent="0.3">
      <c r="A114" s="41"/>
    </row>
    <row r="115" spans="1:1" s="43" customFormat="1" x14ac:dyDescent="0.3">
      <c r="A115" s="41"/>
    </row>
    <row r="116" spans="1:1" s="43" customFormat="1" x14ac:dyDescent="0.3">
      <c r="A116" s="41"/>
    </row>
    <row r="117" spans="1:1" s="43" customFormat="1" x14ac:dyDescent="0.3">
      <c r="A117" s="41"/>
    </row>
    <row r="118" spans="1:1" s="43" customFormat="1" x14ac:dyDescent="0.3">
      <c r="A118" s="41"/>
    </row>
    <row r="119" spans="1:1" s="43" customFormat="1" x14ac:dyDescent="0.3">
      <c r="A119" s="41"/>
    </row>
    <row r="120" spans="1:1" s="43" customFormat="1" x14ac:dyDescent="0.3">
      <c r="A120" s="41"/>
    </row>
    <row r="121" spans="1:1" s="43" customFormat="1" x14ac:dyDescent="0.3">
      <c r="A121" s="41"/>
    </row>
    <row r="122" spans="1:1" s="43" customFormat="1" x14ac:dyDescent="0.3">
      <c r="A122" s="41"/>
    </row>
    <row r="123" spans="1:1" s="43" customFormat="1" x14ac:dyDescent="0.3">
      <c r="A123" s="41"/>
    </row>
    <row r="124" spans="1:1" s="43" customFormat="1" x14ac:dyDescent="0.3">
      <c r="A124" s="41"/>
    </row>
    <row r="125" spans="1:1" s="43" customFormat="1" x14ac:dyDescent="0.3">
      <c r="A125" s="41"/>
    </row>
    <row r="126" spans="1:1" s="43" customFormat="1" x14ac:dyDescent="0.3">
      <c r="A126" s="41"/>
    </row>
    <row r="127" spans="1:1" s="43" customFormat="1" x14ac:dyDescent="0.3">
      <c r="A127" s="41"/>
    </row>
    <row r="128" spans="1:1" s="43" customFormat="1" x14ac:dyDescent="0.3">
      <c r="A128" s="41"/>
    </row>
    <row r="129" spans="1:1" s="43" customFormat="1" x14ac:dyDescent="0.3">
      <c r="A129" s="41"/>
    </row>
    <row r="130" spans="1:1" s="43" customFormat="1" x14ac:dyDescent="0.3">
      <c r="A130" s="41"/>
    </row>
    <row r="131" spans="1:1" s="43" customFormat="1" x14ac:dyDescent="0.3">
      <c r="A131" s="41"/>
    </row>
    <row r="132" spans="1:1" s="43" customFormat="1" x14ac:dyDescent="0.3">
      <c r="A132" s="41"/>
    </row>
    <row r="133" spans="1:1" s="43" customFormat="1" x14ac:dyDescent="0.3">
      <c r="A133" s="41"/>
    </row>
    <row r="134" spans="1:1" s="43" customFormat="1" x14ac:dyDescent="0.3">
      <c r="A134" s="41"/>
    </row>
    <row r="135" spans="1:1" s="43" customFormat="1" x14ac:dyDescent="0.3">
      <c r="A135" s="41"/>
    </row>
    <row r="136" spans="1:1" s="43" customFormat="1" x14ac:dyDescent="0.3">
      <c r="A136" s="41"/>
    </row>
    <row r="137" spans="1:1" s="43" customFormat="1" x14ac:dyDescent="0.3">
      <c r="A137" s="41"/>
    </row>
    <row r="138" spans="1:1" s="43" customFormat="1" x14ac:dyDescent="0.3">
      <c r="A138" s="41"/>
    </row>
    <row r="139" spans="1:1" s="43" customFormat="1" x14ac:dyDescent="0.3">
      <c r="A139" s="41"/>
    </row>
    <row r="140" spans="1:1" s="43" customFormat="1" x14ac:dyDescent="0.3">
      <c r="A140" s="41"/>
    </row>
    <row r="141" spans="1:1" s="43" customFormat="1" x14ac:dyDescent="0.3">
      <c r="A141" s="41"/>
    </row>
    <row r="142" spans="1:1" s="43" customFormat="1" x14ac:dyDescent="0.3">
      <c r="A142" s="41"/>
    </row>
    <row r="143" spans="1:1" s="43" customFormat="1" x14ac:dyDescent="0.3">
      <c r="A143" s="41"/>
    </row>
    <row r="144" spans="1:1" s="43" customFormat="1" x14ac:dyDescent="0.3">
      <c r="A144" s="41"/>
    </row>
    <row r="145" spans="1:1" s="43" customFormat="1" x14ac:dyDescent="0.3">
      <c r="A145" s="41"/>
    </row>
    <row r="146" spans="1:1" s="43" customFormat="1" x14ac:dyDescent="0.3">
      <c r="A146" s="41"/>
    </row>
    <row r="147" spans="1:1" s="43" customFormat="1" x14ac:dyDescent="0.3">
      <c r="A147" s="41"/>
    </row>
    <row r="148" spans="1:1" s="43" customFormat="1" x14ac:dyDescent="0.3">
      <c r="A148" s="41"/>
    </row>
    <row r="149" spans="1:1" s="43" customFormat="1" x14ac:dyDescent="0.3">
      <c r="A149" s="41"/>
    </row>
    <row r="150" spans="1:1" s="43" customFormat="1" x14ac:dyDescent="0.3">
      <c r="A150" s="41"/>
    </row>
    <row r="151" spans="1:1" s="43" customFormat="1" x14ac:dyDescent="0.3">
      <c r="A151" s="41"/>
    </row>
    <row r="152" spans="1:1" s="43" customFormat="1" x14ac:dyDescent="0.3">
      <c r="A152" s="41"/>
    </row>
    <row r="153" spans="1:1" s="43" customFormat="1" x14ac:dyDescent="0.3">
      <c r="A153" s="41"/>
    </row>
    <row r="154" spans="1:1" s="43" customFormat="1" x14ac:dyDescent="0.3">
      <c r="A154" s="41"/>
    </row>
    <row r="155" spans="1:1" s="43" customFormat="1" x14ac:dyDescent="0.3">
      <c r="A155" s="41"/>
    </row>
    <row r="156" spans="1:1" s="43" customFormat="1" x14ac:dyDescent="0.3">
      <c r="A156" s="41"/>
    </row>
    <row r="157" spans="1:1" s="43" customFormat="1" x14ac:dyDescent="0.3">
      <c r="A157" s="41"/>
    </row>
    <row r="158" spans="1:1" s="43" customFormat="1" x14ac:dyDescent="0.3">
      <c r="A158" s="41"/>
    </row>
    <row r="159" spans="1:1" s="43" customFormat="1" x14ac:dyDescent="0.3">
      <c r="A159" s="41"/>
    </row>
    <row r="160" spans="1:1" s="43" customFormat="1" x14ac:dyDescent="0.3">
      <c r="A160" s="41"/>
    </row>
    <row r="161" spans="1:1" s="43" customFormat="1" x14ac:dyDescent="0.3">
      <c r="A161" s="41"/>
    </row>
    <row r="162" spans="1:1" s="43" customFormat="1" x14ac:dyDescent="0.3">
      <c r="A162" s="41"/>
    </row>
    <row r="163" spans="1:1" s="43" customFormat="1" x14ac:dyDescent="0.3">
      <c r="A163" s="41"/>
    </row>
    <row r="164" spans="1:1" s="43" customFormat="1" x14ac:dyDescent="0.3">
      <c r="A164" s="41"/>
    </row>
    <row r="165" spans="1:1" s="43" customFormat="1" x14ac:dyDescent="0.3">
      <c r="A165" s="41"/>
    </row>
    <row r="166" spans="1:1" s="43" customFormat="1" x14ac:dyDescent="0.3">
      <c r="A166" s="41"/>
    </row>
    <row r="167" spans="1:1" s="43" customFormat="1" x14ac:dyDescent="0.3">
      <c r="A167" s="41"/>
    </row>
    <row r="168" spans="1:1" s="43" customFormat="1" x14ac:dyDescent="0.3">
      <c r="A168" s="41"/>
    </row>
    <row r="169" spans="1:1" s="43" customFormat="1" x14ac:dyDescent="0.3">
      <c r="A169" s="41"/>
    </row>
    <row r="170" spans="1:1" s="43" customFormat="1" x14ac:dyDescent="0.3">
      <c r="A170" s="41"/>
    </row>
    <row r="171" spans="1:1" s="43" customFormat="1" x14ac:dyDescent="0.3">
      <c r="A171" s="41"/>
    </row>
    <row r="172" spans="1:1" s="43" customFormat="1" x14ac:dyDescent="0.3">
      <c r="A172" s="41"/>
    </row>
    <row r="173" spans="1:1" s="43" customFormat="1" x14ac:dyDescent="0.3">
      <c r="A173" s="41"/>
    </row>
    <row r="174" spans="1:1" s="43" customFormat="1" x14ac:dyDescent="0.3">
      <c r="A174" s="41"/>
    </row>
    <row r="175" spans="1:1" s="43" customFormat="1" x14ac:dyDescent="0.3">
      <c r="A175" s="41"/>
    </row>
    <row r="176" spans="1:1" s="43" customFormat="1" x14ac:dyDescent="0.3">
      <c r="A176" s="41"/>
    </row>
    <row r="177" spans="1:1" s="43" customFormat="1" x14ac:dyDescent="0.3">
      <c r="A177" s="41"/>
    </row>
    <row r="178" spans="1:1" s="43" customFormat="1" x14ac:dyDescent="0.3">
      <c r="A178" s="41"/>
    </row>
    <row r="179" spans="1:1" s="43" customFormat="1" x14ac:dyDescent="0.3">
      <c r="A179" s="41"/>
    </row>
    <row r="180" spans="1:1" s="43" customFormat="1" x14ac:dyDescent="0.3">
      <c r="A180" s="41"/>
    </row>
    <row r="181" spans="1:1" s="43" customFormat="1" x14ac:dyDescent="0.3">
      <c r="A181" s="41"/>
    </row>
    <row r="182" spans="1:1" s="43" customFormat="1" x14ac:dyDescent="0.3">
      <c r="A182" s="41"/>
    </row>
    <row r="183" spans="1:1" s="43" customFormat="1" x14ac:dyDescent="0.3">
      <c r="A183" s="41"/>
    </row>
    <row r="184" spans="1:1" s="43" customFormat="1" x14ac:dyDescent="0.3">
      <c r="A184" s="41"/>
    </row>
    <row r="185" spans="1:1" s="43" customFormat="1" x14ac:dyDescent="0.3">
      <c r="A185" s="41"/>
    </row>
    <row r="186" spans="1:1" s="43" customFormat="1" x14ac:dyDescent="0.3">
      <c r="A186" s="41"/>
    </row>
    <row r="187" spans="1:1" s="43" customFormat="1" x14ac:dyDescent="0.3">
      <c r="A187" s="41"/>
    </row>
    <row r="188" spans="1:1" s="43" customFormat="1" x14ac:dyDescent="0.3">
      <c r="A188" s="41"/>
    </row>
    <row r="189" spans="1:1" s="43" customFormat="1" x14ac:dyDescent="0.3">
      <c r="A189" s="41"/>
    </row>
    <row r="190" spans="1:1" s="43" customFormat="1" x14ac:dyDescent="0.3">
      <c r="A190" s="41"/>
    </row>
    <row r="191" spans="1:1" s="43" customFormat="1" x14ac:dyDescent="0.3">
      <c r="A191" s="41"/>
    </row>
    <row r="192" spans="1:1" s="43" customFormat="1" x14ac:dyDescent="0.3">
      <c r="A192" s="41"/>
    </row>
    <row r="193" spans="1:1" s="43" customFormat="1" x14ac:dyDescent="0.3">
      <c r="A193" s="41"/>
    </row>
    <row r="194" spans="1:1" s="43" customFormat="1" x14ac:dyDescent="0.3">
      <c r="A194" s="41"/>
    </row>
    <row r="195" spans="1:1" s="43" customFormat="1" x14ac:dyDescent="0.3">
      <c r="A195" s="41"/>
    </row>
    <row r="196" spans="1:1" s="43" customFormat="1" x14ac:dyDescent="0.3">
      <c r="A196" s="41"/>
    </row>
    <row r="197" spans="1:1" s="43" customFormat="1" x14ac:dyDescent="0.3">
      <c r="A197" s="41"/>
    </row>
    <row r="198" spans="1:1" s="43" customFormat="1" x14ac:dyDescent="0.3">
      <c r="A198" s="41"/>
    </row>
    <row r="199" spans="1:1" s="43" customFormat="1" x14ac:dyDescent="0.3">
      <c r="A199" s="41"/>
    </row>
    <row r="200" spans="1:1" s="43" customFormat="1" x14ac:dyDescent="0.3">
      <c r="A200" s="41"/>
    </row>
    <row r="201" spans="1:1" s="43" customFormat="1" x14ac:dyDescent="0.3">
      <c r="A201" s="41"/>
    </row>
    <row r="202" spans="1:1" s="43" customFormat="1" x14ac:dyDescent="0.3">
      <c r="A202" s="41"/>
    </row>
    <row r="203" spans="1:1" s="43" customFormat="1" x14ac:dyDescent="0.3">
      <c r="A203" s="41"/>
    </row>
    <row r="204" spans="1:1" s="43" customFormat="1" x14ac:dyDescent="0.3">
      <c r="A204" s="41"/>
    </row>
    <row r="205" spans="1:1" s="43" customFormat="1" x14ac:dyDescent="0.3">
      <c r="A205" s="41"/>
    </row>
    <row r="206" spans="1:1" s="43" customFormat="1" x14ac:dyDescent="0.3">
      <c r="A206" s="41"/>
    </row>
    <row r="207" spans="1:1" s="43" customFormat="1" x14ac:dyDescent="0.3">
      <c r="A207" s="41"/>
    </row>
    <row r="208" spans="1:1" s="43" customFormat="1" x14ac:dyDescent="0.3">
      <c r="A208" s="41"/>
    </row>
    <row r="209" spans="1:1" s="43" customFormat="1" x14ac:dyDescent="0.3">
      <c r="A209" s="41"/>
    </row>
    <row r="210" spans="1:1" s="43" customFormat="1" x14ac:dyDescent="0.3">
      <c r="A210" s="41"/>
    </row>
    <row r="211" spans="1:1" s="43" customFormat="1" x14ac:dyDescent="0.3">
      <c r="A211" s="41"/>
    </row>
    <row r="212" spans="1:1" s="43" customFormat="1" x14ac:dyDescent="0.3">
      <c r="A212" s="41"/>
    </row>
    <row r="213" spans="1:1" s="43" customFormat="1" x14ac:dyDescent="0.3">
      <c r="A213" s="41"/>
    </row>
    <row r="214" spans="1:1" s="43" customFormat="1" x14ac:dyDescent="0.3">
      <c r="A214" s="41"/>
    </row>
    <row r="215" spans="1:1" s="43" customFormat="1" x14ac:dyDescent="0.3">
      <c r="A215" s="41"/>
    </row>
    <row r="216" spans="1:1" s="43" customFormat="1" x14ac:dyDescent="0.3">
      <c r="A216" s="41"/>
    </row>
    <row r="217" spans="1:1" s="43" customFormat="1" x14ac:dyDescent="0.3">
      <c r="A217" s="41"/>
    </row>
    <row r="218" spans="1:1" s="43" customFormat="1" x14ac:dyDescent="0.3">
      <c r="A218" s="41"/>
    </row>
    <row r="219" spans="1:1" s="43" customFormat="1" x14ac:dyDescent="0.3">
      <c r="A219" s="41"/>
    </row>
    <row r="220" spans="1:1" s="43" customFormat="1" x14ac:dyDescent="0.3">
      <c r="A220" s="41"/>
    </row>
    <row r="221" spans="1:1" s="43" customFormat="1" x14ac:dyDescent="0.3">
      <c r="A221" s="41"/>
    </row>
    <row r="222" spans="1:1" s="43" customFormat="1" x14ac:dyDescent="0.3">
      <c r="A222" s="41"/>
    </row>
    <row r="223" spans="1:1" s="43" customFormat="1" x14ac:dyDescent="0.3">
      <c r="A223" s="41"/>
    </row>
    <row r="224" spans="1:1" s="43" customFormat="1" x14ac:dyDescent="0.3">
      <c r="A224" s="41"/>
    </row>
    <row r="225" spans="1:1" s="43" customFormat="1" x14ac:dyDescent="0.3">
      <c r="A225" s="41"/>
    </row>
    <row r="226" spans="1:1" s="43" customFormat="1" x14ac:dyDescent="0.3">
      <c r="A226" s="41"/>
    </row>
    <row r="227" spans="1:1" s="43" customFormat="1" x14ac:dyDescent="0.3">
      <c r="A227" s="41"/>
    </row>
    <row r="228" spans="1:1" s="43" customFormat="1" x14ac:dyDescent="0.3">
      <c r="A228" s="41"/>
    </row>
    <row r="229" spans="1:1" s="43" customFormat="1" x14ac:dyDescent="0.3">
      <c r="A229" s="41"/>
    </row>
    <row r="230" spans="1:1" s="43" customFormat="1" x14ac:dyDescent="0.3">
      <c r="A230" s="41"/>
    </row>
    <row r="231" spans="1:1" s="43" customFormat="1" x14ac:dyDescent="0.3">
      <c r="A231" s="41"/>
    </row>
    <row r="232" spans="1:1" s="43" customFormat="1" x14ac:dyDescent="0.3">
      <c r="A232" s="41"/>
    </row>
    <row r="233" spans="1:1" s="43" customFormat="1" x14ac:dyDescent="0.3">
      <c r="A233" s="41"/>
    </row>
    <row r="234" spans="1:1" s="43" customFormat="1" x14ac:dyDescent="0.3">
      <c r="A234" s="41"/>
    </row>
    <row r="235" spans="1:1" s="43" customFormat="1" x14ac:dyDescent="0.3">
      <c r="A235" s="41"/>
    </row>
    <row r="236" spans="1:1" s="43" customFormat="1" x14ac:dyDescent="0.3">
      <c r="A236" s="41"/>
    </row>
    <row r="237" spans="1:1" s="43" customFormat="1" x14ac:dyDescent="0.3">
      <c r="A237" s="41"/>
    </row>
    <row r="238" spans="1:1" s="43" customFormat="1" x14ac:dyDescent="0.3">
      <c r="A238" s="41"/>
    </row>
    <row r="500" spans="1:5" ht="58.2" x14ac:dyDescent="0.35">
      <c r="A500" s="48"/>
      <c r="B500" s="81" t="s">
        <v>112</v>
      </c>
      <c r="C500" s="42"/>
      <c r="D500" s="81" t="s">
        <v>119</v>
      </c>
      <c r="E500" s="81" t="s">
        <v>103</v>
      </c>
    </row>
    <row r="501" spans="1:5" x14ac:dyDescent="0.3">
      <c r="A501" s="48"/>
      <c r="B501" s="85" t="s">
        <v>113</v>
      </c>
      <c r="C501" s="42"/>
      <c r="D501" s="86">
        <v>0.18548922306066917</v>
      </c>
      <c r="E501" s="84">
        <v>50</v>
      </c>
    </row>
    <row r="502" spans="1:5" x14ac:dyDescent="0.3">
      <c r="A502" s="48"/>
      <c r="B502" s="85" t="s">
        <v>114</v>
      </c>
      <c r="C502" s="42"/>
      <c r="D502" s="86">
        <f>55.98/1000*3.6</f>
        <v>0.20152799999999998</v>
      </c>
      <c r="E502" s="84">
        <v>60</v>
      </c>
    </row>
    <row r="503" spans="1:5" x14ac:dyDescent="0.3">
      <c r="A503" s="48"/>
      <c r="B503" s="85" t="s">
        <v>115</v>
      </c>
      <c r="C503" s="42"/>
      <c r="D503" s="86">
        <f>74.1/1000*3.6</f>
        <v>0.26676</v>
      </c>
      <c r="E503" s="84">
        <v>70</v>
      </c>
    </row>
    <row r="504" spans="1:5" x14ac:dyDescent="0.3">
      <c r="A504" s="48"/>
      <c r="B504" s="85" t="s">
        <v>116</v>
      </c>
      <c r="C504" s="42"/>
      <c r="D504" s="86">
        <f>63.1/1000*3.6</f>
        <v>0.22716000000000003</v>
      </c>
      <c r="E504" s="84">
        <v>80</v>
      </c>
    </row>
    <row r="505" spans="1:5" x14ac:dyDescent="0.3">
      <c r="A505" s="48"/>
      <c r="B505" s="85" t="s">
        <v>117</v>
      </c>
      <c r="C505" s="42"/>
      <c r="D505" s="86">
        <f>63.6/1000*3.6</f>
        <v>0.22896000000000002</v>
      </c>
      <c r="E505" s="84">
        <v>90</v>
      </c>
    </row>
    <row r="506" spans="1:5" x14ac:dyDescent="0.3">
      <c r="A506" s="48"/>
      <c r="B506" s="82" t="s">
        <v>118</v>
      </c>
      <c r="C506" s="42"/>
      <c r="D506" s="83">
        <f>77.4/1000*3.6</f>
        <v>0.27864000000000005</v>
      </c>
      <c r="E506" s="84">
        <v>100</v>
      </c>
    </row>
    <row r="510" spans="1:5" x14ac:dyDescent="0.3">
      <c r="D510" s="80">
        <f>IF(E26=B501,D501,IF(E26=B502,D502,IF(E26=B503,D503,IF(E26=B504,D504,IF(E26=B505,D505,IF(E26=B506,D506,"Error"))))))</f>
        <v>0.22716000000000003</v>
      </c>
    </row>
  </sheetData>
  <sheetProtection algorithmName="SHA-512" hashValue="RgsJqgnaZdk7wMtwHeDR6p7vTMWfidPRe6T/96+JVlGjF3FvwF6tqFsnN/w2rGmIJt7aA+09gdQ6FahFRS5SGQ==" saltValue="al35EQ0Lw832TBqDiNVQQw==" spinCount="100000" sheet="1" objects="1" scenarios="1"/>
  <dataValidations count="6">
    <dataValidation type="list" allowBlank="1" showInputMessage="1" showErrorMessage="1" sqref="E24">
      <formula1>$D$29:$D$33</formula1>
    </dataValidation>
    <dataValidation type="list" allowBlank="1" showInputMessage="1" showErrorMessage="1" sqref="E23">
      <formula1>$C$29:$C$33</formula1>
    </dataValidation>
    <dataValidation type="list" allowBlank="1" showInputMessage="1" showErrorMessage="1" sqref="E22">
      <formula1>$E$29:$E$33</formula1>
    </dataValidation>
    <dataValidation type="list" allowBlank="1" showInputMessage="1" showErrorMessage="1" sqref="E25">
      <formula1>$F$29:$F$32</formula1>
    </dataValidation>
    <dataValidation type="list" allowBlank="1" showInputMessage="1" showErrorMessage="1" sqref="E26">
      <formula1>$B$501:$B$506</formula1>
    </dataValidation>
    <dataValidation type="list" allowBlank="1" showInputMessage="1" showErrorMessage="1" sqref="E27">
      <formula1>$E$501:$E$506</formula1>
    </dataValidation>
  </dataValidations>
  <pageMargins left="0.70866141732283472" right="0.70866141732283472" top="0.74803149606299213" bottom="0.74803149606299213" header="0.31496062992125984" footer="0.31496062992125984"/>
  <pageSetup paperSize="9" scale="45" orientation="portrait" horizontalDpi="1200" verticalDpi="1200" r:id="rId1"/>
  <ignoredErrors>
    <ignoredError sqref="D96:D98" evalError="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0"/>
  <sheetViews>
    <sheetView showGridLines="0" zoomScale="85" zoomScaleNormal="85" workbookViewId="0"/>
  </sheetViews>
  <sheetFormatPr baseColWidth="10" defaultRowHeight="14.4" x14ac:dyDescent="0.3"/>
  <cols>
    <col min="1" max="1" width="5.6640625" customWidth="1"/>
  </cols>
  <sheetData>
    <row r="1" spans="1:10" s="26" customFormat="1" x14ac:dyDescent="0.3">
      <c r="A1" s="31"/>
    </row>
    <row r="2" spans="1:10" s="26" customFormat="1" x14ac:dyDescent="0.3">
      <c r="A2" s="31"/>
    </row>
    <row r="3" spans="1:10" s="26" customFormat="1" ht="18" x14ac:dyDescent="0.35">
      <c r="A3" s="31"/>
      <c r="J3" s="66" t="s">
        <v>55</v>
      </c>
    </row>
    <row r="4" spans="1:10" s="26" customFormat="1" ht="18" x14ac:dyDescent="0.35">
      <c r="A4" s="31"/>
      <c r="J4" s="67" t="s">
        <v>93</v>
      </c>
    </row>
    <row r="5" spans="1:10" s="26" customFormat="1" x14ac:dyDescent="0.3">
      <c r="A5" s="31"/>
    </row>
    <row r="6" spans="1:10" s="26" customFormat="1" x14ac:dyDescent="0.3">
      <c r="A6" s="31"/>
    </row>
    <row r="8" spans="1:10" ht="18" x14ac:dyDescent="0.35">
      <c r="B8" s="88" t="s">
        <v>123</v>
      </c>
      <c r="C8" s="88"/>
      <c r="D8" s="88"/>
      <c r="E8" s="88"/>
      <c r="F8" s="88"/>
      <c r="G8" s="88"/>
      <c r="H8" s="88"/>
      <c r="I8" s="88"/>
      <c r="J8" s="88"/>
    </row>
    <row r="10" spans="1:10" x14ac:dyDescent="0.3">
      <c r="B10" s="103" t="s">
        <v>125</v>
      </c>
      <c r="C10" s="104"/>
      <c r="D10" s="104"/>
      <c r="E10" s="104"/>
      <c r="F10" s="104"/>
      <c r="G10" s="104"/>
      <c r="H10" s="104"/>
      <c r="I10" s="104"/>
      <c r="J10" s="105"/>
    </row>
    <row r="11" spans="1:10" x14ac:dyDescent="0.3">
      <c r="B11" s="106"/>
      <c r="C11" s="107"/>
      <c r="D11" s="107"/>
      <c r="E11" s="107"/>
      <c r="F11" s="107"/>
      <c r="G11" s="107"/>
      <c r="H11" s="107"/>
      <c r="I11" s="107"/>
      <c r="J11" s="108"/>
    </row>
    <row r="12" spans="1:10" x14ac:dyDescent="0.3">
      <c r="B12" s="106"/>
      <c r="C12" s="107"/>
      <c r="D12" s="107"/>
      <c r="E12" s="107"/>
      <c r="F12" s="107"/>
      <c r="G12" s="107"/>
      <c r="H12" s="107"/>
      <c r="I12" s="107"/>
      <c r="J12" s="108"/>
    </row>
    <row r="13" spans="1:10" x14ac:dyDescent="0.3">
      <c r="B13" s="106"/>
      <c r="C13" s="107"/>
      <c r="D13" s="107"/>
      <c r="E13" s="107"/>
      <c r="F13" s="107"/>
      <c r="G13" s="107"/>
      <c r="H13" s="107"/>
      <c r="I13" s="107"/>
      <c r="J13" s="108"/>
    </row>
    <row r="14" spans="1:10" ht="138.6" customHeight="1" x14ac:dyDescent="0.3">
      <c r="B14" s="109"/>
      <c r="C14" s="110"/>
      <c r="D14" s="110"/>
      <c r="E14" s="110"/>
      <c r="F14" s="110"/>
      <c r="G14" s="110"/>
      <c r="H14" s="110"/>
      <c r="I14" s="110"/>
      <c r="J14" s="111"/>
    </row>
    <row r="16" spans="1:10" ht="18" x14ac:dyDescent="0.35">
      <c r="B16" s="88" t="s">
        <v>168</v>
      </c>
      <c r="C16" s="89"/>
      <c r="D16" s="89"/>
      <c r="E16" s="89"/>
      <c r="F16" s="89"/>
      <c r="G16" s="89"/>
      <c r="H16" s="89"/>
      <c r="I16" s="89"/>
      <c r="J16" s="89"/>
    </row>
    <row r="17" spans="2:10" ht="49.2" customHeight="1" x14ac:dyDescent="0.3">
      <c r="B17" s="115" t="s">
        <v>169</v>
      </c>
      <c r="C17" s="107"/>
      <c r="D17" s="107"/>
      <c r="E17" s="107"/>
      <c r="F17" s="107"/>
      <c r="G17" s="107"/>
      <c r="H17" s="107"/>
      <c r="I17" s="107"/>
      <c r="J17" s="107"/>
    </row>
    <row r="19" spans="2:10" ht="18" x14ac:dyDescent="0.35">
      <c r="B19" s="88" t="s">
        <v>124</v>
      </c>
      <c r="C19" s="89"/>
      <c r="D19" s="89"/>
      <c r="E19" s="89"/>
      <c r="F19" s="89"/>
      <c r="G19" s="89"/>
      <c r="H19" s="89"/>
      <c r="I19" s="89"/>
      <c r="J19" s="89"/>
    </row>
    <row r="21" spans="2:10" x14ac:dyDescent="0.3">
      <c r="B21" s="87" t="s">
        <v>126</v>
      </c>
    </row>
    <row r="23" spans="2:10" ht="126.6" customHeight="1" x14ac:dyDescent="0.3">
      <c r="B23" s="112" t="s">
        <v>127</v>
      </c>
      <c r="C23" s="113"/>
      <c r="D23" s="113"/>
      <c r="E23" s="113"/>
      <c r="F23" s="113"/>
      <c r="G23" s="113"/>
      <c r="H23" s="113"/>
      <c r="I23" s="113"/>
      <c r="J23" s="114"/>
    </row>
    <row r="25" spans="2:10" x14ac:dyDescent="0.3">
      <c r="B25" s="87" t="s">
        <v>128</v>
      </c>
    </row>
    <row r="27" spans="2:10" ht="91.2" customHeight="1" x14ac:dyDescent="0.3">
      <c r="B27" s="112" t="s">
        <v>129</v>
      </c>
      <c r="C27" s="113"/>
      <c r="D27" s="113"/>
      <c r="E27" s="113"/>
      <c r="F27" s="113"/>
      <c r="G27" s="113"/>
      <c r="H27" s="113"/>
      <c r="I27" s="113"/>
      <c r="J27" s="114"/>
    </row>
    <row r="29" spans="2:10" x14ac:dyDescent="0.3">
      <c r="B29" s="87" t="s">
        <v>130</v>
      </c>
    </row>
    <row r="31" spans="2:10" ht="273" customHeight="1" x14ac:dyDescent="0.3">
      <c r="B31" s="112" t="s">
        <v>131</v>
      </c>
      <c r="C31" s="113"/>
      <c r="D31" s="113"/>
      <c r="E31" s="113"/>
      <c r="F31" s="113"/>
      <c r="G31" s="113"/>
      <c r="H31" s="113"/>
      <c r="I31" s="113"/>
      <c r="J31" s="114"/>
    </row>
    <row r="33" spans="2:10" x14ac:dyDescent="0.3">
      <c r="B33" s="87" t="s">
        <v>132</v>
      </c>
    </row>
    <row r="35" spans="2:10" ht="91.8" customHeight="1" x14ac:dyDescent="0.3">
      <c r="B35" s="112" t="s">
        <v>133</v>
      </c>
      <c r="C35" s="113"/>
      <c r="D35" s="113"/>
      <c r="E35" s="113"/>
      <c r="F35" s="113"/>
      <c r="G35" s="113"/>
      <c r="H35" s="113"/>
      <c r="I35" s="113"/>
      <c r="J35" s="114"/>
    </row>
    <row r="37" spans="2:10" x14ac:dyDescent="0.3">
      <c r="B37" s="87" t="s">
        <v>134</v>
      </c>
    </row>
    <row r="39" spans="2:10" ht="91.8" customHeight="1" x14ac:dyDescent="0.3">
      <c r="B39" s="112" t="s">
        <v>135</v>
      </c>
      <c r="C39" s="113"/>
      <c r="D39" s="113"/>
      <c r="E39" s="113"/>
      <c r="F39" s="113"/>
      <c r="G39" s="113"/>
      <c r="H39" s="113"/>
      <c r="I39" s="113"/>
      <c r="J39" s="114"/>
    </row>
    <row r="41" spans="2:10" x14ac:dyDescent="0.3">
      <c r="B41" s="87" t="s">
        <v>136</v>
      </c>
    </row>
    <row r="43" spans="2:10" ht="61.8" customHeight="1" x14ac:dyDescent="0.3">
      <c r="B43" s="103" t="s">
        <v>137</v>
      </c>
      <c r="C43" s="104"/>
      <c r="D43" s="104"/>
      <c r="E43" s="104"/>
      <c r="F43" s="104"/>
      <c r="G43" s="104"/>
      <c r="H43" s="104"/>
      <c r="I43" s="104"/>
      <c r="J43" s="105"/>
    </row>
    <row r="44" spans="2:10" x14ac:dyDescent="0.3">
      <c r="B44" s="90"/>
      <c r="D44" s="87" t="s">
        <v>11</v>
      </c>
      <c r="E44" s="87" t="s">
        <v>138</v>
      </c>
      <c r="F44" s="87" t="s">
        <v>139</v>
      </c>
      <c r="G44" s="87" t="s">
        <v>13</v>
      </c>
      <c r="H44" s="87" t="s">
        <v>140</v>
      </c>
      <c r="J44" s="92"/>
    </row>
    <row r="45" spans="2:10" x14ac:dyDescent="0.3">
      <c r="B45" s="90" t="s">
        <v>141</v>
      </c>
      <c r="D45" s="91">
        <v>1368.36</v>
      </c>
      <c r="E45" s="91">
        <v>1360.63</v>
      </c>
      <c r="F45" s="91">
        <v>789.86</v>
      </c>
      <c r="G45" s="91">
        <v>1302.8699999999999</v>
      </c>
      <c r="H45" s="91">
        <v>1237.17</v>
      </c>
      <c r="J45" s="92"/>
    </row>
    <row r="46" spans="2:10" x14ac:dyDescent="0.3">
      <c r="B46" s="90" t="s">
        <v>142</v>
      </c>
      <c r="D46" s="91">
        <v>5000000</v>
      </c>
      <c r="E46" s="91">
        <v>5000000</v>
      </c>
      <c r="F46" s="91">
        <v>5000000</v>
      </c>
      <c r="G46" s="91">
        <v>5000000</v>
      </c>
      <c r="H46" s="91">
        <v>5000000</v>
      </c>
      <c r="J46" s="92"/>
    </row>
    <row r="47" spans="2:10" x14ac:dyDescent="0.3">
      <c r="B47" s="90" t="s">
        <v>143</v>
      </c>
      <c r="D47" s="91">
        <v>60</v>
      </c>
      <c r="E47" s="91">
        <v>120</v>
      </c>
      <c r="F47" s="91">
        <v>120</v>
      </c>
      <c r="G47" s="91">
        <v>60</v>
      </c>
      <c r="H47" s="91">
        <v>120</v>
      </c>
      <c r="J47" s="92"/>
    </row>
    <row r="48" spans="2:10" x14ac:dyDescent="0.3">
      <c r="B48" s="90" t="s">
        <v>144</v>
      </c>
      <c r="D48" s="91">
        <v>15</v>
      </c>
      <c r="E48" s="91">
        <v>60</v>
      </c>
      <c r="F48" s="91">
        <v>60</v>
      </c>
      <c r="G48" s="91">
        <v>15</v>
      </c>
      <c r="H48" s="91">
        <v>60</v>
      </c>
      <c r="J48" s="92"/>
    </row>
    <row r="49" spans="2:10" x14ac:dyDescent="0.3">
      <c r="B49" s="93" t="s">
        <v>145</v>
      </c>
      <c r="C49" s="94"/>
      <c r="D49" s="95">
        <v>3654</v>
      </c>
      <c r="E49" s="95">
        <v>4437</v>
      </c>
      <c r="F49" s="95">
        <v>7564</v>
      </c>
      <c r="G49" s="95">
        <v>6316</v>
      </c>
      <c r="H49" s="95">
        <v>4437</v>
      </c>
      <c r="I49" s="94"/>
      <c r="J49" s="96"/>
    </row>
    <row r="51" spans="2:10" x14ac:dyDescent="0.3">
      <c r="B51" s="87" t="s">
        <v>146</v>
      </c>
    </row>
    <row r="53" spans="2:10" ht="22.2" customHeight="1" x14ac:dyDescent="0.3">
      <c r="B53" s="116" t="s">
        <v>147</v>
      </c>
      <c r="C53" s="104"/>
      <c r="D53" s="104"/>
      <c r="E53" s="104"/>
      <c r="F53" s="104"/>
      <c r="G53" s="104"/>
      <c r="H53" s="104"/>
      <c r="I53" s="104"/>
      <c r="J53" s="105"/>
    </row>
    <row r="54" spans="2:10" x14ac:dyDescent="0.3">
      <c r="B54" s="90"/>
      <c r="J54" s="92"/>
    </row>
    <row r="55" spans="2:10" x14ac:dyDescent="0.3">
      <c r="B55" s="90"/>
      <c r="C55" s="87" t="s">
        <v>148</v>
      </c>
      <c r="D55" s="87" t="s">
        <v>149</v>
      </c>
      <c r="E55" s="87" t="s">
        <v>150</v>
      </c>
      <c r="F55" s="87" t="s">
        <v>151</v>
      </c>
      <c r="G55" s="87" t="s">
        <v>152</v>
      </c>
      <c r="J55" s="92"/>
    </row>
    <row r="56" spans="2:10" x14ac:dyDescent="0.3">
      <c r="B56" s="90" t="s">
        <v>153</v>
      </c>
      <c r="C56" s="97"/>
      <c r="D56" s="97">
        <v>0.94</v>
      </c>
      <c r="E56" s="97">
        <v>9.6</v>
      </c>
      <c r="F56" s="97">
        <v>0</v>
      </c>
      <c r="G56" t="s">
        <v>157</v>
      </c>
      <c r="J56" s="92"/>
    </row>
    <row r="57" spans="2:10" x14ac:dyDescent="0.3">
      <c r="B57" s="90" t="s">
        <v>154</v>
      </c>
      <c r="C57" s="97"/>
      <c r="D57" s="97">
        <v>0.81799999999999995</v>
      </c>
      <c r="E57" s="97">
        <v>3.7480000000000002</v>
      </c>
      <c r="F57" s="97">
        <v>1.6000000000000001E-3</v>
      </c>
      <c r="G57" t="s">
        <v>158</v>
      </c>
      <c r="J57" s="92"/>
    </row>
    <row r="58" spans="2:10" x14ac:dyDescent="0.3">
      <c r="B58" s="90" t="s">
        <v>155</v>
      </c>
      <c r="C58" s="97"/>
      <c r="D58" s="97">
        <v>0.85699999999999998</v>
      </c>
      <c r="E58" s="97">
        <v>3.0830000000000002</v>
      </c>
      <c r="F58" s="97">
        <v>1.2999999999999999E-2</v>
      </c>
      <c r="G58" t="s">
        <v>159</v>
      </c>
      <c r="J58" s="92"/>
    </row>
    <row r="59" spans="2:10" x14ac:dyDescent="0.3">
      <c r="B59" s="90" t="s">
        <v>9</v>
      </c>
      <c r="C59" s="97"/>
      <c r="D59" s="97">
        <v>0.64200000000000002</v>
      </c>
      <c r="E59" s="97">
        <v>0.89</v>
      </c>
      <c r="F59" s="97">
        <v>1E-3</v>
      </c>
      <c r="G59" t="s">
        <v>160</v>
      </c>
      <c r="J59" s="92"/>
    </row>
    <row r="60" spans="2:10" x14ac:dyDescent="0.3">
      <c r="B60" s="93" t="s">
        <v>156</v>
      </c>
      <c r="C60" s="98">
        <v>1.43</v>
      </c>
      <c r="D60" s="98">
        <v>0.60980000000000001</v>
      </c>
      <c r="E60" s="98">
        <v>0.3538</v>
      </c>
      <c r="F60" s="98">
        <v>5.4999999999999997E-3</v>
      </c>
      <c r="G60" s="94" t="s">
        <v>161</v>
      </c>
      <c r="H60" s="94"/>
      <c r="I60" s="94"/>
      <c r="J60" s="96"/>
    </row>
    <row r="61" spans="2:10" x14ac:dyDescent="0.3">
      <c r="B61" s="99"/>
      <c r="C61" s="99"/>
      <c r="D61" s="99"/>
      <c r="E61" s="99"/>
      <c r="F61" s="99"/>
      <c r="G61" s="99"/>
      <c r="H61" s="99"/>
      <c r="I61" s="99"/>
      <c r="J61" s="99"/>
    </row>
    <row r="62" spans="2:10" x14ac:dyDescent="0.3">
      <c r="B62" t="s">
        <v>162</v>
      </c>
    </row>
    <row r="64" spans="2:10" x14ac:dyDescent="0.3">
      <c r="B64" s="87" t="s">
        <v>163</v>
      </c>
    </row>
    <row r="66" spans="2:10" ht="75" customHeight="1" x14ac:dyDescent="0.3">
      <c r="B66" s="112" t="s">
        <v>164</v>
      </c>
      <c r="C66" s="113"/>
      <c r="D66" s="113"/>
      <c r="E66" s="113"/>
      <c r="F66" s="113"/>
      <c r="G66" s="113"/>
      <c r="H66" s="113"/>
      <c r="I66" s="113"/>
      <c r="J66" s="114"/>
    </row>
    <row r="68" spans="2:10" ht="18" x14ac:dyDescent="0.35">
      <c r="B68" s="88" t="s">
        <v>165</v>
      </c>
      <c r="C68" s="89"/>
      <c r="D68" s="89"/>
      <c r="E68" s="89"/>
      <c r="F68" s="89"/>
      <c r="G68" s="89"/>
      <c r="H68" s="89"/>
      <c r="I68" s="89"/>
      <c r="J68" s="89"/>
    </row>
    <row r="70" spans="2:10" ht="252" customHeight="1" x14ac:dyDescent="0.3">
      <c r="B70" s="115" t="s">
        <v>166</v>
      </c>
      <c r="C70" s="107"/>
      <c r="D70" s="107"/>
      <c r="E70" s="107"/>
      <c r="F70" s="107"/>
      <c r="G70" s="107"/>
      <c r="H70" s="107"/>
      <c r="I70" s="107"/>
      <c r="J70" s="107"/>
    </row>
  </sheetData>
  <sheetProtection algorithmName="SHA-512" hashValue="yV1ewS6chCdLk+FCzhFsPhFIk+/SGCmVnxK32zDxP2O4iKXxwQz+PJTyqHnin3fMf9fOvOkkx5EOXGWc4OC83g==" saltValue="jLV+gEIIR6+MzTrDmz06Pw==" spinCount="100000" sheet="1" objects="1" scenarios="1"/>
  <mergeCells count="11">
    <mergeCell ref="B10:J14"/>
    <mergeCell ref="B23:J23"/>
    <mergeCell ref="B27:J27"/>
    <mergeCell ref="B17:J17"/>
    <mergeCell ref="B70:J70"/>
    <mergeCell ref="B31:J31"/>
    <mergeCell ref="B39:J39"/>
    <mergeCell ref="B35:J35"/>
    <mergeCell ref="B43:J43"/>
    <mergeCell ref="B53:J53"/>
    <mergeCell ref="B66:J66"/>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8"/>
  <dimension ref="A2:O502"/>
  <sheetViews>
    <sheetView workbookViewId="0">
      <selection activeCell="A2" sqref="A2"/>
    </sheetView>
  </sheetViews>
  <sheetFormatPr baseColWidth="10" defaultColWidth="11.44140625" defaultRowHeight="14.4" x14ac:dyDescent="0.3"/>
  <cols>
    <col min="1" max="1" width="11.44140625" style="1"/>
    <col min="2" max="2" width="32.5546875" style="1" bestFit="1" customWidth="1"/>
    <col min="3" max="3" width="32.5546875" style="1" customWidth="1"/>
    <col min="4" max="4" width="11.44140625" style="1"/>
    <col min="5" max="6" width="15.33203125" style="1" customWidth="1"/>
    <col min="7" max="7" width="15.6640625" style="1" hidden="1" customWidth="1"/>
    <col min="8" max="8" width="11.44140625" style="1" hidden="1" customWidth="1"/>
    <col min="9" max="9" width="11.44140625" style="1" customWidth="1"/>
    <col min="10" max="10" width="11.44140625" style="1"/>
    <col min="11" max="12" width="11.44140625" style="2"/>
    <col min="13" max="13" width="11.44140625" style="3"/>
    <col min="14" max="14" width="14" style="2" customWidth="1"/>
    <col min="15" max="16384" width="11.44140625" style="1"/>
  </cols>
  <sheetData>
    <row r="2" spans="1:15" ht="72" x14ac:dyDescent="0.3">
      <c r="A2" s="1" t="s">
        <v>8</v>
      </c>
      <c r="B2" s="1" t="s">
        <v>26</v>
      </c>
      <c r="C2" s="1" t="s">
        <v>30</v>
      </c>
      <c r="D2" s="1" t="s">
        <v>0</v>
      </c>
      <c r="E2" s="1" t="s">
        <v>1</v>
      </c>
      <c r="F2" s="1" t="s">
        <v>27</v>
      </c>
      <c r="G2" s="1" t="s">
        <v>2</v>
      </c>
      <c r="H2" s="1" t="s">
        <v>3</v>
      </c>
      <c r="I2" s="1" t="s">
        <v>29</v>
      </c>
      <c r="J2" s="1" t="s">
        <v>7</v>
      </c>
      <c r="K2" s="2" t="s">
        <v>4</v>
      </c>
      <c r="L2" s="2" t="s">
        <v>31</v>
      </c>
      <c r="M2" s="3" t="s">
        <v>5</v>
      </c>
      <c r="N2" s="2" t="s">
        <v>6</v>
      </c>
      <c r="O2" s="1" t="s">
        <v>32</v>
      </c>
    </row>
    <row r="3" spans="1:15" x14ac:dyDescent="0.3">
      <c r="A3" s="1">
        <v>1</v>
      </c>
      <c r="B3" s="1" t="str">
        <f t="shared" ref="B3:B22" si="0">_xlfn.CONCAT(D3,E3,J3,F3)</f>
        <v>BarcelonaBebidasAIRE0,3</v>
      </c>
      <c r="C3" s="1" t="str">
        <f>_xlfn.CONCAT(D3,E3,I3,F3)</f>
        <v>BarcelonaBebidasAire0,3</v>
      </c>
      <c r="D3" s="1" t="s">
        <v>20</v>
      </c>
      <c r="E3" s="1" t="s">
        <v>13</v>
      </c>
      <c r="F3" s="1">
        <v>0.3</v>
      </c>
      <c r="G3" s="1">
        <f>IF(OR($E3="Secado",$E3="Bebidas"),60,120)</f>
        <v>60</v>
      </c>
      <c r="H3" s="1">
        <f>IF(OR($E3="Secado",$E3="Bebidas"),15,60)</f>
        <v>15</v>
      </c>
      <c r="I3" s="1" t="str">
        <f>IF(J3="AIRE","Aire",IF(J3="ETC","ETC",IF(J3="PLANO1","FPC1",IF(J3="PLANO2","FPC2",IF(J3="WESSUN","WeSSun")))))</f>
        <v>Aire</v>
      </c>
      <c r="J3" s="1" t="s">
        <v>16</v>
      </c>
      <c r="K3" s="2">
        <v>2231.2120917690299</v>
      </c>
      <c r="L3" s="2">
        <v>750.8016634928108</v>
      </c>
      <c r="M3" s="3">
        <v>0.32870786544773056</v>
      </c>
      <c r="N3" s="2">
        <v>736.59046942339592</v>
      </c>
    </row>
    <row r="4" spans="1:15" x14ac:dyDescent="0.3">
      <c r="A4" s="1">
        <v>2</v>
      </c>
      <c r="B4" s="1" t="str">
        <f t="shared" si="0"/>
        <v>BarcelonaBebidasAIRE0,45</v>
      </c>
      <c r="C4" s="1" t="str">
        <f t="shared" ref="C4:C67" si="1">_xlfn.CONCAT(D4,E4,I4,F4)</f>
        <v>BarcelonaBebidasAire0,45</v>
      </c>
      <c r="D4" s="1" t="s">
        <v>20</v>
      </c>
      <c r="E4" s="1" t="s">
        <v>13</v>
      </c>
      <c r="F4" s="1">
        <v>0.45</v>
      </c>
      <c r="G4" s="1">
        <f t="shared" ref="G4:G67" si="2">IF(OR($E4="Secado",$E4="Bebidas"),60,120)</f>
        <v>60</v>
      </c>
      <c r="H4" s="1">
        <f t="shared" ref="H4:H67" si="3">IF(OR($E4="Secado",$E4="Bebidas"),15,60)</f>
        <v>15</v>
      </c>
      <c r="I4" s="1" t="str">
        <f t="shared" ref="I4:I67" si="4">IF(J4="AIRE","Aire",IF(J4="ETC","ETC",IF(J4="PLANO1","FPC1",IF(J4="PLANO2","FPC2",IF(J4="WESSUN","WeSSun")))))</f>
        <v>Aire</v>
      </c>
      <c r="J4" s="1" t="s">
        <v>16</v>
      </c>
      <c r="K4" s="2">
        <v>3592.3513785582695</v>
      </c>
      <c r="L4" s="2">
        <v>703.83477909701321</v>
      </c>
      <c r="M4" s="3">
        <v>0.49234889547214516</v>
      </c>
      <c r="N4" s="2">
        <v>685.25310531024456</v>
      </c>
    </row>
    <row r="5" spans="1:15" x14ac:dyDescent="0.3">
      <c r="A5" s="1">
        <v>3</v>
      </c>
      <c r="B5" s="1" t="str">
        <f t="shared" si="0"/>
        <v>BarcelonaBebidasAIRE0,6</v>
      </c>
      <c r="C5" s="1" t="str">
        <f t="shared" si="1"/>
        <v>BarcelonaBebidasAire0,6</v>
      </c>
      <c r="D5" s="1" t="s">
        <v>20</v>
      </c>
      <c r="E5" s="1" t="s">
        <v>13</v>
      </c>
      <c r="F5" s="1">
        <v>0.6</v>
      </c>
      <c r="G5" s="1">
        <f t="shared" si="2"/>
        <v>60</v>
      </c>
      <c r="H5" s="1">
        <f t="shared" si="3"/>
        <v>15</v>
      </c>
      <c r="I5" s="1" t="str">
        <f t="shared" si="4"/>
        <v>Aire</v>
      </c>
      <c r="J5" s="1" t="s">
        <v>16</v>
      </c>
      <c r="K5" s="2">
        <v>5169.0174237942792</v>
      </c>
      <c r="L5" s="2">
        <v>634.02288980944388</v>
      </c>
      <c r="M5" s="3">
        <v>0.63171850743070945</v>
      </c>
      <c r="N5" s="2">
        <v>611.04396412401172</v>
      </c>
    </row>
    <row r="6" spans="1:15" x14ac:dyDescent="0.3">
      <c r="A6" s="1">
        <v>4</v>
      </c>
      <c r="B6" s="1" t="str">
        <f t="shared" si="0"/>
        <v>BarcelonaBebidasAIRE0,75</v>
      </c>
      <c r="C6" s="1" t="str">
        <f t="shared" si="1"/>
        <v>BarcelonaBebidasAire0,75</v>
      </c>
      <c r="D6" s="1" t="s">
        <v>20</v>
      </c>
      <c r="E6" s="1" t="s">
        <v>13</v>
      </c>
      <c r="F6" s="1">
        <v>0.75</v>
      </c>
      <c r="G6" s="1">
        <f t="shared" si="2"/>
        <v>60</v>
      </c>
      <c r="H6" s="1">
        <f t="shared" si="3"/>
        <v>15</v>
      </c>
      <c r="I6" s="1" t="str">
        <f t="shared" si="4"/>
        <v>Aire</v>
      </c>
      <c r="J6" s="1" t="s">
        <v>16</v>
      </c>
      <c r="K6" s="2">
        <v>7016.8022290380022</v>
      </c>
      <c r="L6" s="2">
        <v>557.5733210265654</v>
      </c>
      <c r="M6" s="3">
        <v>0.74471440420681068</v>
      </c>
      <c r="N6" s="2">
        <v>530.64902678369231</v>
      </c>
    </row>
    <row r="7" spans="1:15" x14ac:dyDescent="0.3">
      <c r="A7" s="1">
        <v>5</v>
      </c>
      <c r="B7" s="1" t="str">
        <f t="shared" si="0"/>
        <v>BarcelonaCarnicaAIRE0,3</v>
      </c>
      <c r="C7" s="1" t="str">
        <f t="shared" si="1"/>
        <v>BarcelonaCarnicaAire0,3</v>
      </c>
      <c r="D7" s="1" t="s">
        <v>20</v>
      </c>
      <c r="E7" s="1" t="s">
        <v>12</v>
      </c>
      <c r="F7" s="1">
        <v>0.3</v>
      </c>
      <c r="G7" s="1">
        <f t="shared" si="2"/>
        <v>120</v>
      </c>
      <c r="H7" s="1">
        <f t="shared" si="3"/>
        <v>60</v>
      </c>
      <c r="I7" s="1" t="str">
        <f t="shared" si="4"/>
        <v>Aire</v>
      </c>
      <c r="J7" s="1" t="s">
        <v>16</v>
      </c>
      <c r="K7" s="2">
        <v>3456.4712746498194</v>
      </c>
      <c r="L7" s="2">
        <v>33.6549774614626</v>
      </c>
      <c r="M7" s="3">
        <v>9.416370647271112E-3</v>
      </c>
      <c r="N7" s="2">
        <v>13.62088218881936</v>
      </c>
    </row>
    <row r="8" spans="1:15" x14ac:dyDescent="0.3">
      <c r="A8" s="1">
        <v>6</v>
      </c>
      <c r="B8" s="1" t="str">
        <f t="shared" si="0"/>
        <v>BarcelonaCarnicaAIRE0,45</v>
      </c>
      <c r="C8" s="1" t="str">
        <f t="shared" si="1"/>
        <v>BarcelonaCarnicaAire0,45</v>
      </c>
      <c r="D8" s="1" t="s">
        <v>20</v>
      </c>
      <c r="E8" s="1" t="s">
        <v>12</v>
      </c>
      <c r="F8" s="1">
        <v>0.45</v>
      </c>
      <c r="G8" s="1">
        <f t="shared" si="2"/>
        <v>120</v>
      </c>
      <c r="H8" s="1">
        <f t="shared" si="3"/>
        <v>60</v>
      </c>
      <c r="I8" s="1" t="str">
        <f t="shared" si="4"/>
        <v>Aire</v>
      </c>
      <c r="J8" s="1" t="s">
        <v>16</v>
      </c>
      <c r="K8" s="2">
        <v>5184.7069119747312</v>
      </c>
      <c r="L8" s="2">
        <v>36.423312102792366</v>
      </c>
      <c r="M8" s="3">
        <v>1.7176323820461307E-2</v>
      </c>
      <c r="N8" s="2">
        <v>16.56382570024941</v>
      </c>
    </row>
    <row r="9" spans="1:15" x14ac:dyDescent="0.3">
      <c r="A9" s="1">
        <v>7</v>
      </c>
      <c r="B9" s="1" t="str">
        <f t="shared" si="0"/>
        <v>BarcelonaCarnicaAIRE0,6</v>
      </c>
      <c r="C9" s="1" t="str">
        <f t="shared" si="1"/>
        <v>BarcelonaCarnicaAire0,6</v>
      </c>
      <c r="D9" s="1" t="s">
        <v>20</v>
      </c>
      <c r="E9" s="1" t="s">
        <v>12</v>
      </c>
      <c r="F9" s="1">
        <v>0.6</v>
      </c>
      <c r="G9" s="1">
        <f t="shared" si="2"/>
        <v>120</v>
      </c>
      <c r="H9" s="1">
        <f t="shared" si="3"/>
        <v>60</v>
      </c>
      <c r="I9" s="1" t="str">
        <f t="shared" si="4"/>
        <v>Aire</v>
      </c>
      <c r="J9" s="1" t="s">
        <v>16</v>
      </c>
      <c r="K9" s="2">
        <v>6912.9425492996515</v>
      </c>
      <c r="L9" s="2">
        <v>38.965391323846163</v>
      </c>
      <c r="M9" s="3">
        <v>2.6695740226524951E-2</v>
      </c>
      <c r="N9" s="2">
        <v>19.307838773009621</v>
      </c>
    </row>
    <row r="10" spans="1:15" x14ac:dyDescent="0.3">
      <c r="A10" s="1">
        <v>8</v>
      </c>
      <c r="B10" s="1" t="str">
        <f t="shared" si="0"/>
        <v>BarcelonaCarnicaAIRE0,75</v>
      </c>
      <c r="C10" s="1" t="str">
        <f t="shared" si="1"/>
        <v>BarcelonaCarnicaAire0,75</v>
      </c>
      <c r="D10" s="1" t="s">
        <v>20</v>
      </c>
      <c r="E10" s="1" t="s">
        <v>12</v>
      </c>
      <c r="F10" s="1">
        <v>0.75</v>
      </c>
      <c r="G10" s="1">
        <f t="shared" si="2"/>
        <v>120</v>
      </c>
      <c r="H10" s="1">
        <f t="shared" si="3"/>
        <v>60</v>
      </c>
      <c r="I10" s="1" t="str">
        <f t="shared" si="4"/>
        <v>Aire</v>
      </c>
      <c r="J10" s="1" t="s">
        <v>16</v>
      </c>
      <c r="K10" s="2">
        <v>8641.1781866245601</v>
      </c>
      <c r="L10" s="2">
        <v>41.14200122022951</v>
      </c>
      <c r="M10" s="3">
        <v>3.7088935413533877E-2</v>
      </c>
      <c r="N10" s="2">
        <v>21.459818807063552</v>
      </c>
    </row>
    <row r="11" spans="1:15" x14ac:dyDescent="0.3">
      <c r="A11" s="1">
        <v>9</v>
      </c>
      <c r="B11" s="1" t="str">
        <f t="shared" si="0"/>
        <v>BarcelonaFarmaceuticaAIRE0,3</v>
      </c>
      <c r="C11" s="1" t="str">
        <f t="shared" si="1"/>
        <v>BarcelonaFarmaceuticaAire0,3</v>
      </c>
      <c r="D11" s="1" t="s">
        <v>20</v>
      </c>
      <c r="E11" s="1" t="s">
        <v>15</v>
      </c>
      <c r="F11" s="1">
        <v>0.3</v>
      </c>
      <c r="G11" s="1">
        <f t="shared" si="2"/>
        <v>120</v>
      </c>
      <c r="H11" s="1">
        <f t="shared" si="3"/>
        <v>60</v>
      </c>
      <c r="I11" s="1" t="str">
        <f t="shared" si="4"/>
        <v>Aire</v>
      </c>
      <c r="J11" s="1" t="s">
        <v>16</v>
      </c>
      <c r="K11" s="2">
        <v>3456.4712746498194</v>
      </c>
      <c r="L11" s="2">
        <v>33.646371821681178</v>
      </c>
      <c r="M11" s="3">
        <v>9.4103974359883279E-3</v>
      </c>
      <c r="N11" s="2">
        <v>13.611989764477167</v>
      </c>
    </row>
    <row r="12" spans="1:15" x14ac:dyDescent="0.3">
      <c r="A12" s="1">
        <v>10</v>
      </c>
      <c r="B12" s="1" t="str">
        <f t="shared" si="0"/>
        <v>BarcelonaFarmaceuticaAIRE0,45</v>
      </c>
      <c r="C12" s="1" t="str">
        <f t="shared" si="1"/>
        <v>BarcelonaFarmaceuticaAire0,45</v>
      </c>
      <c r="D12" s="1" t="s">
        <v>20</v>
      </c>
      <c r="E12" s="1" t="s">
        <v>15</v>
      </c>
      <c r="F12" s="1">
        <v>0.45</v>
      </c>
      <c r="G12" s="1">
        <f t="shared" si="2"/>
        <v>120</v>
      </c>
      <c r="H12" s="1">
        <f t="shared" si="3"/>
        <v>60</v>
      </c>
      <c r="I12" s="1" t="str">
        <f t="shared" si="4"/>
        <v>Aire</v>
      </c>
      <c r="J12" s="1" t="s">
        <v>16</v>
      </c>
      <c r="K12" s="2">
        <v>5184.7069119747312</v>
      </c>
      <c r="L12" s="2">
        <v>36.417131806698769</v>
      </c>
      <c r="M12" s="3">
        <v>1.7171416597678034E-2</v>
      </c>
      <c r="N12" s="2">
        <v>16.558786778780259</v>
      </c>
    </row>
    <row r="13" spans="1:15" x14ac:dyDescent="0.3">
      <c r="A13" s="1">
        <v>11</v>
      </c>
      <c r="B13" s="1" t="str">
        <f t="shared" si="0"/>
        <v>BarcelonaFarmaceuticaAIRE0,6</v>
      </c>
      <c r="C13" s="1" t="str">
        <f t="shared" si="1"/>
        <v>BarcelonaFarmaceuticaAire0,6</v>
      </c>
      <c r="D13" s="1" t="s">
        <v>20</v>
      </c>
      <c r="E13" s="1" t="s">
        <v>15</v>
      </c>
      <c r="F13" s="1">
        <v>0.6</v>
      </c>
      <c r="G13" s="1">
        <f t="shared" si="2"/>
        <v>120</v>
      </c>
      <c r="H13" s="1">
        <f t="shared" si="3"/>
        <v>60</v>
      </c>
      <c r="I13" s="1" t="str">
        <f t="shared" si="4"/>
        <v>Aire</v>
      </c>
      <c r="J13" s="1" t="s">
        <v>16</v>
      </c>
      <c r="K13" s="2">
        <v>6912.9425492996515</v>
      </c>
      <c r="L13" s="2">
        <v>38.962001745900579</v>
      </c>
      <c r="M13" s="3">
        <v>2.669429345628015E-2</v>
      </c>
      <c r="N13" s="2">
        <v>19.306434811521463</v>
      </c>
    </row>
    <row r="14" spans="1:15" x14ac:dyDescent="0.3">
      <c r="A14" s="1">
        <v>12</v>
      </c>
      <c r="B14" s="1" t="str">
        <f t="shared" si="0"/>
        <v>BarcelonaFarmaceuticaAIRE0,75</v>
      </c>
      <c r="C14" s="1" t="str">
        <f t="shared" si="1"/>
        <v>BarcelonaFarmaceuticaAire0,75</v>
      </c>
      <c r="D14" s="1" t="s">
        <v>20</v>
      </c>
      <c r="E14" s="1" t="s">
        <v>15</v>
      </c>
      <c r="F14" s="1">
        <v>0.75</v>
      </c>
      <c r="G14" s="1">
        <f t="shared" si="2"/>
        <v>120</v>
      </c>
      <c r="H14" s="1">
        <f t="shared" si="3"/>
        <v>60</v>
      </c>
      <c r="I14" s="1" t="str">
        <f t="shared" si="4"/>
        <v>Aire</v>
      </c>
      <c r="J14" s="1" t="s">
        <v>16</v>
      </c>
      <c r="K14" s="2">
        <v>8641.1781866245601</v>
      </c>
      <c r="L14" s="2">
        <v>41.142621676528044</v>
      </c>
      <c r="M14" s="3">
        <v>3.7094699900064337E-2</v>
      </c>
      <c r="N14" s="2">
        <v>21.462756649363421</v>
      </c>
    </row>
    <row r="15" spans="1:15" x14ac:dyDescent="0.3">
      <c r="A15" s="1">
        <v>13</v>
      </c>
      <c r="B15" s="1" t="str">
        <f t="shared" si="0"/>
        <v>BarcelonaLacteosAIRE0,3</v>
      </c>
      <c r="C15" s="1" t="str">
        <f t="shared" si="1"/>
        <v>BarcelonaLacteosAire0,3</v>
      </c>
      <c r="D15" s="1" t="s">
        <v>20</v>
      </c>
      <c r="E15" s="1" t="s">
        <v>14</v>
      </c>
      <c r="F15" s="1">
        <v>0.3</v>
      </c>
      <c r="G15" s="1">
        <f t="shared" si="2"/>
        <v>120</v>
      </c>
      <c r="H15" s="1">
        <f t="shared" si="3"/>
        <v>60</v>
      </c>
      <c r="I15" s="1" t="str">
        <f t="shared" si="4"/>
        <v>Aire</v>
      </c>
      <c r="J15" s="1" t="s">
        <v>16</v>
      </c>
      <c r="K15" s="2">
        <v>3456.4712746498194</v>
      </c>
      <c r="L15" s="2">
        <v>31.239653239002283</v>
      </c>
      <c r="M15" s="3">
        <v>1.1589018597377626E-2</v>
      </c>
      <c r="N15" s="2">
        <v>16.765772853009032</v>
      </c>
    </row>
    <row r="16" spans="1:15" x14ac:dyDescent="0.3">
      <c r="A16" s="1">
        <v>14</v>
      </c>
      <c r="B16" s="1" t="str">
        <f t="shared" si="0"/>
        <v>BarcelonaLacteosAIRE0,45</v>
      </c>
      <c r="C16" s="1" t="str">
        <f t="shared" si="1"/>
        <v>BarcelonaLacteosAire0,45</v>
      </c>
      <c r="D16" s="1" t="s">
        <v>20</v>
      </c>
      <c r="E16" s="1" t="s">
        <v>14</v>
      </c>
      <c r="F16" s="1">
        <v>0.45</v>
      </c>
      <c r="G16" s="1">
        <f t="shared" si="2"/>
        <v>120</v>
      </c>
      <c r="H16" s="1">
        <f t="shared" si="3"/>
        <v>60</v>
      </c>
      <c r="I16" s="1" t="str">
        <f t="shared" si="4"/>
        <v>Aire</v>
      </c>
      <c r="J16" s="1" t="s">
        <v>16</v>
      </c>
      <c r="K16" s="2">
        <v>5184.7069119747312</v>
      </c>
      <c r="L16" s="2">
        <v>33.95361664211746</v>
      </c>
      <c r="M16" s="3">
        <v>2.0419753300367327E-2</v>
      </c>
      <c r="N16" s="2">
        <v>19.694100506831418</v>
      </c>
    </row>
    <row r="17" spans="1:14" x14ac:dyDescent="0.3">
      <c r="A17" s="1">
        <v>15</v>
      </c>
      <c r="B17" s="1" t="str">
        <f t="shared" si="0"/>
        <v>BarcelonaLacteosAIRE0,6</v>
      </c>
      <c r="C17" s="1" t="str">
        <f t="shared" si="1"/>
        <v>BarcelonaLacteosAire0,6</v>
      </c>
      <c r="D17" s="1" t="s">
        <v>20</v>
      </c>
      <c r="E17" s="1" t="s">
        <v>14</v>
      </c>
      <c r="F17" s="1">
        <v>0.6</v>
      </c>
      <c r="G17" s="1">
        <f t="shared" si="2"/>
        <v>120</v>
      </c>
      <c r="H17" s="1">
        <f t="shared" si="3"/>
        <v>60</v>
      </c>
      <c r="I17" s="1" t="str">
        <f t="shared" si="4"/>
        <v>Aire</v>
      </c>
      <c r="J17" s="1" t="s">
        <v>16</v>
      </c>
      <c r="K17" s="2">
        <v>6912.9425492996515</v>
      </c>
      <c r="L17" s="2">
        <v>36.332083282012718</v>
      </c>
      <c r="M17" s="3">
        <v>3.083231856706533E-2</v>
      </c>
      <c r="N17" s="2">
        <v>22.302477353172964</v>
      </c>
    </row>
    <row r="18" spans="1:14" x14ac:dyDescent="0.3">
      <c r="A18" s="1">
        <v>16</v>
      </c>
      <c r="B18" s="1" t="str">
        <f t="shared" si="0"/>
        <v>BarcelonaLacteosAIRE0,75</v>
      </c>
      <c r="C18" s="1" t="str">
        <f t="shared" si="1"/>
        <v>BarcelonaLacteosAire0,75</v>
      </c>
      <c r="D18" s="1" t="s">
        <v>20</v>
      </c>
      <c r="E18" s="1" t="s">
        <v>14</v>
      </c>
      <c r="F18" s="1">
        <v>0.75</v>
      </c>
      <c r="G18" s="1">
        <f t="shared" si="2"/>
        <v>120</v>
      </c>
      <c r="H18" s="1">
        <f t="shared" si="3"/>
        <v>60</v>
      </c>
      <c r="I18" s="1" t="str">
        <f t="shared" si="4"/>
        <v>Aire</v>
      </c>
      <c r="J18" s="1" t="s">
        <v>16</v>
      </c>
      <c r="K18" s="2">
        <v>8641.1781866245601</v>
      </c>
      <c r="L18" s="2">
        <v>38.303840729083838</v>
      </c>
      <c r="M18" s="3">
        <v>4.1976571243876361E-2</v>
      </c>
      <c r="N18" s="2">
        <v>24.290914807306663</v>
      </c>
    </row>
    <row r="19" spans="1:14" x14ac:dyDescent="0.3">
      <c r="A19" s="1">
        <v>17</v>
      </c>
      <c r="B19" s="1" t="str">
        <f t="shared" si="0"/>
        <v>BarcelonaSecadoAIRE0,3</v>
      </c>
      <c r="C19" s="1" t="str">
        <f t="shared" si="1"/>
        <v>BarcelonaSecadoAire0,3</v>
      </c>
      <c r="D19" s="1" t="s">
        <v>20</v>
      </c>
      <c r="E19" s="1" t="s">
        <v>11</v>
      </c>
      <c r="F19" s="1">
        <v>0.3</v>
      </c>
      <c r="G19" s="1">
        <f t="shared" si="2"/>
        <v>60</v>
      </c>
      <c r="H19" s="1">
        <f t="shared" si="3"/>
        <v>15</v>
      </c>
      <c r="I19" s="1" t="str">
        <f t="shared" si="4"/>
        <v>Aire</v>
      </c>
      <c r="J19" s="1" t="s">
        <v>16</v>
      </c>
      <c r="K19" s="2">
        <v>2231.2120917690299</v>
      </c>
      <c r="L19" s="2">
        <v>517.02011735323038</v>
      </c>
      <c r="M19" s="3">
        <v>0.22935002228720405</v>
      </c>
      <c r="N19" s="2">
        <v>513.95836164152888</v>
      </c>
    </row>
    <row r="20" spans="1:14" x14ac:dyDescent="0.3">
      <c r="A20" s="1">
        <v>18</v>
      </c>
      <c r="B20" s="1" t="str">
        <f t="shared" si="0"/>
        <v>BarcelonaSecadoAIRE0,45</v>
      </c>
      <c r="C20" s="1" t="str">
        <f t="shared" si="1"/>
        <v>BarcelonaSecadoAire0,45</v>
      </c>
      <c r="D20" s="1" t="s">
        <v>20</v>
      </c>
      <c r="E20" s="1" t="s">
        <v>11</v>
      </c>
      <c r="F20" s="1">
        <v>0.45</v>
      </c>
      <c r="G20" s="1">
        <f t="shared" si="2"/>
        <v>60</v>
      </c>
      <c r="H20" s="1">
        <f t="shared" si="3"/>
        <v>15</v>
      </c>
      <c r="I20" s="1" t="str">
        <f t="shared" si="4"/>
        <v>Aire</v>
      </c>
      <c r="J20" s="1" t="s">
        <v>16</v>
      </c>
      <c r="K20" s="2">
        <v>3592.3513785582695</v>
      </c>
      <c r="L20" s="2">
        <v>420.93076986874854</v>
      </c>
      <c r="M20" s="3">
        <v>0.30029497347032641</v>
      </c>
      <c r="N20" s="2">
        <v>417.96436616768767</v>
      </c>
    </row>
    <row r="21" spans="1:14" x14ac:dyDescent="0.3">
      <c r="A21" s="1">
        <v>19</v>
      </c>
      <c r="B21" s="1" t="str">
        <f t="shared" si="0"/>
        <v>BarcelonaSecadoAIRE0,6</v>
      </c>
      <c r="C21" s="1" t="str">
        <f t="shared" si="1"/>
        <v>BarcelonaSecadoAire0,6</v>
      </c>
      <c r="D21" s="1" t="s">
        <v>20</v>
      </c>
      <c r="E21" s="1" t="s">
        <v>11</v>
      </c>
      <c r="F21" s="1">
        <v>0.6</v>
      </c>
      <c r="G21" s="1">
        <f t="shared" si="2"/>
        <v>60</v>
      </c>
      <c r="H21" s="1">
        <f t="shared" si="3"/>
        <v>15</v>
      </c>
      <c r="I21" s="1" t="str">
        <f t="shared" si="4"/>
        <v>Aire</v>
      </c>
      <c r="J21" s="1" t="s">
        <v>16</v>
      </c>
      <c r="K21" s="2">
        <v>5169.0174237942792</v>
      </c>
      <c r="L21" s="2">
        <v>340.56918802076768</v>
      </c>
      <c r="M21" s="3">
        <v>0.34917273092615958</v>
      </c>
      <c r="N21" s="2">
        <v>337.75542062878372</v>
      </c>
    </row>
    <row r="22" spans="1:14" x14ac:dyDescent="0.3">
      <c r="A22" s="1">
        <v>20</v>
      </c>
      <c r="B22" s="1" t="str">
        <f t="shared" si="0"/>
        <v>BarcelonaSecadoAIRE0,75</v>
      </c>
      <c r="C22" s="1" t="str">
        <f t="shared" si="1"/>
        <v>BarcelonaSecadoAire0,75</v>
      </c>
      <c r="D22" s="1" t="s">
        <v>20</v>
      </c>
      <c r="E22" s="1" t="s">
        <v>11</v>
      </c>
      <c r="F22" s="1">
        <v>0.75</v>
      </c>
      <c r="G22" s="1">
        <f t="shared" si="2"/>
        <v>60</v>
      </c>
      <c r="H22" s="1">
        <f t="shared" si="3"/>
        <v>15</v>
      </c>
      <c r="I22" s="1" t="str">
        <f t="shared" si="4"/>
        <v>Aire</v>
      </c>
      <c r="J22" s="1" t="s">
        <v>16</v>
      </c>
      <c r="K22" s="2">
        <v>7016.8022290380022</v>
      </c>
      <c r="L22" s="2">
        <v>282.54488642470159</v>
      </c>
      <c r="M22" s="3">
        <v>0.39273525747784699</v>
      </c>
      <c r="N22" s="2">
        <v>279.85344645896475</v>
      </c>
    </row>
    <row r="23" spans="1:14" x14ac:dyDescent="0.3">
      <c r="A23" s="1">
        <v>21</v>
      </c>
      <c r="B23" s="1" t="str">
        <f>_xlfn.CONCAT(D23,E23,J23,F23)</f>
        <v>BarcelonaBebidasETC0,3</v>
      </c>
      <c r="C23" s="1" t="str">
        <f t="shared" si="1"/>
        <v>BarcelonaBebidasETC0,3</v>
      </c>
      <c r="D23" s="1" t="s">
        <v>20</v>
      </c>
      <c r="E23" s="1" t="s">
        <v>13</v>
      </c>
      <c r="F23" s="1">
        <v>0.3</v>
      </c>
      <c r="G23" s="1">
        <f t="shared" si="2"/>
        <v>60</v>
      </c>
      <c r="H23" s="1">
        <f t="shared" si="3"/>
        <v>15</v>
      </c>
      <c r="I23" s="1" t="str">
        <f t="shared" si="4"/>
        <v>ETC</v>
      </c>
      <c r="J23" s="1" t="s">
        <v>9</v>
      </c>
      <c r="K23" s="2">
        <v>1850.9167621089907</v>
      </c>
      <c r="L23" s="2">
        <v>871.78354464877566</v>
      </c>
      <c r="M23" s="3">
        <v>0.31670301435167197</v>
      </c>
      <c r="N23" s="2">
        <v>855.50423254350233</v>
      </c>
    </row>
    <row r="24" spans="1:14" x14ac:dyDescent="0.3">
      <c r="A24" s="1">
        <v>22</v>
      </c>
      <c r="B24" s="1" t="str">
        <f t="shared" ref="B24:B87" si="5">_xlfn.CONCAT(D24,E24,J24,F24)</f>
        <v>BarcelonaBebidasETC0,45</v>
      </c>
      <c r="C24" s="1" t="str">
        <f t="shared" si="1"/>
        <v>BarcelonaBebidasETC0,45</v>
      </c>
      <c r="D24" s="1" t="s">
        <v>20</v>
      </c>
      <c r="E24" s="1" t="s">
        <v>13</v>
      </c>
      <c r="F24" s="1">
        <v>0.45</v>
      </c>
      <c r="G24" s="1">
        <f t="shared" si="2"/>
        <v>60</v>
      </c>
      <c r="H24" s="1">
        <f t="shared" si="3"/>
        <v>15</v>
      </c>
      <c r="I24" s="1" t="str">
        <f t="shared" si="4"/>
        <v>ETC</v>
      </c>
      <c r="J24" s="1" t="s">
        <v>9</v>
      </c>
      <c r="K24" s="2">
        <v>2791.2381091775501</v>
      </c>
      <c r="L24" s="2">
        <v>860.15024291398402</v>
      </c>
      <c r="M24" s="3">
        <v>0.46813080999318474</v>
      </c>
      <c r="N24" s="2">
        <v>838.54658223615706</v>
      </c>
    </row>
    <row r="25" spans="1:14" x14ac:dyDescent="0.3">
      <c r="A25" s="1">
        <v>23</v>
      </c>
      <c r="B25" s="1" t="str">
        <f t="shared" si="5"/>
        <v>BarcelonaBebidasETC0,6</v>
      </c>
      <c r="C25" s="1" t="str">
        <f t="shared" si="1"/>
        <v>BarcelonaBebidasETC0,6</v>
      </c>
      <c r="D25" s="1" t="s">
        <v>20</v>
      </c>
      <c r="E25" s="1" t="s">
        <v>13</v>
      </c>
      <c r="F25" s="1">
        <v>0.6</v>
      </c>
      <c r="G25" s="1">
        <f t="shared" si="2"/>
        <v>60</v>
      </c>
      <c r="H25" s="1">
        <f t="shared" si="3"/>
        <v>15</v>
      </c>
      <c r="I25" s="1" t="str">
        <f t="shared" si="4"/>
        <v>ETC</v>
      </c>
      <c r="J25" s="1" t="s">
        <v>9</v>
      </c>
      <c r="K25" s="2">
        <v>3741.7758635551413</v>
      </c>
      <c r="L25" s="2">
        <v>842.44984628856901</v>
      </c>
      <c r="M25" s="3">
        <v>0.60997345664728431</v>
      </c>
      <c r="N25" s="2">
        <v>815.06082851484098</v>
      </c>
    </row>
    <row r="26" spans="1:14" x14ac:dyDescent="0.3">
      <c r="A26" s="1">
        <v>24</v>
      </c>
      <c r="B26" s="1" t="str">
        <f t="shared" si="5"/>
        <v>BarcelonaBebidasETC0,75</v>
      </c>
      <c r="C26" s="1" t="str">
        <f t="shared" si="1"/>
        <v>BarcelonaBebidasETC0,75</v>
      </c>
      <c r="D26" s="1" t="s">
        <v>20</v>
      </c>
      <c r="E26" s="1" t="s">
        <v>13</v>
      </c>
      <c r="F26" s="1">
        <v>0.75</v>
      </c>
      <c r="G26" s="1">
        <f t="shared" si="2"/>
        <v>60</v>
      </c>
      <c r="H26" s="1">
        <f t="shared" si="3"/>
        <v>15</v>
      </c>
      <c r="I26" s="1" t="str">
        <f t="shared" si="4"/>
        <v>ETC</v>
      </c>
      <c r="J26" s="1" t="s">
        <v>9</v>
      </c>
      <c r="K26" s="2">
        <v>4702.7690380355198</v>
      </c>
      <c r="L26" s="2">
        <v>819.88517439630925</v>
      </c>
      <c r="M26" s="3">
        <v>0.73984378228713132</v>
      </c>
      <c r="N26" s="2">
        <v>786.58060216242063</v>
      </c>
    </row>
    <row r="27" spans="1:14" x14ac:dyDescent="0.3">
      <c r="A27" s="1">
        <v>25</v>
      </c>
      <c r="B27" s="1" t="str">
        <f t="shared" si="5"/>
        <v>BarcelonaCarnicaETC0,3</v>
      </c>
      <c r="C27" s="1" t="str">
        <f t="shared" si="1"/>
        <v>BarcelonaCarnicaETC0,3</v>
      </c>
      <c r="D27" s="1" t="s">
        <v>20</v>
      </c>
      <c r="E27" s="1" t="s">
        <v>12</v>
      </c>
      <c r="F27" s="1">
        <v>0.3</v>
      </c>
      <c r="G27" s="1">
        <f t="shared" si="2"/>
        <v>120</v>
      </c>
      <c r="H27" s="1">
        <f t="shared" si="3"/>
        <v>60</v>
      </c>
      <c r="I27" s="1" t="str">
        <f t="shared" si="4"/>
        <v>ETC</v>
      </c>
      <c r="J27" s="1" t="s">
        <v>9</v>
      </c>
      <c r="K27" s="2">
        <v>2129.3341313667506</v>
      </c>
      <c r="L27" s="2">
        <v>698.94334266365593</v>
      </c>
      <c r="M27" s="3">
        <v>0.26269223869861547</v>
      </c>
      <c r="N27" s="2">
        <v>616.81946434395093</v>
      </c>
    </row>
    <row r="28" spans="1:14" x14ac:dyDescent="0.3">
      <c r="A28" s="1">
        <v>26</v>
      </c>
      <c r="B28" s="1" t="str">
        <f t="shared" si="5"/>
        <v>BarcelonaCarnicaETC0,45</v>
      </c>
      <c r="C28" s="1" t="str">
        <f t="shared" si="1"/>
        <v>BarcelonaCarnicaETC0,45</v>
      </c>
      <c r="D28" s="1" t="s">
        <v>20</v>
      </c>
      <c r="E28" s="1" t="s">
        <v>12</v>
      </c>
      <c r="F28" s="1">
        <v>0.45</v>
      </c>
      <c r="G28" s="1">
        <f t="shared" si="2"/>
        <v>120</v>
      </c>
      <c r="H28" s="1">
        <f t="shared" si="3"/>
        <v>60</v>
      </c>
      <c r="I28" s="1" t="str">
        <f t="shared" si="4"/>
        <v>ETC</v>
      </c>
      <c r="J28" s="1" t="s">
        <v>9</v>
      </c>
      <c r="K28" s="2">
        <v>3215.8566297432403</v>
      </c>
      <c r="L28" s="2">
        <v>688.42097152031386</v>
      </c>
      <c r="M28" s="3">
        <v>0.39128123489445787</v>
      </c>
      <c r="N28" s="2">
        <v>608.34085736093573</v>
      </c>
    </row>
    <row r="29" spans="1:14" x14ac:dyDescent="0.3">
      <c r="A29" s="1">
        <v>27</v>
      </c>
      <c r="B29" s="1" t="str">
        <f t="shared" si="5"/>
        <v>BarcelonaCarnicaETC0,6</v>
      </c>
      <c r="C29" s="1" t="str">
        <f t="shared" si="1"/>
        <v>BarcelonaCarnicaETC0,6</v>
      </c>
      <c r="D29" s="1" t="s">
        <v>20</v>
      </c>
      <c r="E29" s="1" t="s">
        <v>12</v>
      </c>
      <c r="F29" s="1">
        <v>0.6</v>
      </c>
      <c r="G29" s="1">
        <f t="shared" si="2"/>
        <v>120</v>
      </c>
      <c r="H29" s="1">
        <f t="shared" si="3"/>
        <v>60</v>
      </c>
      <c r="I29" s="1" t="str">
        <f t="shared" si="4"/>
        <v>ETC</v>
      </c>
      <c r="J29" s="1" t="s">
        <v>9</v>
      </c>
      <c r="K29" s="2">
        <v>4317.4767011363092</v>
      </c>
      <c r="L29" s="2">
        <v>672.27374710272875</v>
      </c>
      <c r="M29" s="3">
        <v>0.51038346229686393</v>
      </c>
      <c r="N29" s="2">
        <v>591.04593506727679</v>
      </c>
    </row>
    <row r="30" spans="1:14" x14ac:dyDescent="0.3">
      <c r="A30" s="1">
        <v>28</v>
      </c>
      <c r="B30" s="1" t="str">
        <f t="shared" si="5"/>
        <v>BarcelonaCarnicaETC0,75</v>
      </c>
      <c r="C30" s="1" t="str">
        <f t="shared" si="1"/>
        <v>BarcelonaCarnicaETC0,75</v>
      </c>
      <c r="D30" s="1" t="s">
        <v>20</v>
      </c>
      <c r="E30" s="1" t="s">
        <v>12</v>
      </c>
      <c r="F30" s="1">
        <v>0.75</v>
      </c>
      <c r="G30" s="1">
        <f t="shared" si="2"/>
        <v>120</v>
      </c>
      <c r="H30" s="1">
        <f t="shared" si="3"/>
        <v>60</v>
      </c>
      <c r="I30" s="1" t="str">
        <f t="shared" si="4"/>
        <v>ETC</v>
      </c>
      <c r="J30" s="1" t="s">
        <v>9</v>
      </c>
      <c r="K30" s="2">
        <v>5434.6068488494702</v>
      </c>
      <c r="L30" s="2">
        <v>653.13843382880157</v>
      </c>
      <c r="M30" s="3">
        <v>0.61933453735478161</v>
      </c>
      <c r="N30" s="2">
        <v>569.78604859150971</v>
      </c>
    </row>
    <row r="31" spans="1:14" x14ac:dyDescent="0.3">
      <c r="A31" s="1">
        <v>29</v>
      </c>
      <c r="B31" s="1" t="str">
        <f t="shared" si="5"/>
        <v>BarcelonaFarmaceuticaETC0,3</v>
      </c>
      <c r="C31" s="1" t="str">
        <f t="shared" si="1"/>
        <v>BarcelonaFarmaceuticaETC0,3</v>
      </c>
      <c r="D31" s="1" t="s">
        <v>20</v>
      </c>
      <c r="E31" s="1" t="s">
        <v>15</v>
      </c>
      <c r="F31" s="1">
        <v>0.3</v>
      </c>
      <c r="G31" s="1">
        <f t="shared" si="2"/>
        <v>120</v>
      </c>
      <c r="H31" s="1">
        <f t="shared" si="3"/>
        <v>60</v>
      </c>
      <c r="I31" s="1" t="str">
        <f t="shared" si="4"/>
        <v>ETC</v>
      </c>
      <c r="J31" s="1" t="s">
        <v>9</v>
      </c>
      <c r="K31" s="2">
        <v>2129.3341313667506</v>
      </c>
      <c r="L31" s="2">
        <v>699.05752890844417</v>
      </c>
      <c r="M31" s="3">
        <v>0.26277410085896913</v>
      </c>
      <c r="N31" s="2">
        <v>617.00025478865507</v>
      </c>
    </row>
    <row r="32" spans="1:14" x14ac:dyDescent="0.3">
      <c r="A32" s="1">
        <v>30</v>
      </c>
      <c r="B32" s="1" t="str">
        <f t="shared" si="5"/>
        <v>BarcelonaFarmaceuticaETC0,45</v>
      </c>
      <c r="C32" s="1" t="str">
        <f t="shared" si="1"/>
        <v>BarcelonaFarmaceuticaETC0,45</v>
      </c>
      <c r="D32" s="1" t="s">
        <v>20</v>
      </c>
      <c r="E32" s="1" t="s">
        <v>15</v>
      </c>
      <c r="F32" s="1">
        <v>0.45</v>
      </c>
      <c r="G32" s="1">
        <f t="shared" si="2"/>
        <v>120</v>
      </c>
      <c r="H32" s="1">
        <f t="shared" si="3"/>
        <v>60</v>
      </c>
      <c r="I32" s="1" t="str">
        <f t="shared" si="4"/>
        <v>ETC</v>
      </c>
      <c r="J32" s="1" t="s">
        <v>9</v>
      </c>
      <c r="K32" s="2">
        <v>3215.8566297432403</v>
      </c>
      <c r="L32" s="2">
        <v>688.45945169477204</v>
      </c>
      <c r="M32" s="3">
        <v>0.3913598356373193</v>
      </c>
      <c r="N32" s="2">
        <v>608.45179191691227</v>
      </c>
    </row>
    <row r="33" spans="1:14" x14ac:dyDescent="0.3">
      <c r="A33" s="1">
        <v>31</v>
      </c>
      <c r="B33" s="1" t="str">
        <f t="shared" si="5"/>
        <v>BarcelonaFarmaceuticaETC0,6</v>
      </c>
      <c r="C33" s="1" t="str">
        <f t="shared" si="1"/>
        <v>BarcelonaFarmaceuticaETC0,6</v>
      </c>
      <c r="D33" s="1" t="s">
        <v>20</v>
      </c>
      <c r="E33" s="1" t="s">
        <v>15</v>
      </c>
      <c r="F33" s="1">
        <v>0.6</v>
      </c>
      <c r="G33" s="1">
        <f t="shared" si="2"/>
        <v>120</v>
      </c>
      <c r="H33" s="1">
        <f t="shared" si="3"/>
        <v>60</v>
      </c>
      <c r="I33" s="1" t="str">
        <f t="shared" si="4"/>
        <v>ETC</v>
      </c>
      <c r="J33" s="1" t="s">
        <v>9</v>
      </c>
      <c r="K33" s="2">
        <v>4317.4767011363092</v>
      </c>
      <c r="L33" s="2">
        <v>672.36895489235462</v>
      </c>
      <c r="M33" s="3">
        <v>0.51052294835433343</v>
      </c>
      <c r="N33" s="2">
        <v>591.19651627313419</v>
      </c>
    </row>
    <row r="34" spans="1:14" x14ac:dyDescent="0.3">
      <c r="A34" s="1">
        <v>32</v>
      </c>
      <c r="B34" s="1" t="str">
        <f t="shared" si="5"/>
        <v>BarcelonaFarmaceuticaETC0,75</v>
      </c>
      <c r="C34" s="1" t="str">
        <f t="shared" si="1"/>
        <v>BarcelonaFarmaceuticaETC0,75</v>
      </c>
      <c r="D34" s="1" t="s">
        <v>20</v>
      </c>
      <c r="E34" s="1" t="s">
        <v>15</v>
      </c>
      <c r="F34" s="1">
        <v>0.75</v>
      </c>
      <c r="G34" s="1">
        <f t="shared" si="2"/>
        <v>120</v>
      </c>
      <c r="H34" s="1">
        <f t="shared" si="3"/>
        <v>60</v>
      </c>
      <c r="I34" s="1" t="str">
        <f t="shared" si="4"/>
        <v>ETC</v>
      </c>
      <c r="J34" s="1" t="s">
        <v>9</v>
      </c>
      <c r="K34" s="2">
        <v>5434.6068488494702</v>
      </c>
      <c r="L34" s="2">
        <v>653.2638152989565</v>
      </c>
      <c r="M34" s="3">
        <v>0.61953067422791963</v>
      </c>
      <c r="N34" s="2">
        <v>569.95593773787925</v>
      </c>
    </row>
    <row r="35" spans="1:14" x14ac:dyDescent="0.3">
      <c r="A35" s="1">
        <v>33</v>
      </c>
      <c r="B35" s="1" t="str">
        <f t="shared" si="5"/>
        <v>BarcelonaLacteosETC0,3</v>
      </c>
      <c r="C35" s="1" t="str">
        <f t="shared" si="1"/>
        <v>BarcelonaLacteosETC0,3</v>
      </c>
      <c r="D35" s="1" t="s">
        <v>20</v>
      </c>
      <c r="E35" s="1" t="s">
        <v>14</v>
      </c>
      <c r="F35" s="1">
        <v>0.3</v>
      </c>
      <c r="G35" s="1">
        <f t="shared" si="2"/>
        <v>120</v>
      </c>
      <c r="H35" s="1">
        <f t="shared" si="3"/>
        <v>60</v>
      </c>
      <c r="I35" s="1" t="str">
        <f t="shared" si="4"/>
        <v>ETC</v>
      </c>
      <c r="J35" s="1" t="s">
        <v>9</v>
      </c>
      <c r="K35" s="2">
        <v>2129.3341313667506</v>
      </c>
      <c r="L35" s="2">
        <v>694.67498708894095</v>
      </c>
      <c r="M35" s="3">
        <v>0.27107934662630662</v>
      </c>
      <c r="N35" s="2">
        <v>636.59391762402743</v>
      </c>
    </row>
    <row r="36" spans="1:14" x14ac:dyDescent="0.3">
      <c r="A36" s="1">
        <v>34</v>
      </c>
      <c r="B36" s="1" t="str">
        <f t="shared" si="5"/>
        <v>BarcelonaLacteosETC0,45</v>
      </c>
      <c r="C36" s="1" t="str">
        <f t="shared" si="1"/>
        <v>BarcelonaLacteosETC0,45</v>
      </c>
      <c r="D36" s="1" t="s">
        <v>20</v>
      </c>
      <c r="E36" s="1" t="s">
        <v>14</v>
      </c>
      <c r="F36" s="1">
        <v>0.45</v>
      </c>
      <c r="G36" s="1">
        <f t="shared" si="2"/>
        <v>120</v>
      </c>
      <c r="H36" s="1">
        <f t="shared" si="3"/>
        <v>60</v>
      </c>
      <c r="I36" s="1" t="str">
        <f t="shared" si="4"/>
        <v>ETC</v>
      </c>
      <c r="J36" s="1" t="s">
        <v>9</v>
      </c>
      <c r="K36" s="2">
        <v>3215.8566297432403</v>
      </c>
      <c r="L36" s="2">
        <v>682.14010007389766</v>
      </c>
      <c r="M36" s="3">
        <v>0.40220623795349331</v>
      </c>
      <c r="N36" s="2">
        <v>625.40592791329607</v>
      </c>
    </row>
    <row r="37" spans="1:14" x14ac:dyDescent="0.3">
      <c r="A37" s="1">
        <v>35</v>
      </c>
      <c r="B37" s="1" t="str">
        <f t="shared" si="5"/>
        <v>BarcelonaLacteosETC0,6</v>
      </c>
      <c r="C37" s="1" t="str">
        <f t="shared" si="1"/>
        <v>BarcelonaLacteosETC0,6</v>
      </c>
      <c r="D37" s="1" t="s">
        <v>20</v>
      </c>
      <c r="E37" s="1" t="s">
        <v>14</v>
      </c>
      <c r="F37" s="1">
        <v>0.6</v>
      </c>
      <c r="G37" s="1">
        <f t="shared" si="2"/>
        <v>120</v>
      </c>
      <c r="H37" s="1">
        <f t="shared" si="3"/>
        <v>60</v>
      </c>
      <c r="I37" s="1" t="str">
        <f t="shared" si="4"/>
        <v>ETC</v>
      </c>
      <c r="J37" s="1" t="s">
        <v>9</v>
      </c>
      <c r="K37" s="2">
        <v>4317.4767011363092</v>
      </c>
      <c r="L37" s="2">
        <v>664.19420850842016</v>
      </c>
      <c r="M37" s="3">
        <v>0.52398528722725701</v>
      </c>
      <c r="N37" s="2">
        <v>606.87459898847021</v>
      </c>
    </row>
    <row r="38" spans="1:14" x14ac:dyDescent="0.3">
      <c r="A38" s="1">
        <v>36</v>
      </c>
      <c r="B38" s="1" t="str">
        <f t="shared" si="5"/>
        <v>BarcelonaLacteosETC0,75</v>
      </c>
      <c r="C38" s="1" t="str">
        <f t="shared" si="1"/>
        <v>BarcelonaLacteosETC0,75</v>
      </c>
      <c r="D38" s="1" t="s">
        <v>20</v>
      </c>
      <c r="E38" s="1" t="s">
        <v>14</v>
      </c>
      <c r="F38" s="1">
        <v>0.75</v>
      </c>
      <c r="G38" s="1">
        <f t="shared" si="2"/>
        <v>120</v>
      </c>
      <c r="H38" s="1">
        <f t="shared" si="3"/>
        <v>60</v>
      </c>
      <c r="I38" s="1" t="str">
        <f t="shared" si="4"/>
        <v>ETC</v>
      </c>
      <c r="J38" s="1" t="s">
        <v>9</v>
      </c>
      <c r="K38" s="2">
        <v>5434.6068488494702</v>
      </c>
      <c r="L38" s="2">
        <v>641.58574433028855</v>
      </c>
      <c r="M38" s="3">
        <v>0.63373684592831125</v>
      </c>
      <c r="N38" s="2">
        <v>583.11027797762733</v>
      </c>
    </row>
    <row r="39" spans="1:14" x14ac:dyDescent="0.3">
      <c r="A39" s="1">
        <v>37</v>
      </c>
      <c r="B39" s="1" t="str">
        <f t="shared" si="5"/>
        <v>BarcelonaSecadoETC0,3</v>
      </c>
      <c r="C39" s="1" t="str">
        <f t="shared" si="1"/>
        <v>BarcelonaSecadoETC0,3</v>
      </c>
      <c r="D39" s="1" t="s">
        <v>20</v>
      </c>
      <c r="E39" s="1" t="s">
        <v>11</v>
      </c>
      <c r="F39" s="1">
        <v>0.3</v>
      </c>
      <c r="G39" s="1">
        <f t="shared" si="2"/>
        <v>60</v>
      </c>
      <c r="H39" s="1">
        <f t="shared" si="3"/>
        <v>15</v>
      </c>
      <c r="I39" s="1" t="str">
        <f t="shared" si="4"/>
        <v>ETC</v>
      </c>
      <c r="J39" s="1" t="s">
        <v>9</v>
      </c>
      <c r="K39" s="2">
        <v>1850.9167621089907</v>
      </c>
      <c r="L39" s="2">
        <v>871.82388512528814</v>
      </c>
      <c r="M39" s="3">
        <v>0.31668675978364647</v>
      </c>
      <c r="N39" s="2">
        <v>855.48622766450853</v>
      </c>
    </row>
    <row r="40" spans="1:14" x14ac:dyDescent="0.3">
      <c r="A40" s="1">
        <v>38</v>
      </c>
      <c r="B40" s="1" t="str">
        <f t="shared" si="5"/>
        <v>BarcelonaSecadoETC0,45</v>
      </c>
      <c r="C40" s="1" t="str">
        <f t="shared" si="1"/>
        <v>BarcelonaSecadoETC0,45</v>
      </c>
      <c r="D40" s="1" t="s">
        <v>20</v>
      </c>
      <c r="E40" s="1" t="s">
        <v>11</v>
      </c>
      <c r="F40" s="1">
        <v>0.45</v>
      </c>
      <c r="G40" s="1">
        <f t="shared" si="2"/>
        <v>60</v>
      </c>
      <c r="H40" s="1">
        <f t="shared" si="3"/>
        <v>15</v>
      </c>
      <c r="I40" s="1" t="str">
        <f t="shared" si="4"/>
        <v>ETC</v>
      </c>
      <c r="J40" s="1" t="s">
        <v>9</v>
      </c>
      <c r="K40" s="2">
        <v>2791.2381091775501</v>
      </c>
      <c r="L40" s="2">
        <v>860.24633161753059</v>
      </c>
      <c r="M40" s="3">
        <v>0.4681696891605624</v>
      </c>
      <c r="N40" s="2">
        <v>838.64161840706913</v>
      </c>
    </row>
    <row r="41" spans="1:14" x14ac:dyDescent="0.3">
      <c r="A41" s="1">
        <v>39</v>
      </c>
      <c r="B41" s="1" t="str">
        <f t="shared" si="5"/>
        <v>BarcelonaSecadoETC0,6</v>
      </c>
      <c r="C41" s="1" t="str">
        <f t="shared" si="1"/>
        <v>BarcelonaSecadoETC0,6</v>
      </c>
      <c r="D41" s="1" t="s">
        <v>20</v>
      </c>
      <c r="E41" s="1" t="s">
        <v>11</v>
      </c>
      <c r="F41" s="1">
        <v>0.6</v>
      </c>
      <c r="G41" s="1">
        <f t="shared" si="2"/>
        <v>60</v>
      </c>
      <c r="H41" s="1">
        <f t="shared" si="3"/>
        <v>15</v>
      </c>
      <c r="I41" s="1" t="str">
        <f t="shared" si="4"/>
        <v>ETC</v>
      </c>
      <c r="J41" s="1" t="s">
        <v>9</v>
      </c>
      <c r="K41" s="2">
        <v>3741.7758635551413</v>
      </c>
      <c r="L41" s="2">
        <v>842.59030730686572</v>
      </c>
      <c r="M41" s="3">
        <v>0.61005047091625475</v>
      </c>
      <c r="N41" s="2">
        <v>815.1884199044415</v>
      </c>
    </row>
    <row r="42" spans="1:14" x14ac:dyDescent="0.3">
      <c r="A42" s="1">
        <v>40</v>
      </c>
      <c r="B42" s="1" t="str">
        <f t="shared" si="5"/>
        <v>BarcelonaSecadoETC0,75</v>
      </c>
      <c r="C42" s="1" t="str">
        <f t="shared" si="1"/>
        <v>BarcelonaSecadoETC0,75</v>
      </c>
      <c r="D42" s="1" t="s">
        <v>20</v>
      </c>
      <c r="E42" s="1" t="s">
        <v>11</v>
      </c>
      <c r="F42" s="1">
        <v>0.75</v>
      </c>
      <c r="G42" s="1">
        <f t="shared" si="2"/>
        <v>60</v>
      </c>
      <c r="H42" s="1">
        <f t="shared" si="3"/>
        <v>15</v>
      </c>
      <c r="I42" s="1" t="str">
        <f t="shared" si="4"/>
        <v>ETC</v>
      </c>
      <c r="J42" s="1" t="s">
        <v>9</v>
      </c>
      <c r="K42" s="2">
        <v>4702.7690380355198</v>
      </c>
      <c r="L42" s="2">
        <v>819.9946349365415</v>
      </c>
      <c r="M42" s="3">
        <v>0.73988797724391353</v>
      </c>
      <c r="N42" s="2">
        <v>786.65140801294865</v>
      </c>
    </row>
    <row r="43" spans="1:14" x14ac:dyDescent="0.3">
      <c r="A43" s="1">
        <v>41</v>
      </c>
      <c r="B43" s="1" t="str">
        <f t="shared" si="5"/>
        <v>BarcelonaBebidasPLANO10,3</v>
      </c>
      <c r="C43" s="1" t="str">
        <f t="shared" si="1"/>
        <v>BarcelonaBebidasFPC10,3</v>
      </c>
      <c r="D43" s="1" t="s">
        <v>20</v>
      </c>
      <c r="E43" s="1" t="s">
        <v>13</v>
      </c>
      <c r="F43" s="1">
        <v>0.3</v>
      </c>
      <c r="G43" s="1">
        <f t="shared" si="2"/>
        <v>60</v>
      </c>
      <c r="H43" s="1">
        <f t="shared" si="3"/>
        <v>15</v>
      </c>
      <c r="I43" s="1" t="str">
        <f t="shared" si="4"/>
        <v>FPC1</v>
      </c>
      <c r="J43" s="1" t="s">
        <v>17</v>
      </c>
      <c r="K43" s="2">
        <v>1730.93530219032</v>
      </c>
      <c r="L43" s="2">
        <v>933.65006368692298</v>
      </c>
      <c r="M43" s="3">
        <v>0.3175785756515232</v>
      </c>
      <c r="N43" s="2">
        <v>917.33341852994192</v>
      </c>
    </row>
    <row r="44" spans="1:14" x14ac:dyDescent="0.3">
      <c r="A44" s="1">
        <v>42</v>
      </c>
      <c r="B44" s="1" t="str">
        <f t="shared" si="5"/>
        <v>BarcelonaBebidasPLANO10,45</v>
      </c>
      <c r="C44" s="1" t="str">
        <f t="shared" si="1"/>
        <v>BarcelonaBebidasFPC10,45</v>
      </c>
      <c r="D44" s="1" t="s">
        <v>20</v>
      </c>
      <c r="E44" s="1" t="s">
        <v>13</v>
      </c>
      <c r="F44" s="1">
        <v>0.45</v>
      </c>
      <c r="G44" s="1">
        <f t="shared" si="2"/>
        <v>60</v>
      </c>
      <c r="H44" s="1">
        <f t="shared" si="3"/>
        <v>15</v>
      </c>
      <c r="I44" s="1" t="str">
        <f t="shared" si="4"/>
        <v>FPC1</v>
      </c>
      <c r="J44" s="1" t="s">
        <v>17</v>
      </c>
      <c r="K44" s="2">
        <v>2650.1384007603906</v>
      </c>
      <c r="L44" s="2">
        <v>906.68510327066667</v>
      </c>
      <c r="M44" s="3">
        <v>0.46940548357212164</v>
      </c>
      <c r="N44" s="2">
        <v>885.59765440871774</v>
      </c>
    </row>
    <row r="45" spans="1:14" x14ac:dyDescent="0.3">
      <c r="A45" s="1">
        <v>43</v>
      </c>
      <c r="B45" s="1" t="str">
        <f t="shared" si="5"/>
        <v>BarcelonaBebidasPLANO10,6</v>
      </c>
      <c r="C45" s="1" t="str">
        <f t="shared" si="1"/>
        <v>BarcelonaBebidasFPC10,6</v>
      </c>
      <c r="D45" s="1" t="s">
        <v>20</v>
      </c>
      <c r="E45" s="1" t="s">
        <v>13</v>
      </c>
      <c r="F45" s="1">
        <v>0.6</v>
      </c>
      <c r="G45" s="1">
        <f t="shared" si="2"/>
        <v>60</v>
      </c>
      <c r="H45" s="1">
        <f t="shared" si="3"/>
        <v>15</v>
      </c>
      <c r="I45" s="1" t="str">
        <f t="shared" si="4"/>
        <v>FPC1</v>
      </c>
      <c r="J45" s="1" t="s">
        <v>17</v>
      </c>
      <c r="K45" s="2">
        <v>3608.3357103780504</v>
      </c>
      <c r="L45" s="2">
        <v>864.88023842139023</v>
      </c>
      <c r="M45" s="3">
        <v>0.60523464480445288</v>
      </c>
      <c r="N45" s="2">
        <v>838.63637881238549</v>
      </c>
    </row>
    <row r="46" spans="1:14" x14ac:dyDescent="0.3">
      <c r="A46" s="1">
        <v>44</v>
      </c>
      <c r="B46" s="1" t="str">
        <f t="shared" si="5"/>
        <v>BarcelonaBebidasPLANO10,75</v>
      </c>
      <c r="C46" s="1" t="str">
        <f t="shared" si="1"/>
        <v>BarcelonaBebidasFPC10,75</v>
      </c>
      <c r="D46" s="1" t="s">
        <v>20</v>
      </c>
      <c r="E46" s="1" t="s">
        <v>13</v>
      </c>
      <c r="F46" s="1">
        <v>0.75</v>
      </c>
      <c r="G46" s="1">
        <f t="shared" si="2"/>
        <v>60</v>
      </c>
      <c r="H46" s="1">
        <f t="shared" si="3"/>
        <v>15</v>
      </c>
      <c r="I46" s="1" t="str">
        <f t="shared" si="4"/>
        <v>FPC1</v>
      </c>
      <c r="J46" s="1" t="s">
        <v>17</v>
      </c>
      <c r="K46" s="2">
        <v>4608.1736728214009</v>
      </c>
      <c r="L46" s="2">
        <v>814.32268438503888</v>
      </c>
      <c r="M46" s="3">
        <v>0.72191125673044498</v>
      </c>
      <c r="N46" s="2">
        <v>783.27060679003955</v>
      </c>
    </row>
    <row r="47" spans="1:14" x14ac:dyDescent="0.3">
      <c r="A47" s="1">
        <v>45</v>
      </c>
      <c r="B47" s="1" t="str">
        <f t="shared" si="5"/>
        <v>BarcelonaCarnicaPLANO10,3</v>
      </c>
      <c r="C47" s="1" t="str">
        <f t="shared" si="1"/>
        <v>BarcelonaCarnicaFPC10,3</v>
      </c>
      <c r="D47" s="1" t="s">
        <v>20</v>
      </c>
      <c r="E47" s="1" t="s">
        <v>12</v>
      </c>
      <c r="F47" s="1">
        <v>0.3</v>
      </c>
      <c r="G47" s="1">
        <f t="shared" si="2"/>
        <v>120</v>
      </c>
      <c r="H47" s="1">
        <f t="shared" si="3"/>
        <v>60</v>
      </c>
      <c r="I47" s="1" t="str">
        <f t="shared" si="4"/>
        <v>FPC1</v>
      </c>
      <c r="J47" s="1" t="s">
        <v>17</v>
      </c>
      <c r="K47" s="2">
        <v>3347.8682791333099</v>
      </c>
      <c r="L47" s="2">
        <v>406.40546672256943</v>
      </c>
      <c r="M47" s="3">
        <v>0.22842035392865589</v>
      </c>
      <c r="N47" s="2">
        <v>341.13091674366314</v>
      </c>
    </row>
    <row r="48" spans="1:14" x14ac:dyDescent="0.3">
      <c r="A48" s="1">
        <v>46</v>
      </c>
      <c r="B48" s="1" t="str">
        <f t="shared" si="5"/>
        <v>BarcelonaCarnicaPLANO10,45</v>
      </c>
      <c r="C48" s="1" t="str">
        <f t="shared" si="1"/>
        <v>BarcelonaCarnicaFPC10,45</v>
      </c>
      <c r="D48" s="1" t="s">
        <v>20</v>
      </c>
      <c r="E48" s="1" t="s">
        <v>12</v>
      </c>
      <c r="F48" s="1">
        <v>0.45</v>
      </c>
      <c r="G48" s="1">
        <f t="shared" si="2"/>
        <v>120</v>
      </c>
      <c r="H48" s="1">
        <f t="shared" si="3"/>
        <v>60</v>
      </c>
      <c r="I48" s="1" t="str">
        <f t="shared" si="4"/>
        <v>FPC1</v>
      </c>
      <c r="J48" s="1" t="s">
        <v>17</v>
      </c>
      <c r="K48" s="2">
        <v>5236.0875654372294</v>
      </c>
      <c r="L48" s="2">
        <v>385.73079916663397</v>
      </c>
      <c r="M48" s="3">
        <v>0.33751608708181197</v>
      </c>
      <c r="N48" s="2">
        <v>322.28657888217492</v>
      </c>
    </row>
    <row r="49" spans="1:14" x14ac:dyDescent="0.3">
      <c r="A49" s="1">
        <v>47</v>
      </c>
      <c r="B49" s="1" t="str">
        <f t="shared" si="5"/>
        <v>BarcelonaCarnicaPLANO10,6</v>
      </c>
      <c r="C49" s="1" t="str">
        <f t="shared" si="1"/>
        <v>BarcelonaCarnicaFPC10,6</v>
      </c>
      <c r="D49" s="1" t="s">
        <v>20</v>
      </c>
      <c r="E49" s="1" t="s">
        <v>12</v>
      </c>
      <c r="F49" s="1">
        <v>0.6</v>
      </c>
      <c r="G49" s="1">
        <f t="shared" si="2"/>
        <v>120</v>
      </c>
      <c r="H49" s="1">
        <f t="shared" si="3"/>
        <v>60</v>
      </c>
      <c r="I49" s="1" t="str">
        <f t="shared" si="4"/>
        <v>FPC1</v>
      </c>
      <c r="J49" s="1" t="s">
        <v>17</v>
      </c>
      <c r="K49" s="2">
        <v>7267.4524236226998</v>
      </c>
      <c r="L49" s="2">
        <v>360.78801288452229</v>
      </c>
      <c r="M49" s="3">
        <v>0.43261799537008661</v>
      </c>
      <c r="N49" s="2">
        <v>297.63022108485376</v>
      </c>
    </row>
    <row r="50" spans="1:14" x14ac:dyDescent="0.3">
      <c r="A50" s="1">
        <v>48</v>
      </c>
      <c r="B50" s="1" t="str">
        <f t="shared" si="5"/>
        <v>BarcelonaCarnicaPLANO10,75</v>
      </c>
      <c r="C50" s="1" t="str">
        <f t="shared" si="1"/>
        <v>BarcelonaCarnicaFPC10,75</v>
      </c>
      <c r="D50" s="1" t="s">
        <v>20</v>
      </c>
      <c r="E50" s="1" t="s">
        <v>12</v>
      </c>
      <c r="F50" s="1">
        <v>0.75</v>
      </c>
      <c r="G50" s="1">
        <f t="shared" si="2"/>
        <v>120</v>
      </c>
      <c r="H50" s="1">
        <f t="shared" si="3"/>
        <v>60</v>
      </c>
      <c r="I50" s="1" t="str">
        <f t="shared" si="4"/>
        <v>FPC1</v>
      </c>
      <c r="J50" s="1" t="s">
        <v>17</v>
      </c>
      <c r="K50" s="2">
        <v>9084.3155295283796</v>
      </c>
      <c r="L50" s="2">
        <v>342.02158787831246</v>
      </c>
      <c r="M50" s="3">
        <v>0.5070968419751023</v>
      </c>
      <c r="N50" s="2">
        <v>279.09582459115001</v>
      </c>
    </row>
    <row r="51" spans="1:14" x14ac:dyDescent="0.3">
      <c r="A51" s="1">
        <v>49</v>
      </c>
      <c r="B51" s="1" t="str">
        <f t="shared" si="5"/>
        <v>BarcelonaFarmaceuticaPLANO10,3</v>
      </c>
      <c r="C51" s="1" t="str">
        <f t="shared" si="1"/>
        <v>BarcelonaFarmaceuticaFPC10,3</v>
      </c>
      <c r="D51" s="1" t="s">
        <v>20</v>
      </c>
      <c r="E51" s="1" t="s">
        <v>15</v>
      </c>
      <c r="F51" s="1">
        <v>0.3</v>
      </c>
      <c r="G51" s="1">
        <f t="shared" si="2"/>
        <v>120</v>
      </c>
      <c r="H51" s="1">
        <f t="shared" si="3"/>
        <v>60</v>
      </c>
      <c r="I51" s="1" t="str">
        <f t="shared" si="4"/>
        <v>FPC1</v>
      </c>
      <c r="J51" s="1" t="s">
        <v>17</v>
      </c>
      <c r="K51" s="2">
        <v>3347.8682791333099</v>
      </c>
      <c r="L51" s="2">
        <v>406.5087056508479</v>
      </c>
      <c r="M51" s="3">
        <v>0.22851866675278201</v>
      </c>
      <c r="N51" s="2">
        <v>341.27141980755425</v>
      </c>
    </row>
    <row r="52" spans="1:14" x14ac:dyDescent="0.3">
      <c r="A52" s="1">
        <v>50</v>
      </c>
      <c r="B52" s="1" t="str">
        <f t="shared" si="5"/>
        <v>BarcelonaFarmaceuticaPLANO10,45</v>
      </c>
      <c r="C52" s="1" t="str">
        <f t="shared" si="1"/>
        <v>BarcelonaFarmaceuticaFPC10,45</v>
      </c>
      <c r="D52" s="1" t="s">
        <v>20</v>
      </c>
      <c r="E52" s="1" t="s">
        <v>15</v>
      </c>
      <c r="F52" s="1">
        <v>0.45</v>
      </c>
      <c r="G52" s="1">
        <f t="shared" si="2"/>
        <v>120</v>
      </c>
      <c r="H52" s="1">
        <f t="shared" si="3"/>
        <v>60</v>
      </c>
      <c r="I52" s="1" t="str">
        <f t="shared" si="4"/>
        <v>FPC1</v>
      </c>
      <c r="J52" s="1" t="s">
        <v>17</v>
      </c>
      <c r="K52" s="2">
        <v>5236.0875654372294</v>
      </c>
      <c r="L52" s="2">
        <v>385.87326550513308</v>
      </c>
      <c r="M52" s="3">
        <v>0.3376993750329596</v>
      </c>
      <c r="N52" s="2">
        <v>322.45562421223826</v>
      </c>
    </row>
    <row r="53" spans="1:14" x14ac:dyDescent="0.3">
      <c r="A53" s="1">
        <v>51</v>
      </c>
      <c r="B53" s="1" t="str">
        <f t="shared" si="5"/>
        <v>BarcelonaFarmaceuticaPLANO10,6</v>
      </c>
      <c r="C53" s="1" t="str">
        <f t="shared" si="1"/>
        <v>BarcelonaFarmaceuticaFPC10,6</v>
      </c>
      <c r="D53" s="1" t="s">
        <v>20</v>
      </c>
      <c r="E53" s="1" t="s">
        <v>15</v>
      </c>
      <c r="F53" s="1">
        <v>0.6</v>
      </c>
      <c r="G53" s="1">
        <f t="shared" si="2"/>
        <v>120</v>
      </c>
      <c r="H53" s="1">
        <f t="shared" si="3"/>
        <v>60</v>
      </c>
      <c r="I53" s="1" t="str">
        <f t="shared" si="4"/>
        <v>FPC1</v>
      </c>
      <c r="J53" s="1" t="s">
        <v>17</v>
      </c>
      <c r="K53" s="2">
        <v>7267.4524236226998</v>
      </c>
      <c r="L53" s="2">
        <v>360.91160983389642</v>
      </c>
      <c r="M53" s="3">
        <v>0.43283778778354148</v>
      </c>
      <c r="N53" s="2">
        <v>297.77591754948321</v>
      </c>
    </row>
    <row r="54" spans="1:14" x14ac:dyDescent="0.3">
      <c r="A54" s="1">
        <v>52</v>
      </c>
      <c r="B54" s="1" t="str">
        <f t="shared" si="5"/>
        <v>BarcelonaFarmaceuticaPLANO10,75</v>
      </c>
      <c r="C54" s="1" t="str">
        <f t="shared" si="1"/>
        <v>BarcelonaFarmaceuticaFPC10,75</v>
      </c>
      <c r="D54" s="1" t="s">
        <v>20</v>
      </c>
      <c r="E54" s="1" t="s">
        <v>15</v>
      </c>
      <c r="F54" s="1">
        <v>0.75</v>
      </c>
      <c r="G54" s="1">
        <f t="shared" si="2"/>
        <v>120</v>
      </c>
      <c r="H54" s="1">
        <f t="shared" si="3"/>
        <v>60</v>
      </c>
      <c r="I54" s="1" t="str">
        <f t="shared" si="4"/>
        <v>FPC1</v>
      </c>
      <c r="J54" s="1" t="s">
        <v>17</v>
      </c>
      <c r="K54" s="2">
        <v>9084.3155295283796</v>
      </c>
      <c r="L54" s="2">
        <v>342.13954768321332</v>
      </c>
      <c r="M54" s="3">
        <v>0.50734517972348181</v>
      </c>
      <c r="N54" s="2">
        <v>279.22733304795219</v>
      </c>
    </row>
    <row r="55" spans="1:14" x14ac:dyDescent="0.3">
      <c r="A55" s="1">
        <v>53</v>
      </c>
      <c r="B55" s="1" t="str">
        <f t="shared" si="5"/>
        <v>BarcelonaLacteosPLANO10,3</v>
      </c>
      <c r="C55" s="1" t="str">
        <f t="shared" si="1"/>
        <v>BarcelonaLacteosFPC10,3</v>
      </c>
      <c r="D55" s="1" t="s">
        <v>20</v>
      </c>
      <c r="E55" s="1" t="s">
        <v>14</v>
      </c>
      <c r="F55" s="1">
        <v>0.3</v>
      </c>
      <c r="G55" s="1">
        <f t="shared" si="2"/>
        <v>120</v>
      </c>
      <c r="H55" s="1">
        <f t="shared" si="3"/>
        <v>60</v>
      </c>
      <c r="I55" s="1" t="str">
        <f t="shared" si="4"/>
        <v>FPC1</v>
      </c>
      <c r="J55" s="1" t="s">
        <v>17</v>
      </c>
      <c r="K55" s="2">
        <v>3347.8682791333099</v>
      </c>
      <c r="L55" s="2">
        <v>398.90127840002265</v>
      </c>
      <c r="M55" s="3">
        <v>0.23569763531644489</v>
      </c>
      <c r="N55" s="2">
        <v>352.04382665261215</v>
      </c>
    </row>
    <row r="56" spans="1:14" x14ac:dyDescent="0.3">
      <c r="A56" s="1">
        <v>54</v>
      </c>
      <c r="B56" s="1" t="str">
        <f t="shared" si="5"/>
        <v>BarcelonaLacteosPLANO10,45</v>
      </c>
      <c r="C56" s="1" t="str">
        <f t="shared" si="1"/>
        <v>BarcelonaLacteosFPC10,45</v>
      </c>
      <c r="D56" s="1" t="s">
        <v>20</v>
      </c>
      <c r="E56" s="1" t="s">
        <v>14</v>
      </c>
      <c r="F56" s="1">
        <v>0.45</v>
      </c>
      <c r="G56" s="1">
        <f t="shared" si="2"/>
        <v>120</v>
      </c>
      <c r="H56" s="1">
        <f t="shared" si="3"/>
        <v>60</v>
      </c>
      <c r="I56" s="1" t="str">
        <f t="shared" si="4"/>
        <v>FPC1</v>
      </c>
      <c r="J56" s="1" t="s">
        <v>17</v>
      </c>
      <c r="K56" s="2">
        <v>5236.0875654372294</v>
      </c>
      <c r="L56" s="2">
        <v>376.45587608273587</v>
      </c>
      <c r="M56" s="3">
        <v>0.34671891608632094</v>
      </c>
      <c r="N56" s="2">
        <v>331.11625813600375</v>
      </c>
    </row>
    <row r="57" spans="1:14" x14ac:dyDescent="0.3">
      <c r="A57" s="1">
        <v>55</v>
      </c>
      <c r="B57" s="1" t="str">
        <f t="shared" si="5"/>
        <v>BarcelonaLacteosPLANO10,6</v>
      </c>
      <c r="C57" s="1" t="str">
        <f t="shared" si="1"/>
        <v>BarcelonaLacteosFPC10,6</v>
      </c>
      <c r="D57" s="1" t="s">
        <v>20</v>
      </c>
      <c r="E57" s="1" t="s">
        <v>14</v>
      </c>
      <c r="F57" s="1">
        <v>0.6</v>
      </c>
      <c r="G57" s="1">
        <f t="shared" si="2"/>
        <v>120</v>
      </c>
      <c r="H57" s="1">
        <f t="shared" si="3"/>
        <v>60</v>
      </c>
      <c r="I57" s="1" t="str">
        <f t="shared" si="4"/>
        <v>FPC1</v>
      </c>
      <c r="J57" s="1" t="s">
        <v>17</v>
      </c>
      <c r="K57" s="2">
        <v>7267.4524236226998</v>
      </c>
      <c r="L57" s="2">
        <v>350.99737026041851</v>
      </c>
      <c r="M57" s="3">
        <v>0.44495215277400901</v>
      </c>
      <c r="N57" s="2">
        <v>306.15473814468425</v>
      </c>
    </row>
    <row r="58" spans="1:14" x14ac:dyDescent="0.3">
      <c r="A58" s="1">
        <v>56</v>
      </c>
      <c r="B58" s="1" t="str">
        <f t="shared" si="5"/>
        <v>BarcelonaLacteosPLANO10,75</v>
      </c>
      <c r="C58" s="1" t="str">
        <f t="shared" si="1"/>
        <v>BarcelonaLacteosFPC10,75</v>
      </c>
      <c r="D58" s="1" t="s">
        <v>20</v>
      </c>
      <c r="E58" s="1" t="s">
        <v>14</v>
      </c>
      <c r="F58" s="1">
        <v>0.75</v>
      </c>
      <c r="G58" s="1">
        <f t="shared" si="2"/>
        <v>120</v>
      </c>
      <c r="H58" s="1">
        <f t="shared" si="3"/>
        <v>60</v>
      </c>
      <c r="I58" s="1" t="str">
        <f t="shared" si="4"/>
        <v>FPC1</v>
      </c>
      <c r="J58" s="1" t="s">
        <v>17</v>
      </c>
      <c r="K58" s="2">
        <v>9084.3155295283796</v>
      </c>
      <c r="L58" s="2">
        <v>331.90832723001921</v>
      </c>
      <c r="M58" s="3">
        <v>0.52206078726936511</v>
      </c>
      <c r="N58" s="2">
        <v>287.36821723523764</v>
      </c>
    </row>
    <row r="59" spans="1:14" x14ac:dyDescent="0.3">
      <c r="A59" s="1">
        <v>57</v>
      </c>
      <c r="B59" s="1" t="str">
        <f t="shared" si="5"/>
        <v>BarcelonaSecadoPLANO10,3</v>
      </c>
      <c r="C59" s="1" t="str">
        <f t="shared" si="1"/>
        <v>BarcelonaSecadoFPC10,3</v>
      </c>
      <c r="D59" s="1" t="s">
        <v>20</v>
      </c>
      <c r="E59" s="1" t="s">
        <v>11</v>
      </c>
      <c r="F59" s="1">
        <v>0.3</v>
      </c>
      <c r="G59" s="1">
        <f t="shared" si="2"/>
        <v>60</v>
      </c>
      <c r="H59" s="1">
        <f t="shared" si="3"/>
        <v>15</v>
      </c>
      <c r="I59" s="1" t="str">
        <f t="shared" si="4"/>
        <v>FPC1</v>
      </c>
      <c r="J59" s="1" t="s">
        <v>17</v>
      </c>
      <c r="K59" s="2">
        <v>1730.93530219032</v>
      </c>
      <c r="L59" s="2">
        <v>933.45333673666369</v>
      </c>
      <c r="M59" s="3">
        <v>0.31747372140311386</v>
      </c>
      <c r="N59" s="2">
        <v>917.05831213065346</v>
      </c>
    </row>
    <row r="60" spans="1:14" x14ac:dyDescent="0.3">
      <c r="A60" s="1">
        <v>58</v>
      </c>
      <c r="B60" s="1" t="str">
        <f t="shared" si="5"/>
        <v>BarcelonaSecadoPLANO10,45</v>
      </c>
      <c r="C60" s="1" t="str">
        <f t="shared" si="1"/>
        <v>BarcelonaSecadoFPC10,45</v>
      </c>
      <c r="D60" s="1" t="s">
        <v>20</v>
      </c>
      <c r="E60" s="1" t="s">
        <v>11</v>
      </c>
      <c r="F60" s="1">
        <v>0.45</v>
      </c>
      <c r="G60" s="1">
        <f t="shared" si="2"/>
        <v>60</v>
      </c>
      <c r="H60" s="1">
        <f t="shared" si="3"/>
        <v>15</v>
      </c>
      <c r="I60" s="1" t="str">
        <f t="shared" si="4"/>
        <v>FPC1</v>
      </c>
      <c r="J60" s="1" t="s">
        <v>17</v>
      </c>
      <c r="K60" s="2">
        <v>2650.1384007603906</v>
      </c>
      <c r="L60" s="2">
        <v>906.73591340423377</v>
      </c>
      <c r="M60" s="3">
        <v>0.46941782433598411</v>
      </c>
      <c r="N60" s="2">
        <v>885.6477535068808</v>
      </c>
    </row>
    <row r="61" spans="1:14" x14ac:dyDescent="0.3">
      <c r="A61" s="1">
        <v>59</v>
      </c>
      <c r="B61" s="1" t="str">
        <f t="shared" si="5"/>
        <v>BarcelonaSecadoPLANO10,6</v>
      </c>
      <c r="C61" s="1" t="str">
        <f t="shared" si="1"/>
        <v>BarcelonaSecadoFPC10,6</v>
      </c>
      <c r="D61" s="1" t="s">
        <v>20</v>
      </c>
      <c r="E61" s="1" t="s">
        <v>11</v>
      </c>
      <c r="F61" s="1">
        <v>0.6</v>
      </c>
      <c r="G61" s="1">
        <f t="shared" si="2"/>
        <v>60</v>
      </c>
      <c r="H61" s="1">
        <f t="shared" si="3"/>
        <v>15</v>
      </c>
      <c r="I61" s="1" t="str">
        <f t="shared" si="4"/>
        <v>FPC1</v>
      </c>
      <c r="J61" s="1" t="s">
        <v>17</v>
      </c>
      <c r="K61" s="2">
        <v>3608.3357103780504</v>
      </c>
      <c r="L61" s="2">
        <v>864.86090929949694</v>
      </c>
      <c r="M61" s="3">
        <v>0.60520098832686231</v>
      </c>
      <c r="N61" s="2">
        <v>838.6151355606321</v>
      </c>
    </row>
    <row r="62" spans="1:14" x14ac:dyDescent="0.3">
      <c r="A62" s="1">
        <v>60</v>
      </c>
      <c r="B62" s="1" t="str">
        <f t="shared" si="5"/>
        <v>BarcelonaSecadoPLANO10,75</v>
      </c>
      <c r="C62" s="1" t="str">
        <f t="shared" si="1"/>
        <v>BarcelonaSecadoFPC10,75</v>
      </c>
      <c r="D62" s="1" t="s">
        <v>20</v>
      </c>
      <c r="E62" s="1" t="s">
        <v>11</v>
      </c>
      <c r="F62" s="1">
        <v>0.75</v>
      </c>
      <c r="G62" s="1">
        <f t="shared" si="2"/>
        <v>60</v>
      </c>
      <c r="H62" s="1">
        <f t="shared" si="3"/>
        <v>15</v>
      </c>
      <c r="I62" s="1" t="str">
        <f t="shared" si="4"/>
        <v>FPC1</v>
      </c>
      <c r="J62" s="1" t="s">
        <v>17</v>
      </c>
      <c r="K62" s="2">
        <v>4608.1736728214009</v>
      </c>
      <c r="L62" s="2">
        <v>814.20296037489197</v>
      </c>
      <c r="M62" s="3">
        <v>0.72176825068712525</v>
      </c>
      <c r="N62" s="2">
        <v>783.13915854621644</v>
      </c>
    </row>
    <row r="63" spans="1:14" x14ac:dyDescent="0.3">
      <c r="A63" s="1">
        <v>61</v>
      </c>
      <c r="B63" s="1" t="str">
        <f t="shared" si="5"/>
        <v>BarcelonaBebidasPLANO20,3</v>
      </c>
      <c r="C63" s="1" t="str">
        <f t="shared" si="1"/>
        <v>BarcelonaBebidasFPC20,3</v>
      </c>
      <c r="D63" s="1" t="s">
        <v>20</v>
      </c>
      <c r="E63" s="1" t="s">
        <v>13</v>
      </c>
      <c r="F63" s="1">
        <v>0.3</v>
      </c>
      <c r="G63" s="1">
        <f t="shared" si="2"/>
        <v>60</v>
      </c>
      <c r="H63" s="1">
        <f t="shared" si="3"/>
        <v>15</v>
      </c>
      <c r="I63" s="1" t="str">
        <f t="shared" si="4"/>
        <v>FPC2</v>
      </c>
      <c r="J63" s="1" t="s">
        <v>18</v>
      </c>
      <c r="K63" s="2">
        <v>1665.4532722556203</v>
      </c>
      <c r="L63" s="2">
        <v>1000.6843377889327</v>
      </c>
      <c r="M63" s="3">
        <v>0.32760103189666856</v>
      </c>
      <c r="N63" s="2">
        <v>983.48935341560593</v>
      </c>
    </row>
    <row r="64" spans="1:14" x14ac:dyDescent="0.3">
      <c r="A64" s="1">
        <v>62</v>
      </c>
      <c r="B64" s="1" t="str">
        <f t="shared" si="5"/>
        <v>BarcelonaBebidasPLANO20,45</v>
      </c>
      <c r="C64" s="1" t="str">
        <f t="shared" si="1"/>
        <v>BarcelonaBebidasFPC20,45</v>
      </c>
      <c r="D64" s="1" t="s">
        <v>20</v>
      </c>
      <c r="E64" s="1" t="s">
        <v>13</v>
      </c>
      <c r="F64" s="1">
        <v>0.45</v>
      </c>
      <c r="G64" s="1">
        <f t="shared" si="2"/>
        <v>60</v>
      </c>
      <c r="H64" s="1">
        <f t="shared" si="3"/>
        <v>15</v>
      </c>
      <c r="I64" s="1" t="str">
        <f t="shared" si="4"/>
        <v>FPC2</v>
      </c>
      <c r="J64" s="1" t="s">
        <v>18</v>
      </c>
      <c r="K64" s="2">
        <v>2547.41104443515</v>
      </c>
      <c r="L64" s="2">
        <v>973.61679998498528</v>
      </c>
      <c r="M64" s="3">
        <v>0.48477961760870575</v>
      </c>
      <c r="N64" s="2">
        <v>951.48550896860627</v>
      </c>
    </row>
    <row r="65" spans="1:14" x14ac:dyDescent="0.3">
      <c r="A65" s="1">
        <v>63</v>
      </c>
      <c r="B65" s="1" t="str">
        <f t="shared" si="5"/>
        <v>BarcelonaBebidasPLANO20,6</v>
      </c>
      <c r="C65" s="1" t="str">
        <f t="shared" si="1"/>
        <v>BarcelonaBebidasFPC20,6</v>
      </c>
      <c r="D65" s="1" t="s">
        <v>20</v>
      </c>
      <c r="E65" s="1" t="s">
        <v>13</v>
      </c>
      <c r="F65" s="1">
        <v>0.6</v>
      </c>
      <c r="G65" s="1">
        <f t="shared" si="2"/>
        <v>60</v>
      </c>
      <c r="H65" s="1">
        <f t="shared" si="3"/>
        <v>15</v>
      </c>
      <c r="I65" s="1" t="str">
        <f t="shared" si="4"/>
        <v>FPC2</v>
      </c>
      <c r="J65" s="1" t="s">
        <v>18</v>
      </c>
      <c r="K65" s="2">
        <v>3465.8509236704408</v>
      </c>
      <c r="L65" s="2">
        <v>930.41483259875713</v>
      </c>
      <c r="M65" s="3">
        <v>0.62580973249050287</v>
      </c>
      <c r="N65" s="2">
        <v>902.79529790443564</v>
      </c>
    </row>
    <row r="66" spans="1:14" x14ac:dyDescent="0.3">
      <c r="A66" s="1">
        <v>64</v>
      </c>
      <c r="B66" s="1" t="str">
        <f t="shared" si="5"/>
        <v>BarcelonaBebidasPLANO20,75</v>
      </c>
      <c r="C66" s="1" t="str">
        <f t="shared" si="1"/>
        <v>BarcelonaBebidasFPC20,75</v>
      </c>
      <c r="D66" s="1" t="s">
        <v>20</v>
      </c>
      <c r="E66" s="1" t="s">
        <v>13</v>
      </c>
      <c r="F66" s="1">
        <v>0.75</v>
      </c>
      <c r="G66" s="1">
        <f t="shared" si="2"/>
        <v>60</v>
      </c>
      <c r="H66" s="1">
        <f t="shared" si="3"/>
        <v>15</v>
      </c>
      <c r="I66" s="1" t="str">
        <f t="shared" si="4"/>
        <v>FPC2</v>
      </c>
      <c r="J66" s="1" t="s">
        <v>18</v>
      </c>
      <c r="K66" s="2">
        <v>4423.8832808132502</v>
      </c>
      <c r="L66" s="2">
        <v>875.34808800850112</v>
      </c>
      <c r="M66" s="3">
        <v>0.74539219112119692</v>
      </c>
      <c r="N66" s="2">
        <v>842.43816334254529</v>
      </c>
    </row>
    <row r="67" spans="1:14" x14ac:dyDescent="0.3">
      <c r="A67" s="1">
        <v>65</v>
      </c>
      <c r="B67" s="1" t="str">
        <f t="shared" si="5"/>
        <v>BarcelonaCarnicaPLANO20,3</v>
      </c>
      <c r="C67" s="1" t="str">
        <f t="shared" si="1"/>
        <v>BarcelonaCarnicaFPC20,3</v>
      </c>
      <c r="D67" s="1" t="s">
        <v>20</v>
      </c>
      <c r="E67" s="1" t="s">
        <v>12</v>
      </c>
      <c r="F67" s="1">
        <v>0.3</v>
      </c>
      <c r="G67" s="1">
        <f t="shared" si="2"/>
        <v>120</v>
      </c>
      <c r="H67" s="1">
        <f t="shared" si="3"/>
        <v>60</v>
      </c>
      <c r="I67" s="1" t="str">
        <f t="shared" si="4"/>
        <v>FPC2</v>
      </c>
      <c r="J67" s="1" t="s">
        <v>18</v>
      </c>
      <c r="K67" s="2">
        <v>3504.8402353678007</v>
      </c>
      <c r="L67" s="2">
        <v>430.98351659505573</v>
      </c>
      <c r="M67" s="3">
        <v>0.25540330132446282</v>
      </c>
      <c r="N67" s="2">
        <v>364.34509269683673</v>
      </c>
    </row>
    <row r="68" spans="1:14" x14ac:dyDescent="0.3">
      <c r="A68" s="1">
        <v>66</v>
      </c>
      <c r="B68" s="1" t="str">
        <f t="shared" si="5"/>
        <v>BarcelonaCarnicaPLANO20,45</v>
      </c>
      <c r="C68" s="1" t="str">
        <f t="shared" ref="C68:C131" si="6">_xlfn.CONCAT(D68,E68,I68,F68)</f>
        <v>BarcelonaCarnicaFPC20,45</v>
      </c>
      <c r="D68" s="1" t="s">
        <v>20</v>
      </c>
      <c r="E68" s="1" t="s">
        <v>12</v>
      </c>
      <c r="F68" s="1">
        <v>0.45</v>
      </c>
      <c r="G68" s="1">
        <f t="shared" ref="G68:G131" si="7">IF(OR($E68="Secado",$E68="Bebidas"),60,120)</f>
        <v>120</v>
      </c>
      <c r="H68" s="1">
        <f t="shared" ref="H68:H131" si="8">IF(OR($E68="Secado",$E68="Bebidas"),15,60)</f>
        <v>60</v>
      </c>
      <c r="I68" s="1" t="str">
        <f t="shared" ref="I68:I131" si="9">IF(J68="AIRE","Aire",IF(J68="ETC","ETC",IF(J68="PLANO1","FPC1",IF(J68="PLANO2","FPC2",IF(J68="WESSUN","WeSSun")))))</f>
        <v>FPC2</v>
      </c>
      <c r="J68" s="1" t="s">
        <v>18</v>
      </c>
      <c r="K68" s="2">
        <v>5560.8399577698501</v>
      </c>
      <c r="L68" s="2">
        <v>401.63133122971044</v>
      </c>
      <c r="M68" s="3">
        <v>0.37496742260050892</v>
      </c>
      <c r="N68" s="2">
        <v>337.13806134184915</v>
      </c>
    </row>
    <row r="69" spans="1:14" x14ac:dyDescent="0.3">
      <c r="A69" s="1">
        <v>67</v>
      </c>
      <c r="B69" s="1" t="str">
        <f t="shared" si="5"/>
        <v>BarcelonaCarnicaPLANO20,6</v>
      </c>
      <c r="C69" s="1" t="str">
        <f t="shared" si="6"/>
        <v>BarcelonaCarnicaFPC20,6</v>
      </c>
      <c r="D69" s="1" t="s">
        <v>20</v>
      </c>
      <c r="E69" s="1" t="s">
        <v>12</v>
      </c>
      <c r="F69" s="1">
        <v>0.6</v>
      </c>
      <c r="G69" s="1">
        <f t="shared" si="7"/>
        <v>120</v>
      </c>
      <c r="H69" s="1">
        <f t="shared" si="8"/>
        <v>60</v>
      </c>
      <c r="I69" s="1" t="str">
        <f t="shared" si="9"/>
        <v>FPC2</v>
      </c>
      <c r="J69" s="1" t="s">
        <v>18</v>
      </c>
      <c r="K69" s="2">
        <v>7580.1218883599613</v>
      </c>
      <c r="L69" s="2">
        <v>373.31488179212647</v>
      </c>
      <c r="M69" s="3">
        <v>0.46890087830522492</v>
      </c>
      <c r="N69" s="2">
        <v>309.28545799290021</v>
      </c>
    </row>
    <row r="70" spans="1:14" x14ac:dyDescent="0.3">
      <c r="A70" s="1">
        <v>68</v>
      </c>
      <c r="B70" s="1" t="str">
        <f t="shared" si="5"/>
        <v>BarcelonaCarnicaPLANO20,75</v>
      </c>
      <c r="C70" s="1" t="str">
        <f t="shared" si="6"/>
        <v>BarcelonaCarnicaFPC20,75</v>
      </c>
      <c r="D70" s="1" t="s">
        <v>20</v>
      </c>
      <c r="E70" s="1" t="s">
        <v>12</v>
      </c>
      <c r="F70" s="1">
        <v>0.75</v>
      </c>
      <c r="G70" s="1">
        <f t="shared" si="7"/>
        <v>120</v>
      </c>
      <c r="H70" s="1">
        <f t="shared" si="8"/>
        <v>60</v>
      </c>
      <c r="I70" s="1" t="str">
        <f t="shared" si="9"/>
        <v>FPC2</v>
      </c>
      <c r="J70" s="1" t="s">
        <v>18</v>
      </c>
      <c r="K70" s="2">
        <v>9475.1523604499507</v>
      </c>
      <c r="L70" s="2">
        <v>350.17925257557255</v>
      </c>
      <c r="M70" s="3">
        <v>0.54275715706016647</v>
      </c>
      <c r="N70" s="2">
        <v>286.40065082754199</v>
      </c>
    </row>
    <row r="71" spans="1:14" x14ac:dyDescent="0.3">
      <c r="A71" s="1">
        <v>69</v>
      </c>
      <c r="B71" s="1" t="str">
        <f t="shared" si="5"/>
        <v>BarcelonaFarmaceuticaPLANO20,3</v>
      </c>
      <c r="C71" s="1" t="str">
        <f t="shared" si="6"/>
        <v>BarcelonaFarmaceuticaFPC20,3</v>
      </c>
      <c r="D71" s="1" t="s">
        <v>20</v>
      </c>
      <c r="E71" s="1" t="s">
        <v>15</v>
      </c>
      <c r="F71" s="1">
        <v>0.3</v>
      </c>
      <c r="G71" s="1">
        <f t="shared" si="7"/>
        <v>120</v>
      </c>
      <c r="H71" s="1">
        <f t="shared" si="8"/>
        <v>60</v>
      </c>
      <c r="I71" s="1" t="str">
        <f t="shared" si="9"/>
        <v>FPC2</v>
      </c>
      <c r="J71" s="1" t="s">
        <v>18</v>
      </c>
      <c r="K71" s="2">
        <v>3504.8402353678007</v>
      </c>
      <c r="L71" s="2">
        <v>431.10252719400421</v>
      </c>
      <c r="M71" s="3">
        <v>0.25552043616971903</v>
      </c>
      <c r="N71" s="2">
        <v>364.50544013291875</v>
      </c>
    </row>
    <row r="72" spans="1:14" x14ac:dyDescent="0.3">
      <c r="A72" s="1">
        <v>70</v>
      </c>
      <c r="B72" s="1" t="str">
        <f t="shared" si="5"/>
        <v>BarcelonaFarmaceuticaPLANO20,45</v>
      </c>
      <c r="C72" s="1" t="str">
        <f t="shared" si="6"/>
        <v>BarcelonaFarmaceuticaFPC20,45</v>
      </c>
      <c r="D72" s="1" t="s">
        <v>20</v>
      </c>
      <c r="E72" s="1" t="s">
        <v>15</v>
      </c>
      <c r="F72" s="1">
        <v>0.45</v>
      </c>
      <c r="G72" s="1">
        <f t="shared" si="7"/>
        <v>120</v>
      </c>
      <c r="H72" s="1">
        <f t="shared" si="8"/>
        <v>60</v>
      </c>
      <c r="I72" s="1" t="str">
        <f t="shared" si="9"/>
        <v>FPC2</v>
      </c>
      <c r="J72" s="1" t="s">
        <v>18</v>
      </c>
      <c r="K72" s="2">
        <v>5560.8399577698501</v>
      </c>
      <c r="L72" s="2">
        <v>401.78749212562695</v>
      </c>
      <c r="M72" s="3">
        <v>0.37517807047304741</v>
      </c>
      <c r="N72" s="2">
        <v>337.3212099982274</v>
      </c>
    </row>
    <row r="73" spans="1:14" x14ac:dyDescent="0.3">
      <c r="A73" s="1">
        <v>71</v>
      </c>
      <c r="B73" s="1" t="str">
        <f t="shared" si="5"/>
        <v>BarcelonaFarmaceuticaPLANO20,6</v>
      </c>
      <c r="C73" s="1" t="str">
        <f t="shared" si="6"/>
        <v>BarcelonaFarmaceuticaFPC20,6</v>
      </c>
      <c r="D73" s="1" t="s">
        <v>20</v>
      </c>
      <c r="E73" s="1" t="s">
        <v>15</v>
      </c>
      <c r="F73" s="1">
        <v>0.6</v>
      </c>
      <c r="G73" s="1">
        <f t="shared" si="7"/>
        <v>120</v>
      </c>
      <c r="H73" s="1">
        <f t="shared" si="8"/>
        <v>60</v>
      </c>
      <c r="I73" s="1" t="str">
        <f t="shared" si="9"/>
        <v>FPC2</v>
      </c>
      <c r="J73" s="1" t="s">
        <v>18</v>
      </c>
      <c r="K73" s="2">
        <v>7580.1218883599613</v>
      </c>
      <c r="L73" s="2">
        <v>373.45950408413506</v>
      </c>
      <c r="M73" s="3">
        <v>0.46915232447225647</v>
      </c>
      <c r="N73" s="2">
        <v>309.44557976431878</v>
      </c>
    </row>
    <row r="74" spans="1:14" x14ac:dyDescent="0.3">
      <c r="A74" s="1">
        <v>72</v>
      </c>
      <c r="B74" s="1" t="str">
        <f t="shared" si="5"/>
        <v>BarcelonaFarmaceuticaPLANO20,75</v>
      </c>
      <c r="C74" s="1" t="str">
        <f t="shared" si="6"/>
        <v>BarcelonaFarmaceuticaFPC20,75</v>
      </c>
      <c r="D74" s="1" t="s">
        <v>20</v>
      </c>
      <c r="E74" s="1" t="s">
        <v>15</v>
      </c>
      <c r="F74" s="1">
        <v>0.75</v>
      </c>
      <c r="G74" s="1">
        <f t="shared" si="7"/>
        <v>120</v>
      </c>
      <c r="H74" s="1">
        <f t="shared" si="8"/>
        <v>60</v>
      </c>
      <c r="I74" s="1" t="str">
        <f t="shared" si="9"/>
        <v>FPC2</v>
      </c>
      <c r="J74" s="1" t="s">
        <v>18</v>
      </c>
      <c r="K74" s="2">
        <v>9475.1523604499507</v>
      </c>
      <c r="L74" s="2">
        <v>350.28011581829247</v>
      </c>
      <c r="M74" s="3">
        <v>0.54297718702760389</v>
      </c>
      <c r="N74" s="2">
        <v>286.51144913765319</v>
      </c>
    </row>
    <row r="75" spans="1:14" x14ac:dyDescent="0.3">
      <c r="A75" s="1">
        <v>73</v>
      </c>
      <c r="B75" s="1" t="str">
        <f t="shared" si="5"/>
        <v>BarcelonaLacteosPLANO20,3</v>
      </c>
      <c r="C75" s="1" t="str">
        <f t="shared" si="6"/>
        <v>BarcelonaLacteosFPC20,3</v>
      </c>
      <c r="D75" s="1" t="s">
        <v>20</v>
      </c>
      <c r="E75" s="1" t="s">
        <v>14</v>
      </c>
      <c r="F75" s="1">
        <v>0.3</v>
      </c>
      <c r="G75" s="1">
        <f t="shared" si="7"/>
        <v>120</v>
      </c>
      <c r="H75" s="1">
        <f t="shared" si="8"/>
        <v>60</v>
      </c>
      <c r="I75" s="1" t="str">
        <f t="shared" si="9"/>
        <v>FPC2</v>
      </c>
      <c r="J75" s="1" t="s">
        <v>18</v>
      </c>
      <c r="K75" s="2">
        <v>3504.8402353678007</v>
      </c>
      <c r="L75" s="2">
        <v>422.20513593037055</v>
      </c>
      <c r="M75" s="3">
        <v>0.26257776421200557</v>
      </c>
      <c r="N75" s="2">
        <v>374.62744496322466</v>
      </c>
    </row>
    <row r="76" spans="1:14" x14ac:dyDescent="0.3">
      <c r="A76" s="1">
        <v>74</v>
      </c>
      <c r="B76" s="1" t="str">
        <f t="shared" si="5"/>
        <v>BarcelonaLacteosPLANO20,45</v>
      </c>
      <c r="C76" s="1" t="str">
        <f t="shared" si="6"/>
        <v>BarcelonaLacteosFPC20,45</v>
      </c>
      <c r="D76" s="1" t="s">
        <v>20</v>
      </c>
      <c r="E76" s="1" t="s">
        <v>14</v>
      </c>
      <c r="F76" s="1">
        <v>0.45</v>
      </c>
      <c r="G76" s="1">
        <f t="shared" si="7"/>
        <v>120</v>
      </c>
      <c r="H76" s="1">
        <f t="shared" si="8"/>
        <v>60</v>
      </c>
      <c r="I76" s="1" t="str">
        <f t="shared" si="9"/>
        <v>FPC2</v>
      </c>
      <c r="J76" s="1" t="s">
        <v>18</v>
      </c>
      <c r="K76" s="2">
        <v>5560.8399577698501</v>
      </c>
      <c r="L76" s="2">
        <v>391.19786150289144</v>
      </c>
      <c r="M76" s="3">
        <v>0.38409621057214111</v>
      </c>
      <c r="N76" s="2">
        <v>345.38979090685154</v>
      </c>
    </row>
    <row r="77" spans="1:14" x14ac:dyDescent="0.3">
      <c r="A77" s="1">
        <v>75</v>
      </c>
      <c r="B77" s="1" t="str">
        <f t="shared" si="5"/>
        <v>BarcelonaLacteosPLANO20,6</v>
      </c>
      <c r="C77" s="1" t="str">
        <f t="shared" si="6"/>
        <v>BarcelonaLacteosFPC20,6</v>
      </c>
      <c r="D77" s="1" t="s">
        <v>20</v>
      </c>
      <c r="E77" s="1" t="s">
        <v>14</v>
      </c>
      <c r="F77" s="1">
        <v>0.6</v>
      </c>
      <c r="G77" s="1">
        <f t="shared" si="7"/>
        <v>120</v>
      </c>
      <c r="H77" s="1">
        <f t="shared" si="8"/>
        <v>60</v>
      </c>
      <c r="I77" s="1" t="str">
        <f t="shared" si="9"/>
        <v>FPC2</v>
      </c>
      <c r="J77" s="1" t="s">
        <v>18</v>
      </c>
      <c r="K77" s="2">
        <v>7580.1218883599613</v>
      </c>
      <c r="L77" s="2">
        <v>362.42000458771236</v>
      </c>
      <c r="M77" s="3">
        <v>0.48069420293063364</v>
      </c>
      <c r="N77" s="2">
        <v>317.10461721642923</v>
      </c>
    </row>
    <row r="78" spans="1:14" x14ac:dyDescent="0.3">
      <c r="A78" s="1">
        <v>76</v>
      </c>
      <c r="B78" s="1" t="str">
        <f t="shared" si="5"/>
        <v>BarcelonaLacteosPLANO20,75</v>
      </c>
      <c r="C78" s="1" t="str">
        <f t="shared" si="6"/>
        <v>BarcelonaLacteosFPC20,75</v>
      </c>
      <c r="D78" s="1" t="s">
        <v>20</v>
      </c>
      <c r="E78" s="1" t="s">
        <v>14</v>
      </c>
      <c r="F78" s="1">
        <v>0.75</v>
      </c>
      <c r="G78" s="1">
        <f t="shared" si="7"/>
        <v>120</v>
      </c>
      <c r="H78" s="1">
        <f t="shared" si="8"/>
        <v>60</v>
      </c>
      <c r="I78" s="1" t="str">
        <f t="shared" si="9"/>
        <v>FPC2</v>
      </c>
      <c r="J78" s="1" t="s">
        <v>18</v>
      </c>
      <c r="K78" s="2">
        <v>9475.1523604499507</v>
      </c>
      <c r="L78" s="2">
        <v>338.74907246579625</v>
      </c>
      <c r="M78" s="3">
        <v>0.55649859547272851</v>
      </c>
      <c r="N78" s="2">
        <v>293.68904059668932</v>
      </c>
    </row>
    <row r="79" spans="1:14" x14ac:dyDescent="0.3">
      <c r="A79" s="1">
        <v>77</v>
      </c>
      <c r="B79" s="1" t="str">
        <f t="shared" si="5"/>
        <v>BarcelonaSecadoPLANO20,3</v>
      </c>
      <c r="C79" s="1" t="str">
        <f t="shared" si="6"/>
        <v>BarcelonaSecadoFPC20,3</v>
      </c>
      <c r="D79" s="1" t="s">
        <v>20</v>
      </c>
      <c r="E79" s="1" t="s">
        <v>11</v>
      </c>
      <c r="F79" s="1">
        <v>0.3</v>
      </c>
      <c r="G79" s="1">
        <f t="shared" si="7"/>
        <v>60</v>
      </c>
      <c r="H79" s="1">
        <f t="shared" si="8"/>
        <v>15</v>
      </c>
      <c r="I79" s="1" t="str">
        <f t="shared" si="9"/>
        <v>FPC2</v>
      </c>
      <c r="J79" s="1" t="s">
        <v>18</v>
      </c>
      <c r="K79" s="2">
        <v>1665.4532722556203</v>
      </c>
      <c r="L79" s="2">
        <v>1000.4923129756407</v>
      </c>
      <c r="M79" s="3">
        <v>0.32749675245034576</v>
      </c>
      <c r="N79" s="2">
        <v>983.20606716296015</v>
      </c>
    </row>
    <row r="80" spans="1:14" x14ac:dyDescent="0.3">
      <c r="A80" s="1">
        <v>78</v>
      </c>
      <c r="B80" s="1" t="str">
        <f t="shared" si="5"/>
        <v>BarcelonaSecadoPLANO20,45</v>
      </c>
      <c r="C80" s="1" t="str">
        <f t="shared" si="6"/>
        <v>BarcelonaSecadoFPC20,45</v>
      </c>
      <c r="D80" s="1" t="s">
        <v>20</v>
      </c>
      <c r="E80" s="1" t="s">
        <v>11</v>
      </c>
      <c r="F80" s="1">
        <v>0.45</v>
      </c>
      <c r="G80" s="1">
        <f t="shared" si="7"/>
        <v>60</v>
      </c>
      <c r="H80" s="1">
        <f t="shared" si="8"/>
        <v>15</v>
      </c>
      <c r="I80" s="1" t="str">
        <f t="shared" si="9"/>
        <v>FPC2</v>
      </c>
      <c r="J80" s="1" t="s">
        <v>18</v>
      </c>
      <c r="K80" s="2">
        <v>2547.41104443515</v>
      </c>
      <c r="L80" s="2">
        <v>973.65317402246671</v>
      </c>
      <c r="M80" s="3">
        <v>0.48478250809650986</v>
      </c>
      <c r="N80" s="2">
        <v>951.51999328690442</v>
      </c>
    </row>
    <row r="81" spans="1:14" x14ac:dyDescent="0.3">
      <c r="A81" s="1">
        <v>79</v>
      </c>
      <c r="B81" s="1" t="str">
        <f t="shared" si="5"/>
        <v>BarcelonaSecadoPLANO20,6</v>
      </c>
      <c r="C81" s="1" t="str">
        <f t="shared" si="6"/>
        <v>BarcelonaSecadoFPC20,6</v>
      </c>
      <c r="D81" s="1" t="s">
        <v>20</v>
      </c>
      <c r="E81" s="1" t="s">
        <v>11</v>
      </c>
      <c r="F81" s="1">
        <v>0.6</v>
      </c>
      <c r="G81" s="1">
        <f t="shared" si="7"/>
        <v>60</v>
      </c>
      <c r="H81" s="1">
        <f t="shared" si="8"/>
        <v>15</v>
      </c>
      <c r="I81" s="1" t="str">
        <f t="shared" si="9"/>
        <v>FPC2</v>
      </c>
      <c r="J81" s="1" t="s">
        <v>18</v>
      </c>
      <c r="K81" s="2">
        <v>3465.8509236704408</v>
      </c>
      <c r="L81" s="2">
        <v>930.43416351146675</v>
      </c>
      <c r="M81" s="3">
        <v>0.62580110818688195</v>
      </c>
      <c r="N81" s="2">
        <v>902.81019267516228</v>
      </c>
    </row>
    <row r="82" spans="1:14" x14ac:dyDescent="0.3">
      <c r="A82" s="1">
        <v>80</v>
      </c>
      <c r="B82" s="1" t="str">
        <f t="shared" si="5"/>
        <v>BarcelonaSecadoPLANO20,75</v>
      </c>
      <c r="C82" s="1" t="str">
        <f t="shared" si="6"/>
        <v>BarcelonaSecadoFPC20,75</v>
      </c>
      <c r="D82" s="1" t="s">
        <v>20</v>
      </c>
      <c r="E82" s="1" t="s">
        <v>11</v>
      </c>
      <c r="F82" s="1">
        <v>0.75</v>
      </c>
      <c r="G82" s="1">
        <f t="shared" si="7"/>
        <v>60</v>
      </c>
      <c r="H82" s="1">
        <f t="shared" si="8"/>
        <v>15</v>
      </c>
      <c r="I82" s="1" t="str">
        <f t="shared" si="9"/>
        <v>FPC2</v>
      </c>
      <c r="J82" s="1" t="s">
        <v>18</v>
      </c>
      <c r="K82" s="2">
        <v>4423.8832808132502</v>
      </c>
      <c r="L82" s="2">
        <v>875.18436111701726</v>
      </c>
      <c r="M82" s="3">
        <v>0.74521289646019584</v>
      </c>
      <c r="N82" s="2">
        <v>842.2610283516309</v>
      </c>
    </row>
    <row r="83" spans="1:14" x14ac:dyDescent="0.3">
      <c r="A83" s="1">
        <v>81</v>
      </c>
      <c r="B83" s="1" t="str">
        <f t="shared" si="5"/>
        <v>BarcelonaBebidasWESSUN0,3</v>
      </c>
      <c r="C83" s="1" t="str">
        <f t="shared" si="6"/>
        <v>BarcelonaBebidasWeSSun0,3</v>
      </c>
      <c r="D83" s="1" t="s">
        <v>20</v>
      </c>
      <c r="E83" s="1" t="s">
        <v>13</v>
      </c>
      <c r="F83" s="1">
        <v>0.3</v>
      </c>
      <c r="G83" s="1">
        <f t="shared" si="7"/>
        <v>60</v>
      </c>
      <c r="H83" s="1">
        <f t="shared" si="8"/>
        <v>15</v>
      </c>
      <c r="I83" s="1" t="str">
        <f t="shared" si="9"/>
        <v>WeSSun</v>
      </c>
      <c r="J83" s="1" t="s">
        <v>19</v>
      </c>
      <c r="K83" s="2">
        <v>1709.5574013245898</v>
      </c>
      <c r="L83" s="2">
        <v>913.61698607684991</v>
      </c>
      <c r="M83" s="3">
        <v>0.30675056144856516</v>
      </c>
      <c r="N83" s="2">
        <v>897.13651330536106</v>
      </c>
    </row>
    <row r="84" spans="1:14" x14ac:dyDescent="0.3">
      <c r="A84" s="1">
        <v>82</v>
      </c>
      <c r="B84" s="1" t="str">
        <f t="shared" si="5"/>
        <v>BarcelonaBebidasWESSUN0,45</v>
      </c>
      <c r="C84" s="1" t="str">
        <f t="shared" si="6"/>
        <v>BarcelonaBebidasWeSSun0,45</v>
      </c>
      <c r="D84" s="1" t="s">
        <v>20</v>
      </c>
      <c r="E84" s="1" t="s">
        <v>13</v>
      </c>
      <c r="F84" s="1">
        <v>0.45</v>
      </c>
      <c r="G84" s="1">
        <f t="shared" si="7"/>
        <v>60</v>
      </c>
      <c r="H84" s="1">
        <f t="shared" si="8"/>
        <v>15</v>
      </c>
      <c r="I84" s="1" t="str">
        <f t="shared" si="9"/>
        <v>WeSSun</v>
      </c>
      <c r="J84" s="1" t="s">
        <v>19</v>
      </c>
      <c r="K84" s="2">
        <v>2571.8908124972299</v>
      </c>
      <c r="L84" s="2">
        <v>908.14015573016434</v>
      </c>
      <c r="M84" s="3">
        <v>0.45592533504770322</v>
      </c>
      <c r="N84" s="2">
        <v>886.33531358278071</v>
      </c>
    </row>
    <row r="85" spans="1:14" x14ac:dyDescent="0.3">
      <c r="A85" s="1">
        <v>83</v>
      </c>
      <c r="B85" s="1" t="str">
        <f t="shared" si="5"/>
        <v>BarcelonaBebidasWESSUN0,6</v>
      </c>
      <c r="C85" s="1" t="str">
        <f t="shared" si="6"/>
        <v>BarcelonaBebidasWeSSun0,6</v>
      </c>
      <c r="D85" s="1" t="s">
        <v>20</v>
      </c>
      <c r="E85" s="1" t="s">
        <v>13</v>
      </c>
      <c r="F85" s="1">
        <v>0.6</v>
      </c>
      <c r="G85" s="1">
        <f t="shared" si="7"/>
        <v>60</v>
      </c>
      <c r="H85" s="1">
        <f t="shared" si="8"/>
        <v>15</v>
      </c>
      <c r="I85" s="1" t="str">
        <f t="shared" si="9"/>
        <v>WeSSun</v>
      </c>
      <c r="J85" s="1" t="s">
        <v>19</v>
      </c>
      <c r="K85" s="2">
        <v>3439.6617743099491</v>
      </c>
      <c r="L85" s="2">
        <v>898.83052701892359</v>
      </c>
      <c r="M85" s="3">
        <v>0.59907752415842308</v>
      </c>
      <c r="N85" s="2">
        <v>870.8114690222319</v>
      </c>
    </row>
    <row r="86" spans="1:14" x14ac:dyDescent="0.3">
      <c r="A86" s="1">
        <v>84</v>
      </c>
      <c r="B86" s="1" t="str">
        <f t="shared" si="5"/>
        <v>BarcelonaBebidasWESSUN0,75</v>
      </c>
      <c r="C86" s="1" t="str">
        <f t="shared" si="6"/>
        <v>BarcelonaBebidasWeSSun0,75</v>
      </c>
      <c r="D86" s="1" t="s">
        <v>20</v>
      </c>
      <c r="E86" s="1" t="s">
        <v>13</v>
      </c>
      <c r="F86" s="1">
        <v>0.75</v>
      </c>
      <c r="G86" s="1">
        <f t="shared" si="7"/>
        <v>60</v>
      </c>
      <c r="H86" s="1">
        <f t="shared" si="8"/>
        <v>15</v>
      </c>
      <c r="I86" s="1" t="str">
        <f t="shared" si="9"/>
        <v>WeSSun</v>
      </c>
      <c r="J86" s="1" t="s">
        <v>19</v>
      </c>
      <c r="K86" s="2">
        <v>4313.1796158194202</v>
      </c>
      <c r="L86" s="2">
        <v>885.15135947445742</v>
      </c>
      <c r="M86" s="3">
        <v>0.73347463813888791</v>
      </c>
      <c r="N86" s="2">
        <v>850.24563592077061</v>
      </c>
    </row>
    <row r="87" spans="1:14" x14ac:dyDescent="0.3">
      <c r="A87" s="1">
        <v>85</v>
      </c>
      <c r="B87" s="1" t="str">
        <f t="shared" si="5"/>
        <v>BarcelonaCarnicaWESSUN0,3</v>
      </c>
      <c r="C87" s="1" t="str">
        <f t="shared" si="6"/>
        <v>BarcelonaCarnicaWeSSun0,3</v>
      </c>
      <c r="D87" s="1" t="s">
        <v>20</v>
      </c>
      <c r="E87" s="1" t="s">
        <v>12</v>
      </c>
      <c r="F87" s="1">
        <v>0.3</v>
      </c>
      <c r="G87" s="1">
        <f t="shared" si="7"/>
        <v>120</v>
      </c>
      <c r="H87" s="1">
        <f t="shared" si="8"/>
        <v>60</v>
      </c>
      <c r="I87" s="1" t="str">
        <f t="shared" si="9"/>
        <v>WeSSun</v>
      </c>
      <c r="J87" s="1" t="s">
        <v>19</v>
      </c>
      <c r="K87" s="2">
        <v>1887.4708681820596</v>
      </c>
      <c r="L87" s="2">
        <v>808.75810535881772</v>
      </c>
      <c r="M87" s="3">
        <v>0.27280538116569031</v>
      </c>
      <c r="N87" s="2">
        <v>722.64885525560294</v>
      </c>
    </row>
    <row r="88" spans="1:14" x14ac:dyDescent="0.3">
      <c r="A88" s="1">
        <v>86</v>
      </c>
      <c r="B88" s="1" t="str">
        <f t="shared" ref="B88:B151" si="10">_xlfn.CONCAT(D88,E88,J88,F88)</f>
        <v>BarcelonaCarnicaWESSUN0,45</v>
      </c>
      <c r="C88" s="1" t="str">
        <f t="shared" si="6"/>
        <v>BarcelonaCarnicaWeSSun0,45</v>
      </c>
      <c r="D88" s="1" t="s">
        <v>20</v>
      </c>
      <c r="E88" s="1" t="s">
        <v>12</v>
      </c>
      <c r="F88" s="1">
        <v>0.45</v>
      </c>
      <c r="G88" s="1">
        <f t="shared" si="7"/>
        <v>120</v>
      </c>
      <c r="H88" s="1">
        <f t="shared" si="8"/>
        <v>60</v>
      </c>
      <c r="I88" s="1" t="str">
        <f t="shared" si="9"/>
        <v>WeSSun</v>
      </c>
      <c r="J88" s="1" t="s">
        <v>19</v>
      </c>
      <c r="K88" s="2">
        <v>2847.6834348236594</v>
      </c>
      <c r="L88" s="2">
        <v>799.71877159495773</v>
      </c>
      <c r="M88" s="3">
        <v>0.40742642213424063</v>
      </c>
      <c r="N88" s="2">
        <v>715.3393651202266</v>
      </c>
    </row>
    <row r="89" spans="1:14" x14ac:dyDescent="0.3">
      <c r="A89" s="1">
        <v>87</v>
      </c>
      <c r="B89" s="1" t="str">
        <f t="shared" si="10"/>
        <v>BarcelonaCarnicaWESSUN0,6</v>
      </c>
      <c r="C89" s="1" t="str">
        <f t="shared" si="6"/>
        <v>BarcelonaCarnicaWeSSun0,6</v>
      </c>
      <c r="D89" s="1" t="s">
        <v>20</v>
      </c>
      <c r="E89" s="1" t="s">
        <v>12</v>
      </c>
      <c r="F89" s="1">
        <v>0.6</v>
      </c>
      <c r="G89" s="1">
        <f t="shared" si="7"/>
        <v>120</v>
      </c>
      <c r="H89" s="1">
        <f t="shared" si="8"/>
        <v>60</v>
      </c>
      <c r="I89" s="1" t="str">
        <f t="shared" si="9"/>
        <v>WeSSun</v>
      </c>
      <c r="J89" s="1" t="s">
        <v>19</v>
      </c>
      <c r="K89" s="2">
        <v>3819.55912894832</v>
      </c>
      <c r="L89" s="2">
        <v>785.20236702214982</v>
      </c>
      <c r="M89" s="3">
        <v>0.53401035086910753</v>
      </c>
      <c r="N89" s="2">
        <v>699.02238149423385</v>
      </c>
    </row>
    <row r="90" spans="1:14" x14ac:dyDescent="0.3">
      <c r="A90" s="1">
        <v>88</v>
      </c>
      <c r="B90" s="1" t="str">
        <f t="shared" si="10"/>
        <v>BarcelonaCarnicaWESSUN0,75</v>
      </c>
      <c r="C90" s="1" t="str">
        <f t="shared" si="6"/>
        <v>BarcelonaCarnicaWeSSun0,75</v>
      </c>
      <c r="D90" s="1" t="s">
        <v>20</v>
      </c>
      <c r="E90" s="1" t="s">
        <v>12</v>
      </c>
      <c r="F90" s="1">
        <v>0.75</v>
      </c>
      <c r="G90" s="1">
        <f t="shared" si="7"/>
        <v>120</v>
      </c>
      <c r="H90" s="1">
        <f t="shared" si="8"/>
        <v>60</v>
      </c>
      <c r="I90" s="1" t="str">
        <f t="shared" si="9"/>
        <v>WeSSun</v>
      </c>
      <c r="J90" s="1" t="s">
        <v>19</v>
      </c>
      <c r="K90" s="2">
        <v>4803.6314194274009</v>
      </c>
      <c r="L90" s="2">
        <v>763.911401240842</v>
      </c>
      <c r="M90" s="3">
        <v>0.64856612370039557</v>
      </c>
      <c r="N90" s="2">
        <v>675.05510753355316</v>
      </c>
    </row>
    <row r="91" spans="1:14" x14ac:dyDescent="0.3">
      <c r="A91" s="1">
        <v>89</v>
      </c>
      <c r="B91" s="1" t="str">
        <f t="shared" si="10"/>
        <v>BarcelonaFarmaceuticaWESSUN0,3</v>
      </c>
      <c r="C91" s="1" t="str">
        <f t="shared" si="6"/>
        <v>BarcelonaFarmaceuticaWeSSun0,3</v>
      </c>
      <c r="D91" s="1" t="s">
        <v>20</v>
      </c>
      <c r="E91" s="1" t="s">
        <v>15</v>
      </c>
      <c r="F91" s="1">
        <v>0.3</v>
      </c>
      <c r="G91" s="1">
        <f t="shared" si="7"/>
        <v>120</v>
      </c>
      <c r="H91" s="1">
        <f t="shared" si="8"/>
        <v>60</v>
      </c>
      <c r="I91" s="1" t="str">
        <f t="shared" si="9"/>
        <v>WeSSun</v>
      </c>
      <c r="J91" s="1" t="s">
        <v>19</v>
      </c>
      <c r="K91" s="2">
        <v>1887.4708681820596</v>
      </c>
      <c r="L91" s="2">
        <v>808.85628417007763</v>
      </c>
      <c r="M91" s="3">
        <v>0.27286139020262218</v>
      </c>
      <c r="N91" s="2">
        <v>722.78383383132359</v>
      </c>
    </row>
    <row r="92" spans="1:14" x14ac:dyDescent="0.3">
      <c r="A92" s="1">
        <v>90</v>
      </c>
      <c r="B92" s="1" t="str">
        <f t="shared" si="10"/>
        <v>BarcelonaFarmaceuticaWESSUN0,45</v>
      </c>
      <c r="C92" s="1" t="str">
        <f t="shared" si="6"/>
        <v>BarcelonaFarmaceuticaWeSSun0,45</v>
      </c>
      <c r="D92" s="1" t="s">
        <v>20</v>
      </c>
      <c r="E92" s="1" t="s">
        <v>15</v>
      </c>
      <c r="F92" s="1">
        <v>0.45</v>
      </c>
      <c r="G92" s="1">
        <f t="shared" si="7"/>
        <v>120</v>
      </c>
      <c r="H92" s="1">
        <f t="shared" si="8"/>
        <v>60</v>
      </c>
      <c r="I92" s="1" t="str">
        <f t="shared" si="9"/>
        <v>WeSSun</v>
      </c>
      <c r="J92" s="1" t="s">
        <v>19</v>
      </c>
      <c r="K92" s="2">
        <v>2847.6834348236594</v>
      </c>
      <c r="L92" s="2">
        <v>799.73888449754895</v>
      </c>
      <c r="M92" s="3">
        <v>0.40747618037804206</v>
      </c>
      <c r="N92" s="2">
        <v>715.41347793962188</v>
      </c>
    </row>
    <row r="93" spans="1:14" x14ac:dyDescent="0.3">
      <c r="A93" s="1">
        <v>91</v>
      </c>
      <c r="B93" s="1" t="str">
        <f t="shared" si="10"/>
        <v>BarcelonaFarmaceuticaWESSUN0,6</v>
      </c>
      <c r="C93" s="1" t="str">
        <f t="shared" si="6"/>
        <v>BarcelonaFarmaceuticaWeSSun0,6</v>
      </c>
      <c r="D93" s="1" t="s">
        <v>20</v>
      </c>
      <c r="E93" s="1" t="s">
        <v>15</v>
      </c>
      <c r="F93" s="1">
        <v>0.6</v>
      </c>
      <c r="G93" s="1">
        <f t="shared" si="7"/>
        <v>120</v>
      </c>
      <c r="H93" s="1">
        <f t="shared" si="8"/>
        <v>60</v>
      </c>
      <c r="I93" s="1" t="str">
        <f t="shared" si="9"/>
        <v>WeSSun</v>
      </c>
      <c r="J93" s="1" t="s">
        <v>19</v>
      </c>
      <c r="K93" s="2">
        <v>3819.55912894832</v>
      </c>
      <c r="L93" s="2">
        <v>785.22121201574441</v>
      </c>
      <c r="M93" s="3">
        <v>0.53407060870007028</v>
      </c>
      <c r="N93" s="2">
        <v>699.0883114061528</v>
      </c>
    </row>
    <row r="94" spans="1:14" x14ac:dyDescent="0.3">
      <c r="A94" s="1">
        <v>92</v>
      </c>
      <c r="B94" s="1" t="str">
        <f t="shared" si="10"/>
        <v>BarcelonaFarmaceuticaWESSUN0,75</v>
      </c>
      <c r="C94" s="1" t="str">
        <f t="shared" si="6"/>
        <v>BarcelonaFarmaceuticaWeSSun0,75</v>
      </c>
      <c r="D94" s="1" t="s">
        <v>20</v>
      </c>
      <c r="E94" s="1" t="s">
        <v>15</v>
      </c>
      <c r="F94" s="1">
        <v>0.75</v>
      </c>
      <c r="G94" s="1">
        <f t="shared" si="7"/>
        <v>120</v>
      </c>
      <c r="H94" s="1">
        <f t="shared" si="8"/>
        <v>60</v>
      </c>
      <c r="I94" s="1" t="str">
        <f t="shared" si="9"/>
        <v>WeSSun</v>
      </c>
      <c r="J94" s="1" t="s">
        <v>19</v>
      </c>
      <c r="K94" s="2">
        <v>4803.6314194274009</v>
      </c>
      <c r="L94" s="2">
        <v>763.92655548877076</v>
      </c>
      <c r="M94" s="3">
        <v>0.64863443298813772</v>
      </c>
      <c r="N94" s="2">
        <v>675.11370286369981</v>
      </c>
    </row>
    <row r="95" spans="1:14" x14ac:dyDescent="0.3">
      <c r="A95" s="1">
        <v>93</v>
      </c>
      <c r="B95" s="1" t="str">
        <f t="shared" si="10"/>
        <v>BarcelonaLacteosWESSUN0,3</v>
      </c>
      <c r="C95" s="1" t="str">
        <f t="shared" si="6"/>
        <v>BarcelonaLacteosWeSSun0,3</v>
      </c>
      <c r="D95" s="1" t="s">
        <v>20</v>
      </c>
      <c r="E95" s="1" t="s">
        <v>14</v>
      </c>
      <c r="F95" s="1">
        <v>0.3</v>
      </c>
      <c r="G95" s="1">
        <f t="shared" si="7"/>
        <v>120</v>
      </c>
      <c r="H95" s="1">
        <f t="shared" si="8"/>
        <v>60</v>
      </c>
      <c r="I95" s="1" t="str">
        <f t="shared" si="9"/>
        <v>WeSSun</v>
      </c>
      <c r="J95" s="1" t="s">
        <v>19</v>
      </c>
      <c r="K95" s="2">
        <v>1887.4708681820596</v>
      </c>
      <c r="L95" s="2">
        <v>805.51300930249556</v>
      </c>
      <c r="M95" s="3">
        <v>0.28106042819113869</v>
      </c>
      <c r="N95" s="2">
        <v>744.61077486210399</v>
      </c>
    </row>
    <row r="96" spans="1:14" x14ac:dyDescent="0.3">
      <c r="A96" s="1">
        <v>94</v>
      </c>
      <c r="B96" s="1" t="str">
        <f t="shared" si="10"/>
        <v>BarcelonaLacteosWESSUN0,45</v>
      </c>
      <c r="C96" s="1" t="str">
        <f t="shared" si="6"/>
        <v>BarcelonaLacteosWeSSun0,45</v>
      </c>
      <c r="D96" s="1" t="s">
        <v>20</v>
      </c>
      <c r="E96" s="1" t="s">
        <v>14</v>
      </c>
      <c r="F96" s="1">
        <v>0.45</v>
      </c>
      <c r="G96" s="1">
        <f t="shared" si="7"/>
        <v>120</v>
      </c>
      <c r="H96" s="1">
        <f t="shared" si="8"/>
        <v>60</v>
      </c>
      <c r="I96" s="1" t="str">
        <f t="shared" si="9"/>
        <v>WeSSun</v>
      </c>
      <c r="J96" s="1" t="s">
        <v>19</v>
      </c>
      <c r="K96" s="2">
        <v>2847.6834348236594</v>
      </c>
      <c r="L96" s="2">
        <v>793.76050214118516</v>
      </c>
      <c r="M96" s="3">
        <v>0.41796981406780198</v>
      </c>
      <c r="N96" s="2">
        <v>733.94426148025025</v>
      </c>
    </row>
    <row r="97" spans="1:14" x14ac:dyDescent="0.3">
      <c r="A97" s="1">
        <v>95</v>
      </c>
      <c r="B97" s="1" t="str">
        <f t="shared" si="10"/>
        <v>BarcelonaLacteosWESSUN0,6</v>
      </c>
      <c r="C97" s="1" t="str">
        <f t="shared" si="6"/>
        <v>BarcelonaLacteosWeSSun0,6</v>
      </c>
      <c r="D97" s="1" t="s">
        <v>20</v>
      </c>
      <c r="E97" s="1" t="s">
        <v>14</v>
      </c>
      <c r="F97" s="1">
        <v>0.6</v>
      </c>
      <c r="G97" s="1">
        <f t="shared" si="7"/>
        <v>120</v>
      </c>
      <c r="H97" s="1">
        <f t="shared" si="8"/>
        <v>60</v>
      </c>
      <c r="I97" s="1" t="str">
        <f t="shared" si="9"/>
        <v>WeSSun</v>
      </c>
      <c r="J97" s="1" t="s">
        <v>19</v>
      </c>
      <c r="K97" s="2">
        <v>3819.55912894832</v>
      </c>
      <c r="L97" s="2">
        <v>773.52224191034747</v>
      </c>
      <c r="M97" s="3">
        <v>0.54452853104129573</v>
      </c>
      <c r="N97" s="2">
        <v>712.88138185372236</v>
      </c>
    </row>
    <row r="98" spans="1:14" x14ac:dyDescent="0.3">
      <c r="A98" s="1">
        <v>96</v>
      </c>
      <c r="B98" s="1" t="str">
        <f t="shared" si="10"/>
        <v>BarcelonaLacteosWESSUN0,75</v>
      </c>
      <c r="C98" s="1" t="str">
        <f t="shared" si="6"/>
        <v>BarcelonaLacteosWeSSun0,75</v>
      </c>
      <c r="D98" s="1" t="s">
        <v>20</v>
      </c>
      <c r="E98" s="1" t="s">
        <v>14</v>
      </c>
      <c r="F98" s="1">
        <v>0.75</v>
      </c>
      <c r="G98" s="1">
        <f t="shared" si="7"/>
        <v>120</v>
      </c>
      <c r="H98" s="1">
        <f t="shared" si="8"/>
        <v>60</v>
      </c>
      <c r="I98" s="1" t="str">
        <f t="shared" si="9"/>
        <v>WeSSun</v>
      </c>
      <c r="J98" s="1" t="s">
        <v>19</v>
      </c>
      <c r="K98" s="2">
        <v>4803.6314194274009</v>
      </c>
      <c r="L98" s="2">
        <v>747.93338349835369</v>
      </c>
      <c r="M98" s="3">
        <v>0.65886812590795574</v>
      </c>
      <c r="N98" s="2">
        <v>685.86507948623239</v>
      </c>
    </row>
    <row r="99" spans="1:14" x14ac:dyDescent="0.3">
      <c r="A99" s="1">
        <v>97</v>
      </c>
      <c r="B99" s="1" t="str">
        <f t="shared" si="10"/>
        <v>BarcelonaSecadoWESSUN0,3</v>
      </c>
      <c r="C99" s="1" t="str">
        <f t="shared" si="6"/>
        <v>BarcelonaSecadoWeSSun0,3</v>
      </c>
      <c r="D99" s="1" t="s">
        <v>20</v>
      </c>
      <c r="E99" s="1" t="s">
        <v>11</v>
      </c>
      <c r="F99" s="1">
        <v>0.3</v>
      </c>
      <c r="G99" s="1">
        <f t="shared" si="7"/>
        <v>60</v>
      </c>
      <c r="H99" s="1">
        <f t="shared" si="8"/>
        <v>15</v>
      </c>
      <c r="I99" s="1" t="str">
        <f t="shared" si="9"/>
        <v>WeSSun</v>
      </c>
      <c r="J99" s="1" t="s">
        <v>19</v>
      </c>
      <c r="K99" s="2">
        <v>1709.5574013245898</v>
      </c>
      <c r="L99" s="2">
        <v>913.64665176619235</v>
      </c>
      <c r="M99" s="3">
        <v>0.3067278560933312</v>
      </c>
      <c r="N99" s="2">
        <v>897.09727143980831</v>
      </c>
    </row>
    <row r="100" spans="1:14" x14ac:dyDescent="0.3">
      <c r="A100" s="1">
        <v>98</v>
      </c>
      <c r="B100" s="1" t="str">
        <f t="shared" si="10"/>
        <v>BarcelonaSecadoWESSUN0,45</v>
      </c>
      <c r="C100" s="1" t="str">
        <f t="shared" si="6"/>
        <v>BarcelonaSecadoWeSSun0,45</v>
      </c>
      <c r="D100" s="1" t="s">
        <v>20</v>
      </c>
      <c r="E100" s="1" t="s">
        <v>11</v>
      </c>
      <c r="F100" s="1">
        <v>0.45</v>
      </c>
      <c r="G100" s="1">
        <f t="shared" si="7"/>
        <v>60</v>
      </c>
      <c r="H100" s="1">
        <f t="shared" si="8"/>
        <v>15</v>
      </c>
      <c r="I100" s="1" t="str">
        <f t="shared" si="9"/>
        <v>WeSSun</v>
      </c>
      <c r="J100" s="1" t="s">
        <v>19</v>
      </c>
      <c r="K100" s="2">
        <v>2571.8908124972299</v>
      </c>
      <c r="L100" s="2">
        <v>908.25342841841803</v>
      </c>
      <c r="M100" s="3">
        <v>0.45597382809358955</v>
      </c>
      <c r="N100" s="2">
        <v>886.45642685983853</v>
      </c>
    </row>
    <row r="101" spans="1:14" x14ac:dyDescent="0.3">
      <c r="A101" s="1">
        <v>99</v>
      </c>
      <c r="B101" s="1" t="str">
        <f t="shared" si="10"/>
        <v>BarcelonaSecadoWESSUN0,6</v>
      </c>
      <c r="C101" s="1" t="str">
        <f t="shared" si="6"/>
        <v>BarcelonaSecadoWeSSun0,6</v>
      </c>
      <c r="D101" s="1" t="s">
        <v>20</v>
      </c>
      <c r="E101" s="1" t="s">
        <v>11</v>
      </c>
      <c r="F101" s="1">
        <v>0.6</v>
      </c>
      <c r="G101" s="1">
        <f t="shared" si="7"/>
        <v>60</v>
      </c>
      <c r="H101" s="1">
        <f t="shared" si="8"/>
        <v>15</v>
      </c>
      <c r="I101" s="1" t="str">
        <f t="shared" si="9"/>
        <v>WeSSun</v>
      </c>
      <c r="J101" s="1" t="s">
        <v>19</v>
      </c>
      <c r="K101" s="2">
        <v>3439.6617743099491</v>
      </c>
      <c r="L101" s="2">
        <v>899.0041052592577</v>
      </c>
      <c r="M101" s="3">
        <v>0.59917670190653283</v>
      </c>
      <c r="N101" s="2">
        <v>870.98200502971576</v>
      </c>
    </row>
    <row r="102" spans="1:14" x14ac:dyDescent="0.3">
      <c r="A102" s="1">
        <v>100</v>
      </c>
      <c r="B102" s="1" t="str">
        <f t="shared" si="10"/>
        <v>BarcelonaSecadoWESSUN0,75</v>
      </c>
      <c r="C102" s="1" t="str">
        <f t="shared" si="6"/>
        <v>BarcelonaSecadoWeSSun0,75</v>
      </c>
      <c r="D102" s="1" t="s">
        <v>20</v>
      </c>
      <c r="E102" s="1" t="s">
        <v>11</v>
      </c>
      <c r="F102" s="1">
        <v>0.75</v>
      </c>
      <c r="G102" s="1">
        <f t="shared" si="7"/>
        <v>60</v>
      </c>
      <c r="H102" s="1">
        <f t="shared" si="8"/>
        <v>15</v>
      </c>
      <c r="I102" s="1" t="str">
        <f t="shared" si="9"/>
        <v>WeSSun</v>
      </c>
      <c r="J102" s="1" t="s">
        <v>19</v>
      </c>
      <c r="K102" s="2">
        <v>4313.1796158194202</v>
      </c>
      <c r="L102" s="2">
        <v>885.40837104381217</v>
      </c>
      <c r="M102" s="3">
        <v>0.73364929189669625</v>
      </c>
      <c r="N102" s="2">
        <v>850.47384652096343</v>
      </c>
    </row>
    <row r="103" spans="1:14" x14ac:dyDescent="0.3">
      <c r="A103" s="1">
        <v>101</v>
      </c>
      <c r="B103" s="1" t="str">
        <f t="shared" si="10"/>
        <v>BilbaoBebidasAIRE0,3</v>
      </c>
      <c r="C103" s="1" t="str">
        <f t="shared" si="6"/>
        <v>BilbaoBebidasAire0,3</v>
      </c>
      <c r="D103" s="1" t="s">
        <v>21</v>
      </c>
      <c r="E103" s="1" t="s">
        <v>13</v>
      </c>
      <c r="F103" s="1">
        <v>0.3</v>
      </c>
      <c r="G103" s="1">
        <f t="shared" si="7"/>
        <v>60</v>
      </c>
      <c r="H103" s="1">
        <f t="shared" si="8"/>
        <v>15</v>
      </c>
      <c r="I103" s="1" t="str">
        <f t="shared" si="9"/>
        <v>Aire</v>
      </c>
      <c r="J103" s="1" t="s">
        <v>16</v>
      </c>
      <c r="K103" s="2">
        <v>3153.9145408245199</v>
      </c>
      <c r="L103" s="2">
        <v>501.26876278047996</v>
      </c>
      <c r="M103" s="3">
        <v>0.30812735780593897</v>
      </c>
      <c r="N103" s="2">
        <v>488.46920857337335</v>
      </c>
    </row>
    <row r="104" spans="1:14" x14ac:dyDescent="0.3">
      <c r="A104" s="1">
        <v>102</v>
      </c>
      <c r="B104" s="1" t="str">
        <f t="shared" si="10"/>
        <v>BilbaoBebidasAIRE0,45</v>
      </c>
      <c r="C104" s="1" t="str">
        <f t="shared" si="6"/>
        <v>BilbaoBebidasAire0,45</v>
      </c>
      <c r="D104" s="1" t="s">
        <v>21</v>
      </c>
      <c r="E104" s="1" t="s">
        <v>13</v>
      </c>
      <c r="F104" s="1">
        <v>0.45</v>
      </c>
      <c r="G104" s="1">
        <f t="shared" si="7"/>
        <v>60</v>
      </c>
      <c r="H104" s="1">
        <f t="shared" si="8"/>
        <v>15</v>
      </c>
      <c r="I104" s="1" t="str">
        <f t="shared" si="9"/>
        <v>Aire</v>
      </c>
      <c r="J104" s="1" t="s">
        <v>16</v>
      </c>
      <c r="K104" s="2">
        <v>5110.0516054095497</v>
      </c>
      <c r="L104" s="2">
        <v>454.41857032629684</v>
      </c>
      <c r="M104" s="3">
        <v>0.4471547507207807</v>
      </c>
      <c r="N104" s="2">
        <v>437.51144384309691</v>
      </c>
    </row>
    <row r="105" spans="1:14" x14ac:dyDescent="0.3">
      <c r="A105" s="1">
        <v>103</v>
      </c>
      <c r="B105" s="1" t="str">
        <f t="shared" si="10"/>
        <v>BilbaoBebidasAIRE0,6</v>
      </c>
      <c r="C105" s="1" t="str">
        <f t="shared" si="6"/>
        <v>BilbaoBebidasAire0,6</v>
      </c>
      <c r="D105" s="1" t="s">
        <v>21</v>
      </c>
      <c r="E105" s="1" t="s">
        <v>13</v>
      </c>
      <c r="F105" s="1">
        <v>0.6</v>
      </c>
      <c r="G105" s="1">
        <f t="shared" si="7"/>
        <v>60</v>
      </c>
      <c r="H105" s="1">
        <f t="shared" si="8"/>
        <v>15</v>
      </c>
      <c r="I105" s="1" t="str">
        <f t="shared" si="9"/>
        <v>Aire</v>
      </c>
      <c r="J105" s="1" t="s">
        <v>16</v>
      </c>
      <c r="K105" s="2">
        <v>7407.0802802531098</v>
      </c>
      <c r="L105" s="2">
        <v>398.89165140302765</v>
      </c>
      <c r="M105" s="3">
        <v>0.56077818384362255</v>
      </c>
      <c r="N105" s="2">
        <v>378.53052935156654</v>
      </c>
    </row>
    <row r="106" spans="1:14" x14ac:dyDescent="0.3">
      <c r="A106" s="1">
        <v>104</v>
      </c>
      <c r="B106" s="1" t="str">
        <f t="shared" si="10"/>
        <v>BilbaoBebidasAIRE0,75</v>
      </c>
      <c r="C106" s="1" t="str">
        <f t="shared" si="6"/>
        <v>BilbaoBebidasAire0,75</v>
      </c>
      <c r="D106" s="1" t="s">
        <v>21</v>
      </c>
      <c r="E106" s="1" t="s">
        <v>13</v>
      </c>
      <c r="F106" s="1">
        <v>0.75</v>
      </c>
      <c r="G106" s="1">
        <f t="shared" si="7"/>
        <v>60</v>
      </c>
      <c r="H106" s="1">
        <f t="shared" si="8"/>
        <v>15</v>
      </c>
      <c r="I106" s="1" t="str">
        <f t="shared" si="9"/>
        <v>Aire</v>
      </c>
      <c r="J106" s="1" t="s">
        <v>16</v>
      </c>
      <c r="K106" s="2">
        <v>10142.615779628102</v>
      </c>
      <c r="L106" s="2">
        <v>345.50826309887464</v>
      </c>
      <c r="M106" s="3">
        <v>0.65418931205326725</v>
      </c>
      <c r="N106" s="2">
        <v>322.48559833503771</v>
      </c>
    </row>
    <row r="107" spans="1:14" x14ac:dyDescent="0.3">
      <c r="A107" s="1">
        <v>105</v>
      </c>
      <c r="B107" s="1" t="str">
        <f t="shared" si="10"/>
        <v>BilbaoCarnicaAIRE0,3</v>
      </c>
      <c r="C107" s="1" t="str">
        <f t="shared" si="6"/>
        <v>BilbaoCarnicaAire0,3</v>
      </c>
      <c r="D107" s="1" t="s">
        <v>21</v>
      </c>
      <c r="E107" s="1" t="s">
        <v>12</v>
      </c>
      <c r="F107" s="1">
        <v>0.3</v>
      </c>
      <c r="G107" s="1">
        <f t="shared" si="7"/>
        <v>120</v>
      </c>
      <c r="H107" s="1">
        <f t="shared" si="8"/>
        <v>60</v>
      </c>
      <c r="I107" s="1" t="str">
        <f t="shared" si="9"/>
        <v>Aire</v>
      </c>
      <c r="J107" s="1" t="s">
        <v>16</v>
      </c>
      <c r="K107" s="2">
        <v>4581.271761040859</v>
      </c>
      <c r="L107" s="2">
        <v>20.650574074662295</v>
      </c>
      <c r="M107" s="3">
        <v>4.5329464921364665E-3</v>
      </c>
      <c r="N107" s="2">
        <v>4.9470828243476124</v>
      </c>
    </row>
    <row r="108" spans="1:14" x14ac:dyDescent="0.3">
      <c r="A108" s="1">
        <v>106</v>
      </c>
      <c r="B108" s="1" t="str">
        <f t="shared" si="10"/>
        <v>BilbaoCarnicaAIRE0,45</v>
      </c>
      <c r="C108" s="1" t="str">
        <f t="shared" si="6"/>
        <v>BilbaoCarnicaAire0,45</v>
      </c>
      <c r="D108" s="1" t="s">
        <v>21</v>
      </c>
      <c r="E108" s="1" t="s">
        <v>12</v>
      </c>
      <c r="F108" s="1">
        <v>0.45</v>
      </c>
      <c r="G108" s="1">
        <f t="shared" si="7"/>
        <v>120</v>
      </c>
      <c r="H108" s="1">
        <f t="shared" si="8"/>
        <v>60</v>
      </c>
      <c r="I108" s="1" t="str">
        <f t="shared" si="9"/>
        <v>Aire</v>
      </c>
      <c r="J108" s="1" t="s">
        <v>16</v>
      </c>
      <c r="K108" s="2">
        <v>6871.9076415612899</v>
      </c>
      <c r="L108" s="2">
        <v>21.897479410079729</v>
      </c>
      <c r="M108" s="3">
        <v>8.946733264152764E-3</v>
      </c>
      <c r="N108" s="2">
        <v>6.5094128865761043</v>
      </c>
    </row>
    <row r="109" spans="1:14" x14ac:dyDescent="0.3">
      <c r="A109" s="1">
        <v>107</v>
      </c>
      <c r="B109" s="1" t="str">
        <f t="shared" si="10"/>
        <v>BilbaoCarnicaAIRE0,6</v>
      </c>
      <c r="C109" s="1" t="str">
        <f t="shared" si="6"/>
        <v>BilbaoCarnicaAire0,6</v>
      </c>
      <c r="D109" s="1" t="s">
        <v>21</v>
      </c>
      <c r="E109" s="1" t="s">
        <v>12</v>
      </c>
      <c r="F109" s="1">
        <v>0.6</v>
      </c>
      <c r="G109" s="1">
        <f t="shared" si="7"/>
        <v>120</v>
      </c>
      <c r="H109" s="1">
        <f t="shared" si="8"/>
        <v>60</v>
      </c>
      <c r="I109" s="1" t="str">
        <f t="shared" si="9"/>
        <v>Aire</v>
      </c>
      <c r="J109" s="1" t="s">
        <v>16</v>
      </c>
      <c r="K109" s="2">
        <v>9162.543522081718</v>
      </c>
      <c r="L109" s="2">
        <v>23.966187160461359</v>
      </c>
      <c r="M109" s="3">
        <v>1.5210351729070721E-2</v>
      </c>
      <c r="N109" s="2">
        <v>8.2999953696460302</v>
      </c>
    </row>
    <row r="110" spans="1:14" x14ac:dyDescent="0.3">
      <c r="A110" s="1">
        <v>108</v>
      </c>
      <c r="B110" s="1" t="str">
        <f t="shared" si="10"/>
        <v>BilbaoCarnicaAIRE0,75</v>
      </c>
      <c r="C110" s="1" t="str">
        <f t="shared" si="6"/>
        <v>BilbaoCarnicaAire0,75</v>
      </c>
      <c r="D110" s="1" t="s">
        <v>21</v>
      </c>
      <c r="E110" s="1" t="s">
        <v>12</v>
      </c>
      <c r="F110" s="1">
        <v>0.75</v>
      </c>
      <c r="G110" s="1">
        <f t="shared" si="7"/>
        <v>120</v>
      </c>
      <c r="H110" s="1">
        <f t="shared" si="8"/>
        <v>60</v>
      </c>
      <c r="I110" s="1" t="str">
        <f t="shared" si="9"/>
        <v>Aire</v>
      </c>
      <c r="J110" s="1" t="s">
        <v>16</v>
      </c>
      <c r="K110" s="2">
        <v>11453.179402602096</v>
      </c>
      <c r="L110" s="2">
        <v>25.882010495242582</v>
      </c>
      <c r="M110" s="3">
        <v>2.3269429386084114E-2</v>
      </c>
      <c r="N110" s="2">
        <v>10.158142801638103</v>
      </c>
    </row>
    <row r="111" spans="1:14" x14ac:dyDescent="0.3">
      <c r="A111" s="1">
        <v>109</v>
      </c>
      <c r="B111" s="1" t="str">
        <f t="shared" si="10"/>
        <v>BilbaoFarmaceuticaAIRE0,3</v>
      </c>
      <c r="C111" s="1" t="str">
        <f t="shared" si="6"/>
        <v>BilbaoFarmaceuticaAire0,3</v>
      </c>
      <c r="D111" s="1" t="s">
        <v>21</v>
      </c>
      <c r="E111" s="1" t="s">
        <v>15</v>
      </c>
      <c r="F111" s="1">
        <v>0.3</v>
      </c>
      <c r="G111" s="1">
        <f t="shared" si="7"/>
        <v>120</v>
      </c>
      <c r="H111" s="1">
        <f t="shared" si="8"/>
        <v>60</v>
      </c>
      <c r="I111" s="1" t="str">
        <f t="shared" si="9"/>
        <v>Aire</v>
      </c>
      <c r="J111" s="1" t="s">
        <v>16</v>
      </c>
      <c r="K111" s="2">
        <v>4581.271761040859</v>
      </c>
      <c r="L111" s="2">
        <v>20.632944027255338</v>
      </c>
      <c r="M111" s="3">
        <v>4.5140403283448925E-3</v>
      </c>
      <c r="N111" s="2">
        <v>4.9263581252463737</v>
      </c>
    </row>
    <row r="112" spans="1:14" x14ac:dyDescent="0.3">
      <c r="A112" s="1">
        <v>110</v>
      </c>
      <c r="B112" s="1" t="str">
        <f t="shared" si="10"/>
        <v>BilbaoFarmaceuticaAIRE0,45</v>
      </c>
      <c r="C112" s="1" t="str">
        <f t="shared" si="6"/>
        <v>BilbaoFarmaceuticaAire0,45</v>
      </c>
      <c r="D112" s="1" t="s">
        <v>21</v>
      </c>
      <c r="E112" s="1" t="s">
        <v>15</v>
      </c>
      <c r="F112" s="1">
        <v>0.45</v>
      </c>
      <c r="G112" s="1">
        <f t="shared" si="7"/>
        <v>120</v>
      </c>
      <c r="H112" s="1">
        <f t="shared" si="8"/>
        <v>60</v>
      </c>
      <c r="I112" s="1" t="str">
        <f t="shared" si="9"/>
        <v>Aire</v>
      </c>
      <c r="J112" s="1" t="s">
        <v>16</v>
      </c>
      <c r="K112" s="2">
        <v>6871.9076415612899</v>
      </c>
      <c r="L112" s="2">
        <v>21.88480643805681</v>
      </c>
      <c r="M112" s="3">
        <v>8.9285571070688956E-3</v>
      </c>
      <c r="N112" s="2">
        <v>6.4960680678813896</v>
      </c>
    </row>
    <row r="113" spans="1:14" x14ac:dyDescent="0.3">
      <c r="A113" s="1">
        <v>111</v>
      </c>
      <c r="B113" s="1" t="str">
        <f t="shared" si="10"/>
        <v>BilbaoFarmaceuticaAIRE0,6</v>
      </c>
      <c r="C113" s="1" t="str">
        <f t="shared" si="6"/>
        <v>BilbaoFarmaceuticaAire0,6</v>
      </c>
      <c r="D113" s="1" t="s">
        <v>21</v>
      </c>
      <c r="E113" s="1" t="s">
        <v>15</v>
      </c>
      <c r="F113" s="1">
        <v>0.6</v>
      </c>
      <c r="G113" s="1">
        <f t="shared" si="7"/>
        <v>120</v>
      </c>
      <c r="H113" s="1">
        <f t="shared" si="8"/>
        <v>60</v>
      </c>
      <c r="I113" s="1" t="str">
        <f t="shared" si="9"/>
        <v>Aire</v>
      </c>
      <c r="J113" s="1" t="s">
        <v>16</v>
      </c>
      <c r="K113" s="2">
        <v>9162.543522081718</v>
      </c>
      <c r="L113" s="2">
        <v>23.96065881574248</v>
      </c>
      <c r="M113" s="3">
        <v>1.5200154211266602E-2</v>
      </c>
      <c r="N113" s="2">
        <v>8.2942771615785436</v>
      </c>
    </row>
    <row r="114" spans="1:14" x14ac:dyDescent="0.3">
      <c r="A114" s="1">
        <v>112</v>
      </c>
      <c r="B114" s="1" t="str">
        <f t="shared" si="10"/>
        <v>BilbaoFarmaceuticaAIRE0,75</v>
      </c>
      <c r="C114" s="1" t="str">
        <f t="shared" si="6"/>
        <v>BilbaoFarmaceuticaAire0,75</v>
      </c>
      <c r="D114" s="1" t="s">
        <v>21</v>
      </c>
      <c r="E114" s="1" t="s">
        <v>15</v>
      </c>
      <c r="F114" s="1">
        <v>0.75</v>
      </c>
      <c r="G114" s="1">
        <f t="shared" si="7"/>
        <v>120</v>
      </c>
      <c r="H114" s="1">
        <f t="shared" si="8"/>
        <v>60</v>
      </c>
      <c r="I114" s="1" t="str">
        <f t="shared" si="9"/>
        <v>Aire</v>
      </c>
      <c r="J114" s="1" t="s">
        <v>16</v>
      </c>
      <c r="K114" s="2">
        <v>11453.179402602096</v>
      </c>
      <c r="L114" s="2">
        <v>25.879807321992555</v>
      </c>
      <c r="M114" s="3">
        <v>2.3266267791819287E-2</v>
      </c>
      <c r="N114" s="2">
        <v>10.156574513583314</v>
      </c>
    </row>
    <row r="115" spans="1:14" x14ac:dyDescent="0.3">
      <c r="A115" s="1">
        <v>113</v>
      </c>
      <c r="B115" s="1" t="str">
        <f t="shared" si="10"/>
        <v>BilbaoLacteosAIRE0,3</v>
      </c>
      <c r="C115" s="1" t="str">
        <f t="shared" si="6"/>
        <v>BilbaoLacteosAire0,3</v>
      </c>
      <c r="D115" s="1" t="s">
        <v>21</v>
      </c>
      <c r="E115" s="1" t="s">
        <v>14</v>
      </c>
      <c r="F115" s="1">
        <v>0.3</v>
      </c>
      <c r="G115" s="1">
        <f t="shared" si="7"/>
        <v>120</v>
      </c>
      <c r="H115" s="1">
        <f t="shared" si="8"/>
        <v>60</v>
      </c>
      <c r="I115" s="1" t="str">
        <f t="shared" si="9"/>
        <v>Aire</v>
      </c>
      <c r="J115" s="1" t="s">
        <v>16</v>
      </c>
      <c r="K115" s="2">
        <v>4581.271761040859</v>
      </c>
      <c r="L115" s="2">
        <v>18.668694477728558</v>
      </c>
      <c r="M115" s="3">
        <v>6.620659367186363E-3</v>
      </c>
      <c r="N115" s="2">
        <v>7.2264509503398511</v>
      </c>
    </row>
    <row r="116" spans="1:14" x14ac:dyDescent="0.3">
      <c r="A116" s="1">
        <v>114</v>
      </c>
      <c r="B116" s="1" t="str">
        <f t="shared" si="10"/>
        <v>BilbaoLacteosAIRE0,45</v>
      </c>
      <c r="C116" s="1" t="str">
        <f t="shared" si="6"/>
        <v>BilbaoLacteosAire0,45</v>
      </c>
      <c r="D116" s="1" t="s">
        <v>21</v>
      </c>
      <c r="E116" s="1" t="s">
        <v>14</v>
      </c>
      <c r="F116" s="1">
        <v>0.45</v>
      </c>
      <c r="G116" s="1">
        <f t="shared" si="7"/>
        <v>120</v>
      </c>
      <c r="H116" s="1">
        <f t="shared" si="8"/>
        <v>60</v>
      </c>
      <c r="I116" s="1" t="str">
        <f t="shared" si="9"/>
        <v>Aire</v>
      </c>
      <c r="J116" s="1" t="s">
        <v>16</v>
      </c>
      <c r="K116" s="2">
        <v>6871.9076415612899</v>
      </c>
      <c r="L116" s="2">
        <v>19.928971050069016</v>
      </c>
      <c r="M116" s="3">
        <v>1.2205447870312034E-2</v>
      </c>
      <c r="N116" s="2">
        <v>8.8814991045445133</v>
      </c>
    </row>
    <row r="117" spans="1:14" x14ac:dyDescent="0.3">
      <c r="A117" s="1">
        <v>115</v>
      </c>
      <c r="B117" s="1" t="str">
        <f t="shared" si="10"/>
        <v>BilbaoLacteosAIRE0,6</v>
      </c>
      <c r="C117" s="1" t="str">
        <f t="shared" si="6"/>
        <v>BilbaoLacteosAire0,6</v>
      </c>
      <c r="D117" s="1" t="s">
        <v>21</v>
      </c>
      <c r="E117" s="1" t="s">
        <v>14</v>
      </c>
      <c r="F117" s="1">
        <v>0.6</v>
      </c>
      <c r="G117" s="1">
        <f t="shared" si="7"/>
        <v>120</v>
      </c>
      <c r="H117" s="1">
        <f t="shared" si="8"/>
        <v>60</v>
      </c>
      <c r="I117" s="1" t="str">
        <f t="shared" si="9"/>
        <v>Aire</v>
      </c>
      <c r="J117" s="1" t="s">
        <v>16</v>
      </c>
      <c r="K117" s="2">
        <v>9162.543522081718</v>
      </c>
      <c r="L117" s="2">
        <v>21.90651778023744</v>
      </c>
      <c r="M117" s="3">
        <v>1.9623471415762886E-2</v>
      </c>
      <c r="N117" s="2">
        <v>10.709511379202098</v>
      </c>
    </row>
    <row r="118" spans="1:14" x14ac:dyDescent="0.3">
      <c r="A118" s="1">
        <v>116</v>
      </c>
      <c r="B118" s="1" t="str">
        <f t="shared" si="10"/>
        <v>BilbaoLacteosAIRE0,75</v>
      </c>
      <c r="C118" s="1" t="str">
        <f t="shared" si="6"/>
        <v>BilbaoLacteosAire0,75</v>
      </c>
      <c r="D118" s="1" t="s">
        <v>21</v>
      </c>
      <c r="E118" s="1" t="s">
        <v>14</v>
      </c>
      <c r="F118" s="1">
        <v>0.75</v>
      </c>
      <c r="G118" s="1">
        <f t="shared" si="7"/>
        <v>120</v>
      </c>
      <c r="H118" s="1">
        <f t="shared" si="8"/>
        <v>60</v>
      </c>
      <c r="I118" s="1" t="str">
        <f t="shared" si="9"/>
        <v>Aire</v>
      </c>
      <c r="J118" s="1" t="s">
        <v>16</v>
      </c>
      <c r="K118" s="2">
        <v>11453.179402602096</v>
      </c>
      <c r="L118" s="2">
        <v>23.579820305115717</v>
      </c>
      <c r="M118" s="3">
        <v>2.8399764833833677E-2</v>
      </c>
      <c r="N118" s="2">
        <v>12.399339473047359</v>
      </c>
    </row>
    <row r="119" spans="1:14" x14ac:dyDescent="0.3">
      <c r="A119" s="1">
        <v>117</v>
      </c>
      <c r="B119" s="1" t="str">
        <f t="shared" si="10"/>
        <v>BilbaoSecadoAIRE0,3</v>
      </c>
      <c r="C119" s="1" t="str">
        <f t="shared" si="6"/>
        <v>BilbaoSecadoAire0,3</v>
      </c>
      <c r="D119" s="1" t="s">
        <v>21</v>
      </c>
      <c r="E119" s="1" t="s">
        <v>11</v>
      </c>
      <c r="F119" s="1">
        <v>0.3</v>
      </c>
      <c r="G119" s="1">
        <f t="shared" si="7"/>
        <v>60</v>
      </c>
      <c r="H119" s="1">
        <f t="shared" si="8"/>
        <v>15</v>
      </c>
      <c r="I119" s="1" t="str">
        <f t="shared" si="9"/>
        <v>Aire</v>
      </c>
      <c r="J119" s="1" t="s">
        <v>16</v>
      </c>
      <c r="K119" s="2">
        <v>3153.9145408245199</v>
      </c>
      <c r="L119" s="2">
        <v>317.793960732382</v>
      </c>
      <c r="M119" s="3">
        <v>0.19905734739814424</v>
      </c>
      <c r="N119" s="2">
        <v>315.57187865061536</v>
      </c>
    </row>
    <row r="120" spans="1:14" x14ac:dyDescent="0.3">
      <c r="A120" s="1">
        <v>118</v>
      </c>
      <c r="B120" s="1" t="str">
        <f t="shared" si="10"/>
        <v>BilbaoSecadoAIRE0,45</v>
      </c>
      <c r="C120" s="1" t="str">
        <f t="shared" si="6"/>
        <v>BilbaoSecadoAire0,45</v>
      </c>
      <c r="D120" s="1" t="s">
        <v>21</v>
      </c>
      <c r="E120" s="1" t="s">
        <v>11</v>
      </c>
      <c r="F120" s="1">
        <v>0.45</v>
      </c>
      <c r="G120" s="1">
        <f t="shared" si="7"/>
        <v>60</v>
      </c>
      <c r="H120" s="1">
        <f t="shared" si="8"/>
        <v>15</v>
      </c>
      <c r="I120" s="1" t="str">
        <f t="shared" si="9"/>
        <v>Aire</v>
      </c>
      <c r="J120" s="1" t="s">
        <v>16</v>
      </c>
      <c r="K120" s="2">
        <v>5110.0516054095497</v>
      </c>
      <c r="L120" s="2">
        <v>244.43106168480062</v>
      </c>
      <c r="M120" s="3">
        <v>0.24767951942595659</v>
      </c>
      <c r="N120" s="2">
        <v>242.34541888405451</v>
      </c>
    </row>
    <row r="121" spans="1:14" x14ac:dyDescent="0.3">
      <c r="A121" s="1">
        <v>119</v>
      </c>
      <c r="B121" s="1" t="str">
        <f t="shared" si="10"/>
        <v>BilbaoSecadoAIRE0,6</v>
      </c>
      <c r="C121" s="1" t="str">
        <f t="shared" si="6"/>
        <v>BilbaoSecadoAire0,6</v>
      </c>
      <c r="D121" s="1" t="s">
        <v>21</v>
      </c>
      <c r="E121" s="1" t="s">
        <v>11</v>
      </c>
      <c r="F121" s="1">
        <v>0.6</v>
      </c>
      <c r="G121" s="1">
        <f t="shared" si="7"/>
        <v>60</v>
      </c>
      <c r="H121" s="1">
        <f t="shared" si="8"/>
        <v>15</v>
      </c>
      <c r="I121" s="1" t="str">
        <f t="shared" si="9"/>
        <v>Aire</v>
      </c>
      <c r="J121" s="1" t="s">
        <v>16</v>
      </c>
      <c r="K121" s="2">
        <v>7407.0802802531098</v>
      </c>
      <c r="L121" s="2">
        <v>197.63187452025818</v>
      </c>
      <c r="M121" s="3">
        <v>0.28983838852134369</v>
      </c>
      <c r="N121" s="2">
        <v>195.64955251286389</v>
      </c>
    </row>
    <row r="122" spans="1:14" x14ac:dyDescent="0.3">
      <c r="A122" s="1">
        <v>120</v>
      </c>
      <c r="B122" s="1" t="str">
        <f t="shared" si="10"/>
        <v>BilbaoSecadoAIRE0,75</v>
      </c>
      <c r="C122" s="1" t="str">
        <f t="shared" si="6"/>
        <v>BilbaoSecadoAire0,75</v>
      </c>
      <c r="D122" s="1" t="s">
        <v>21</v>
      </c>
      <c r="E122" s="1" t="s">
        <v>11</v>
      </c>
      <c r="F122" s="1">
        <v>0.75</v>
      </c>
      <c r="G122" s="1">
        <f t="shared" si="7"/>
        <v>60</v>
      </c>
      <c r="H122" s="1">
        <f t="shared" si="8"/>
        <v>15</v>
      </c>
      <c r="I122" s="1" t="str">
        <f t="shared" si="9"/>
        <v>Aire</v>
      </c>
      <c r="J122" s="1" t="s">
        <v>16</v>
      </c>
      <c r="K122" s="2">
        <v>10142.615779628102</v>
      </c>
      <c r="L122" s="2">
        <v>166.91144296878747</v>
      </c>
      <c r="M122" s="3">
        <v>0.33474779642403901</v>
      </c>
      <c r="N122" s="2">
        <v>165.02044621266856</v>
      </c>
    </row>
    <row r="123" spans="1:14" x14ac:dyDescent="0.3">
      <c r="A123" s="1">
        <v>121</v>
      </c>
      <c r="B123" s="1" t="str">
        <f t="shared" si="10"/>
        <v>BilbaoBebidasETC0,3</v>
      </c>
      <c r="C123" s="1" t="str">
        <f t="shared" si="6"/>
        <v>BilbaoBebidasETC0,3</v>
      </c>
      <c r="D123" s="1" t="s">
        <v>21</v>
      </c>
      <c r="E123" s="1" t="s">
        <v>13</v>
      </c>
      <c r="F123" s="1">
        <v>0.3</v>
      </c>
      <c r="G123" s="1">
        <f t="shared" si="7"/>
        <v>60</v>
      </c>
      <c r="H123" s="1">
        <f t="shared" si="8"/>
        <v>15</v>
      </c>
      <c r="I123" s="1" t="str">
        <f t="shared" si="9"/>
        <v>ETC</v>
      </c>
      <c r="J123" s="1" t="s">
        <v>9</v>
      </c>
      <c r="K123" s="2">
        <v>2646.93813208245</v>
      </c>
      <c r="L123" s="2">
        <v>654.13175984823351</v>
      </c>
      <c r="M123" s="3">
        <v>0.33707923335371326</v>
      </c>
      <c r="N123" s="2">
        <v>636.7149703149795</v>
      </c>
    </row>
    <row r="124" spans="1:14" x14ac:dyDescent="0.3">
      <c r="A124" s="1">
        <v>122</v>
      </c>
      <c r="B124" s="1" t="str">
        <f t="shared" si="10"/>
        <v>BilbaoBebidasETC0,45</v>
      </c>
      <c r="C124" s="1" t="str">
        <f t="shared" si="6"/>
        <v>BilbaoBebidasETC0,45</v>
      </c>
      <c r="D124" s="1" t="s">
        <v>21</v>
      </c>
      <c r="E124" s="1" t="s">
        <v>13</v>
      </c>
      <c r="F124" s="1">
        <v>0.45</v>
      </c>
      <c r="G124" s="1">
        <f t="shared" si="7"/>
        <v>60</v>
      </c>
      <c r="H124" s="1">
        <f t="shared" si="8"/>
        <v>15</v>
      </c>
      <c r="I124" s="1" t="str">
        <f t="shared" si="9"/>
        <v>ETC</v>
      </c>
      <c r="J124" s="1" t="s">
        <v>9</v>
      </c>
      <c r="K124" s="2">
        <v>3992.2159169535394</v>
      </c>
      <c r="L124" s="2">
        <v>636.73040278625786</v>
      </c>
      <c r="M124" s="3">
        <v>0.48978876120427078</v>
      </c>
      <c r="N124" s="2">
        <v>613.41112422771971</v>
      </c>
    </row>
    <row r="125" spans="1:14" x14ac:dyDescent="0.3">
      <c r="A125" s="1">
        <v>123</v>
      </c>
      <c r="B125" s="1" t="str">
        <f t="shared" si="10"/>
        <v>BilbaoBebidasETC0,6</v>
      </c>
      <c r="C125" s="1" t="str">
        <f t="shared" si="6"/>
        <v>BilbaoBebidasETC0,6</v>
      </c>
      <c r="D125" s="1" t="s">
        <v>21</v>
      </c>
      <c r="E125" s="1" t="s">
        <v>13</v>
      </c>
      <c r="F125" s="1">
        <v>0.6</v>
      </c>
      <c r="G125" s="1">
        <f t="shared" si="7"/>
        <v>60</v>
      </c>
      <c r="H125" s="1">
        <f t="shared" si="8"/>
        <v>15</v>
      </c>
      <c r="I125" s="1" t="str">
        <f t="shared" si="9"/>
        <v>ETC</v>
      </c>
      <c r="J125" s="1" t="s">
        <v>9</v>
      </c>
      <c r="K125" s="2">
        <v>5352.4922816445896</v>
      </c>
      <c r="L125" s="2">
        <v>614.73031011867317</v>
      </c>
      <c r="M125" s="3">
        <v>0.62728086098542268</v>
      </c>
      <c r="N125" s="2">
        <v>585.95307977069001</v>
      </c>
    </row>
    <row r="126" spans="1:14" x14ac:dyDescent="0.3">
      <c r="A126" s="1">
        <v>124</v>
      </c>
      <c r="B126" s="1" t="str">
        <f t="shared" si="10"/>
        <v>BilbaoBebidasETC0,75</v>
      </c>
      <c r="C126" s="1" t="str">
        <f t="shared" si="6"/>
        <v>BilbaoBebidasETC0,75</v>
      </c>
      <c r="D126" s="1" t="s">
        <v>21</v>
      </c>
      <c r="E126" s="1" t="s">
        <v>13</v>
      </c>
      <c r="F126" s="1">
        <v>0.75</v>
      </c>
      <c r="G126" s="1">
        <f t="shared" si="7"/>
        <v>60</v>
      </c>
      <c r="H126" s="1">
        <f t="shared" si="8"/>
        <v>15</v>
      </c>
      <c r="I126" s="1" t="str">
        <f t="shared" si="9"/>
        <v>ETC</v>
      </c>
      <c r="J126" s="1" t="s">
        <v>9</v>
      </c>
      <c r="K126" s="2">
        <v>6728.1242922742686</v>
      </c>
      <c r="L126" s="2">
        <v>584.87657801521038</v>
      </c>
      <c r="M126" s="3">
        <v>0.74036388383867191</v>
      </c>
      <c r="N126" s="2">
        <v>550.18414791111309</v>
      </c>
    </row>
    <row r="127" spans="1:14" x14ac:dyDescent="0.3">
      <c r="A127" s="1">
        <v>125</v>
      </c>
      <c r="B127" s="1" t="str">
        <f t="shared" si="10"/>
        <v>BilbaoCarnicaETC0,3</v>
      </c>
      <c r="C127" s="1" t="str">
        <f t="shared" si="6"/>
        <v>BilbaoCarnicaETC0,3</v>
      </c>
      <c r="D127" s="1" t="s">
        <v>21</v>
      </c>
      <c r="E127" s="1" t="s">
        <v>12</v>
      </c>
      <c r="F127" s="1">
        <v>0.3</v>
      </c>
      <c r="G127" s="1">
        <f t="shared" si="7"/>
        <v>120</v>
      </c>
      <c r="H127" s="1">
        <f t="shared" si="8"/>
        <v>60</v>
      </c>
      <c r="I127" s="1" t="str">
        <f t="shared" si="9"/>
        <v>ETC</v>
      </c>
      <c r="J127" s="1" t="s">
        <v>9</v>
      </c>
      <c r="K127" s="2">
        <v>3056.9370085522901</v>
      </c>
      <c r="L127" s="2">
        <v>496.6667270307633</v>
      </c>
      <c r="M127" s="3">
        <v>0.25809053341041599</v>
      </c>
      <c r="N127" s="2">
        <v>422.12417921771254</v>
      </c>
    </row>
    <row r="128" spans="1:14" x14ac:dyDescent="0.3">
      <c r="A128" s="1">
        <v>126</v>
      </c>
      <c r="B128" s="1" t="str">
        <f t="shared" si="10"/>
        <v>BilbaoCarnicaETC0,45</v>
      </c>
      <c r="C128" s="1" t="str">
        <f t="shared" si="6"/>
        <v>BilbaoCarnicaETC0,45</v>
      </c>
      <c r="D128" s="1" t="s">
        <v>21</v>
      </c>
      <c r="E128" s="1" t="s">
        <v>12</v>
      </c>
      <c r="F128" s="1">
        <v>0.45</v>
      </c>
      <c r="G128" s="1">
        <f t="shared" si="7"/>
        <v>120</v>
      </c>
      <c r="H128" s="1">
        <f t="shared" si="8"/>
        <v>60</v>
      </c>
      <c r="I128" s="1" t="str">
        <f t="shared" si="9"/>
        <v>ETC</v>
      </c>
      <c r="J128" s="1" t="s">
        <v>9</v>
      </c>
      <c r="K128" s="2">
        <v>4617.7169853382711</v>
      </c>
      <c r="L128" s="2">
        <v>482.41048036550313</v>
      </c>
      <c r="M128" s="3">
        <v>0.37768264028408638</v>
      </c>
      <c r="N128" s="2">
        <v>408.93506835570298</v>
      </c>
    </row>
    <row r="129" spans="1:14" x14ac:dyDescent="0.3">
      <c r="A129" s="1">
        <v>127</v>
      </c>
      <c r="B129" s="1" t="str">
        <f t="shared" si="10"/>
        <v>BilbaoCarnicaETC0,6</v>
      </c>
      <c r="C129" s="1" t="str">
        <f t="shared" si="6"/>
        <v>BilbaoCarnicaETC0,6</v>
      </c>
      <c r="D129" s="1" t="s">
        <v>21</v>
      </c>
      <c r="E129" s="1" t="s">
        <v>12</v>
      </c>
      <c r="F129" s="1">
        <v>0.6</v>
      </c>
      <c r="G129" s="1">
        <f t="shared" si="7"/>
        <v>120</v>
      </c>
      <c r="H129" s="1">
        <f t="shared" si="8"/>
        <v>60</v>
      </c>
      <c r="I129" s="1" t="str">
        <f t="shared" si="9"/>
        <v>ETC</v>
      </c>
      <c r="J129" s="1" t="s">
        <v>9</v>
      </c>
      <c r="K129" s="2">
        <v>6200.8349284314691</v>
      </c>
      <c r="L129" s="2">
        <v>464.81307040214443</v>
      </c>
      <c r="M129" s="3">
        <v>0.48475355279173832</v>
      </c>
      <c r="N129" s="2">
        <v>390.863821866188</v>
      </c>
    </row>
    <row r="130" spans="1:14" x14ac:dyDescent="0.3">
      <c r="A130" s="1">
        <v>128</v>
      </c>
      <c r="B130" s="1" t="str">
        <f t="shared" si="10"/>
        <v>BilbaoCarnicaETC0,75</v>
      </c>
      <c r="C130" s="1" t="str">
        <f t="shared" si="6"/>
        <v>BilbaoCarnicaETC0,75</v>
      </c>
      <c r="D130" s="1" t="s">
        <v>21</v>
      </c>
      <c r="E130" s="1" t="s">
        <v>12</v>
      </c>
      <c r="F130" s="1">
        <v>0.75</v>
      </c>
      <c r="G130" s="1">
        <f t="shared" si="7"/>
        <v>120</v>
      </c>
      <c r="H130" s="1">
        <f t="shared" si="8"/>
        <v>60</v>
      </c>
      <c r="I130" s="1" t="str">
        <f t="shared" si="9"/>
        <v>ETC</v>
      </c>
      <c r="J130" s="1" t="s">
        <v>9</v>
      </c>
      <c r="K130" s="2">
        <v>7806.9149878895214</v>
      </c>
      <c r="L130" s="2">
        <v>444.51115009844096</v>
      </c>
      <c r="M130" s="3">
        <v>0.57745288788468774</v>
      </c>
      <c r="N130" s="2">
        <v>369.82115542972241</v>
      </c>
    </row>
    <row r="131" spans="1:14" x14ac:dyDescent="0.3">
      <c r="A131" s="1">
        <v>129</v>
      </c>
      <c r="B131" s="1" t="str">
        <f t="shared" si="10"/>
        <v>BilbaoFarmaceuticaETC0,3</v>
      </c>
      <c r="C131" s="1" t="str">
        <f t="shared" si="6"/>
        <v>BilbaoFarmaceuticaETC0,3</v>
      </c>
      <c r="D131" s="1" t="s">
        <v>21</v>
      </c>
      <c r="E131" s="1" t="s">
        <v>15</v>
      </c>
      <c r="F131" s="1">
        <v>0.3</v>
      </c>
      <c r="G131" s="1">
        <f t="shared" si="7"/>
        <v>120</v>
      </c>
      <c r="H131" s="1">
        <f t="shared" si="8"/>
        <v>60</v>
      </c>
      <c r="I131" s="1" t="str">
        <f t="shared" si="9"/>
        <v>ETC</v>
      </c>
      <c r="J131" s="1" t="s">
        <v>9</v>
      </c>
      <c r="K131" s="2">
        <v>3056.9370085522901</v>
      </c>
      <c r="L131" s="2">
        <v>496.72157853883596</v>
      </c>
      <c r="M131" s="3">
        <v>0.25815090814069658</v>
      </c>
      <c r="N131" s="2">
        <v>422.21510618940817</v>
      </c>
    </row>
    <row r="132" spans="1:14" x14ac:dyDescent="0.3">
      <c r="A132" s="1">
        <v>130</v>
      </c>
      <c r="B132" s="1" t="str">
        <f t="shared" si="10"/>
        <v>BilbaoFarmaceuticaETC0,45</v>
      </c>
      <c r="C132" s="1" t="str">
        <f t="shared" ref="C132:C195" si="11">_xlfn.CONCAT(D132,E132,I132,F132)</f>
        <v>BilbaoFarmaceuticaETC0,45</v>
      </c>
      <c r="D132" s="1" t="s">
        <v>21</v>
      </c>
      <c r="E132" s="1" t="s">
        <v>15</v>
      </c>
      <c r="F132" s="1">
        <v>0.45</v>
      </c>
      <c r="G132" s="1">
        <f t="shared" ref="G132:G195" si="12">IF(OR($E132="Secado",$E132="Bebidas"),60,120)</f>
        <v>120</v>
      </c>
      <c r="H132" s="1">
        <f t="shared" ref="H132:H195" si="13">IF(OR($E132="Secado",$E132="Bebidas"),15,60)</f>
        <v>60</v>
      </c>
      <c r="I132" s="1" t="str">
        <f t="shared" ref="I132:I195" si="14">IF(J132="AIRE","Aire",IF(J132="ETC","ETC",IF(J132="PLANO1","FPC1",IF(J132="PLANO2","FPC2",IF(J132="WESSUN","WeSSun")))))</f>
        <v>ETC</v>
      </c>
      <c r="J132" s="1" t="s">
        <v>9</v>
      </c>
      <c r="K132" s="2">
        <v>4617.7169853382711</v>
      </c>
      <c r="L132" s="2">
        <v>482.42939131304627</v>
      </c>
      <c r="M132" s="3">
        <v>0.37773059691254673</v>
      </c>
      <c r="N132" s="2">
        <v>408.97941852959053</v>
      </c>
    </row>
    <row r="133" spans="1:14" x14ac:dyDescent="0.3">
      <c r="A133" s="1">
        <v>131</v>
      </c>
      <c r="B133" s="1" t="str">
        <f t="shared" si="10"/>
        <v>BilbaoFarmaceuticaETC0,6</v>
      </c>
      <c r="C133" s="1" t="str">
        <f t="shared" si="11"/>
        <v>BilbaoFarmaceuticaETC0,6</v>
      </c>
      <c r="D133" s="1" t="s">
        <v>21</v>
      </c>
      <c r="E133" s="1" t="s">
        <v>15</v>
      </c>
      <c r="F133" s="1">
        <v>0.6</v>
      </c>
      <c r="G133" s="1">
        <f t="shared" si="12"/>
        <v>120</v>
      </c>
      <c r="H133" s="1">
        <f t="shared" si="13"/>
        <v>60</v>
      </c>
      <c r="I133" s="1" t="str">
        <f t="shared" si="14"/>
        <v>ETC</v>
      </c>
      <c r="J133" s="1" t="s">
        <v>9</v>
      </c>
      <c r="K133" s="2">
        <v>6200.8349284314691</v>
      </c>
      <c r="L133" s="2">
        <v>464.83749039448878</v>
      </c>
      <c r="M133" s="3">
        <v>0.48480667234043617</v>
      </c>
      <c r="N133" s="2">
        <v>390.89941302843306</v>
      </c>
    </row>
    <row r="134" spans="1:14" x14ac:dyDescent="0.3">
      <c r="A134" s="1">
        <v>132</v>
      </c>
      <c r="B134" s="1" t="str">
        <f t="shared" si="10"/>
        <v>BilbaoFarmaceuticaETC0,75</v>
      </c>
      <c r="C134" s="1" t="str">
        <f t="shared" si="11"/>
        <v>BilbaoFarmaceuticaETC0,75</v>
      </c>
      <c r="D134" s="1" t="s">
        <v>21</v>
      </c>
      <c r="E134" s="1" t="s">
        <v>15</v>
      </c>
      <c r="F134" s="1">
        <v>0.75</v>
      </c>
      <c r="G134" s="1">
        <f t="shared" si="12"/>
        <v>120</v>
      </c>
      <c r="H134" s="1">
        <f t="shared" si="13"/>
        <v>60</v>
      </c>
      <c r="I134" s="1" t="str">
        <f t="shared" si="14"/>
        <v>ETC</v>
      </c>
      <c r="J134" s="1" t="s">
        <v>9</v>
      </c>
      <c r="K134" s="2">
        <v>7806.9149878895214</v>
      </c>
      <c r="L134" s="2">
        <v>444.47565122788808</v>
      </c>
      <c r="M134" s="3">
        <v>0.57743213443976904</v>
      </c>
      <c r="N134" s="2">
        <v>369.80101505887791</v>
      </c>
    </row>
    <row r="135" spans="1:14" x14ac:dyDescent="0.3">
      <c r="A135" s="1">
        <v>133</v>
      </c>
      <c r="B135" s="1" t="str">
        <f t="shared" si="10"/>
        <v>BilbaoLacteosETC0,3</v>
      </c>
      <c r="C135" s="1" t="str">
        <f t="shared" si="11"/>
        <v>BilbaoLacteosETC0,3</v>
      </c>
      <c r="D135" s="1" t="s">
        <v>21</v>
      </c>
      <c r="E135" s="1" t="s">
        <v>14</v>
      </c>
      <c r="F135" s="1">
        <v>0.3</v>
      </c>
      <c r="G135" s="1">
        <f t="shared" si="12"/>
        <v>120</v>
      </c>
      <c r="H135" s="1">
        <f t="shared" si="13"/>
        <v>60</v>
      </c>
      <c r="I135" s="1" t="str">
        <f t="shared" si="14"/>
        <v>ETC</v>
      </c>
      <c r="J135" s="1" t="s">
        <v>9</v>
      </c>
      <c r="K135" s="2">
        <v>3056.9370085522901</v>
      </c>
      <c r="L135" s="2">
        <v>491.26990104435356</v>
      </c>
      <c r="M135" s="3">
        <v>0.26786750557439487</v>
      </c>
      <c r="N135" s="2">
        <v>438.17078120951419</v>
      </c>
    </row>
    <row r="136" spans="1:14" x14ac:dyDescent="0.3">
      <c r="A136" s="1">
        <v>134</v>
      </c>
      <c r="B136" s="1" t="str">
        <f t="shared" si="10"/>
        <v>BilbaoLacteosETC0,45</v>
      </c>
      <c r="C136" s="1" t="str">
        <f t="shared" si="11"/>
        <v>BilbaoLacteosETC0,45</v>
      </c>
      <c r="D136" s="1" t="s">
        <v>21</v>
      </c>
      <c r="E136" s="1" t="s">
        <v>14</v>
      </c>
      <c r="F136" s="1">
        <v>0.45</v>
      </c>
      <c r="G136" s="1">
        <f t="shared" si="12"/>
        <v>120</v>
      </c>
      <c r="H136" s="1">
        <f t="shared" si="13"/>
        <v>60</v>
      </c>
      <c r="I136" s="1" t="str">
        <f t="shared" si="14"/>
        <v>ETC</v>
      </c>
      <c r="J136" s="1" t="s">
        <v>9</v>
      </c>
      <c r="K136" s="2">
        <v>4617.7169853382711</v>
      </c>
      <c r="L136" s="2">
        <v>474.0955160389675</v>
      </c>
      <c r="M136" s="3">
        <v>0.38951373150055274</v>
      </c>
      <c r="N136" s="2">
        <v>421.79879098489585</v>
      </c>
    </row>
    <row r="137" spans="1:14" x14ac:dyDescent="0.3">
      <c r="A137" s="1">
        <v>135</v>
      </c>
      <c r="B137" s="1" t="str">
        <f t="shared" si="10"/>
        <v>BilbaoLacteosETC0,6</v>
      </c>
      <c r="C137" s="1" t="str">
        <f t="shared" si="11"/>
        <v>BilbaoLacteosETC0,6</v>
      </c>
      <c r="D137" s="1" t="s">
        <v>21</v>
      </c>
      <c r="E137" s="1" t="s">
        <v>14</v>
      </c>
      <c r="F137" s="1">
        <v>0.6</v>
      </c>
      <c r="G137" s="1">
        <f t="shared" si="12"/>
        <v>120</v>
      </c>
      <c r="H137" s="1">
        <f t="shared" si="13"/>
        <v>60</v>
      </c>
      <c r="I137" s="1" t="str">
        <f t="shared" si="14"/>
        <v>ETC</v>
      </c>
      <c r="J137" s="1" t="s">
        <v>9</v>
      </c>
      <c r="K137" s="2">
        <v>6200.8349284314691</v>
      </c>
      <c r="L137" s="2">
        <v>454.9479501014323</v>
      </c>
      <c r="M137" s="3">
        <v>0.49881141024267511</v>
      </c>
      <c r="N137" s="2">
        <v>402.25002453375896</v>
      </c>
    </row>
    <row r="138" spans="1:14" x14ac:dyDescent="0.3">
      <c r="A138" s="1">
        <v>136</v>
      </c>
      <c r="B138" s="1" t="str">
        <f t="shared" si="10"/>
        <v>BilbaoLacteosETC0,75</v>
      </c>
      <c r="C138" s="1" t="str">
        <f t="shared" si="11"/>
        <v>BilbaoLacteosETC0,75</v>
      </c>
      <c r="D138" s="1" t="s">
        <v>21</v>
      </c>
      <c r="E138" s="1" t="s">
        <v>14</v>
      </c>
      <c r="F138" s="1">
        <v>0.75</v>
      </c>
      <c r="G138" s="1">
        <f t="shared" si="12"/>
        <v>120</v>
      </c>
      <c r="H138" s="1">
        <f t="shared" si="13"/>
        <v>60</v>
      </c>
      <c r="I138" s="1" t="str">
        <f t="shared" si="14"/>
        <v>ETC</v>
      </c>
      <c r="J138" s="1" t="s">
        <v>9</v>
      </c>
      <c r="K138" s="2">
        <v>7806.9149878895214</v>
      </c>
      <c r="L138" s="2">
        <v>431.61007202021051</v>
      </c>
      <c r="M138" s="3">
        <v>0.59082441656332785</v>
      </c>
      <c r="N138" s="2">
        <v>378.43287285578828</v>
      </c>
    </row>
    <row r="139" spans="1:14" x14ac:dyDescent="0.3">
      <c r="A139" s="1">
        <v>137</v>
      </c>
      <c r="B139" s="1" t="str">
        <f t="shared" si="10"/>
        <v>BilbaoSecadoETC0,3</v>
      </c>
      <c r="C139" s="1" t="str">
        <f t="shared" si="11"/>
        <v>BilbaoSecadoETC0,3</v>
      </c>
      <c r="D139" s="1" t="s">
        <v>21</v>
      </c>
      <c r="E139" s="1" t="s">
        <v>11</v>
      </c>
      <c r="F139" s="1">
        <v>0.3</v>
      </c>
      <c r="G139" s="1">
        <f t="shared" si="12"/>
        <v>60</v>
      </c>
      <c r="H139" s="1">
        <f t="shared" si="13"/>
        <v>15</v>
      </c>
      <c r="I139" s="1" t="str">
        <f t="shared" si="14"/>
        <v>ETC</v>
      </c>
      <c r="J139" s="1" t="s">
        <v>9</v>
      </c>
      <c r="K139" s="2">
        <v>2646.93813208245</v>
      </c>
      <c r="L139" s="2">
        <v>654.22492277165259</v>
      </c>
      <c r="M139" s="3">
        <v>0.33711505545613013</v>
      </c>
      <c r="N139" s="2">
        <v>636.80191706988808</v>
      </c>
    </row>
    <row r="140" spans="1:14" x14ac:dyDescent="0.3">
      <c r="A140" s="1">
        <v>138</v>
      </c>
      <c r="B140" s="1" t="str">
        <f t="shared" si="10"/>
        <v>BilbaoSecadoETC0,45</v>
      </c>
      <c r="C140" s="1" t="str">
        <f t="shared" si="11"/>
        <v>BilbaoSecadoETC0,45</v>
      </c>
      <c r="D140" s="1" t="s">
        <v>21</v>
      </c>
      <c r="E140" s="1" t="s">
        <v>11</v>
      </c>
      <c r="F140" s="1">
        <v>0.45</v>
      </c>
      <c r="G140" s="1">
        <f t="shared" si="12"/>
        <v>60</v>
      </c>
      <c r="H140" s="1">
        <f t="shared" si="13"/>
        <v>15</v>
      </c>
      <c r="I140" s="1" t="str">
        <f t="shared" si="14"/>
        <v>ETC</v>
      </c>
      <c r="J140" s="1" t="s">
        <v>9</v>
      </c>
      <c r="K140" s="2">
        <v>3992.2159169535394</v>
      </c>
      <c r="L140" s="2">
        <v>636.86204356179178</v>
      </c>
      <c r="M140" s="3">
        <v>0.48987016394781235</v>
      </c>
      <c r="N140" s="2">
        <v>613.53165011661417</v>
      </c>
    </row>
    <row r="141" spans="1:14" x14ac:dyDescent="0.3">
      <c r="A141" s="1">
        <v>139</v>
      </c>
      <c r="B141" s="1" t="str">
        <f t="shared" si="10"/>
        <v>BilbaoSecadoETC0,6</v>
      </c>
      <c r="C141" s="1" t="str">
        <f t="shared" si="11"/>
        <v>BilbaoSecadoETC0,6</v>
      </c>
      <c r="D141" s="1" t="s">
        <v>21</v>
      </c>
      <c r="E141" s="1" t="s">
        <v>11</v>
      </c>
      <c r="F141" s="1">
        <v>0.6</v>
      </c>
      <c r="G141" s="1">
        <f t="shared" si="12"/>
        <v>60</v>
      </c>
      <c r="H141" s="1">
        <f t="shared" si="13"/>
        <v>15</v>
      </c>
      <c r="I141" s="1" t="str">
        <f t="shared" si="14"/>
        <v>ETC</v>
      </c>
      <c r="J141" s="1" t="s">
        <v>9</v>
      </c>
      <c r="K141" s="2">
        <v>5352.4922816445896</v>
      </c>
      <c r="L141" s="2">
        <v>614.86506827312166</v>
      </c>
      <c r="M141" s="3">
        <v>0.62738264115543985</v>
      </c>
      <c r="N141" s="2">
        <v>586.06589976424004</v>
      </c>
    </row>
    <row r="142" spans="1:14" x14ac:dyDescent="0.3">
      <c r="A142" s="1">
        <v>140</v>
      </c>
      <c r="B142" s="1" t="str">
        <f t="shared" si="10"/>
        <v>BilbaoSecadoETC0,75</v>
      </c>
      <c r="C142" s="1" t="str">
        <f t="shared" si="11"/>
        <v>BilbaoSecadoETC0,75</v>
      </c>
      <c r="D142" s="1" t="s">
        <v>21</v>
      </c>
      <c r="E142" s="1" t="s">
        <v>11</v>
      </c>
      <c r="F142" s="1">
        <v>0.75</v>
      </c>
      <c r="G142" s="1">
        <f t="shared" si="12"/>
        <v>60</v>
      </c>
      <c r="H142" s="1">
        <f t="shared" si="13"/>
        <v>15</v>
      </c>
      <c r="I142" s="1" t="str">
        <f t="shared" si="14"/>
        <v>ETC</v>
      </c>
      <c r="J142" s="1" t="s">
        <v>9</v>
      </c>
      <c r="K142" s="2">
        <v>6728.1242922742686</v>
      </c>
      <c r="L142" s="2">
        <v>585.32775071614356</v>
      </c>
      <c r="M142" s="3">
        <v>0.74089428615292863</v>
      </c>
      <c r="N142" s="2">
        <v>550.59497550126355</v>
      </c>
    </row>
    <row r="143" spans="1:14" x14ac:dyDescent="0.3">
      <c r="A143" s="1">
        <v>141</v>
      </c>
      <c r="B143" s="1" t="str">
        <f t="shared" si="10"/>
        <v>BilbaoBebidasPLANO10,3</v>
      </c>
      <c r="C143" s="1" t="str">
        <f t="shared" si="11"/>
        <v>BilbaoBebidasFPC10,3</v>
      </c>
      <c r="D143" s="1" t="s">
        <v>21</v>
      </c>
      <c r="E143" s="1" t="s">
        <v>13</v>
      </c>
      <c r="F143" s="1">
        <v>0.3</v>
      </c>
      <c r="G143" s="1">
        <f t="shared" si="12"/>
        <v>60</v>
      </c>
      <c r="H143" s="1">
        <f t="shared" si="13"/>
        <v>15</v>
      </c>
      <c r="I143" s="1" t="str">
        <f t="shared" si="14"/>
        <v>FPC1</v>
      </c>
      <c r="J143" s="1" t="s">
        <v>17</v>
      </c>
      <c r="K143" s="2">
        <v>2405.9214815737696</v>
      </c>
      <c r="L143" s="2">
        <v>680.05961542025659</v>
      </c>
      <c r="M143" s="3">
        <v>0.31944574827528682</v>
      </c>
      <c r="N143" s="2">
        <v>663.85390823448733</v>
      </c>
    </row>
    <row r="144" spans="1:14" x14ac:dyDescent="0.3">
      <c r="A144" s="1">
        <v>142</v>
      </c>
      <c r="B144" s="1" t="str">
        <f t="shared" si="10"/>
        <v>BilbaoBebidasPLANO10,45</v>
      </c>
      <c r="C144" s="1" t="str">
        <f t="shared" si="11"/>
        <v>BilbaoBebidasFPC10,45</v>
      </c>
      <c r="D144" s="1" t="s">
        <v>21</v>
      </c>
      <c r="E144" s="1" t="s">
        <v>13</v>
      </c>
      <c r="F144" s="1">
        <v>0.45</v>
      </c>
      <c r="G144" s="1">
        <f t="shared" si="12"/>
        <v>60</v>
      </c>
      <c r="H144" s="1">
        <f t="shared" si="13"/>
        <v>15</v>
      </c>
      <c r="I144" s="1" t="str">
        <f t="shared" si="14"/>
        <v>FPC1</v>
      </c>
      <c r="J144" s="1" t="s">
        <v>17</v>
      </c>
      <c r="K144" s="2">
        <v>3686.4925224366093</v>
      </c>
      <c r="L144" s="2">
        <v>645.18372966323238</v>
      </c>
      <c r="M144" s="3">
        <v>0.46002698902745126</v>
      </c>
      <c r="N144" s="2">
        <v>623.9169847002313</v>
      </c>
    </row>
    <row r="145" spans="1:14" x14ac:dyDescent="0.3">
      <c r="A145" s="1">
        <v>143</v>
      </c>
      <c r="B145" s="1" t="str">
        <f t="shared" si="10"/>
        <v>BilbaoBebidasPLANO10,6</v>
      </c>
      <c r="C145" s="1" t="str">
        <f t="shared" si="11"/>
        <v>BilbaoBebidasFPC10,6</v>
      </c>
      <c r="D145" s="1" t="s">
        <v>21</v>
      </c>
      <c r="E145" s="1" t="s">
        <v>13</v>
      </c>
      <c r="F145" s="1">
        <v>0.6</v>
      </c>
      <c r="G145" s="1">
        <f t="shared" si="12"/>
        <v>60</v>
      </c>
      <c r="H145" s="1">
        <f t="shared" si="13"/>
        <v>15</v>
      </c>
      <c r="I145" s="1" t="str">
        <f t="shared" si="14"/>
        <v>FPC1</v>
      </c>
      <c r="J145" s="1" t="s">
        <v>17</v>
      </c>
      <c r="K145" s="2">
        <v>5023.5580835596493</v>
      </c>
      <c r="L145" s="2">
        <v>602.35438319112893</v>
      </c>
      <c r="M145" s="3">
        <v>0.57949133932918184</v>
      </c>
      <c r="N145" s="2">
        <v>576.7563379509279</v>
      </c>
    </row>
    <row r="146" spans="1:14" x14ac:dyDescent="0.3">
      <c r="A146" s="1">
        <v>144</v>
      </c>
      <c r="B146" s="1" t="str">
        <f t="shared" si="10"/>
        <v>BilbaoBebidasPLANO10,75</v>
      </c>
      <c r="C146" s="1" t="str">
        <f t="shared" si="11"/>
        <v>BilbaoBebidasFPC10,75</v>
      </c>
      <c r="D146" s="1" t="s">
        <v>21</v>
      </c>
      <c r="E146" s="1" t="s">
        <v>13</v>
      </c>
      <c r="F146" s="1">
        <v>0.75</v>
      </c>
      <c r="G146" s="1">
        <f t="shared" si="12"/>
        <v>60</v>
      </c>
      <c r="H146" s="1">
        <f t="shared" si="13"/>
        <v>15</v>
      </c>
      <c r="I146" s="1" t="str">
        <f t="shared" si="14"/>
        <v>FPC1</v>
      </c>
      <c r="J146" s="1" t="s">
        <v>17</v>
      </c>
      <c r="K146" s="2">
        <v>6421.1023448199912</v>
      </c>
      <c r="L146" s="2">
        <v>557.41034000692252</v>
      </c>
      <c r="M146" s="3">
        <v>0.67831551518273647</v>
      </c>
      <c r="N146" s="2">
        <v>528.17642505563947</v>
      </c>
    </row>
    <row r="147" spans="1:14" x14ac:dyDescent="0.3">
      <c r="A147" s="1">
        <v>145</v>
      </c>
      <c r="B147" s="1" t="str">
        <f t="shared" si="10"/>
        <v>BilbaoCarnicaPLANO10,3</v>
      </c>
      <c r="C147" s="1" t="str">
        <f t="shared" si="11"/>
        <v>BilbaoCarnicaFPC10,3</v>
      </c>
      <c r="D147" s="1" t="s">
        <v>21</v>
      </c>
      <c r="E147" s="1" t="s">
        <v>12</v>
      </c>
      <c r="F147" s="1">
        <v>0.3</v>
      </c>
      <c r="G147" s="1">
        <f t="shared" si="12"/>
        <v>120</v>
      </c>
      <c r="H147" s="1">
        <f t="shared" si="13"/>
        <v>60</v>
      </c>
      <c r="I147" s="1" t="str">
        <f t="shared" si="14"/>
        <v>FPC1</v>
      </c>
      <c r="J147" s="1" t="s">
        <v>17</v>
      </c>
      <c r="K147" s="2">
        <v>4825.8297704003699</v>
      </c>
      <c r="L147" s="2">
        <v>262.41168685362635</v>
      </c>
      <c r="M147" s="3">
        <v>0.20531782554516742</v>
      </c>
      <c r="N147" s="2">
        <v>212.72047868069961</v>
      </c>
    </row>
    <row r="148" spans="1:14" x14ac:dyDescent="0.3">
      <c r="A148" s="1">
        <v>146</v>
      </c>
      <c r="B148" s="1" t="str">
        <f t="shared" si="10"/>
        <v>BilbaoCarnicaPLANO10,45</v>
      </c>
      <c r="C148" s="1" t="str">
        <f t="shared" si="11"/>
        <v>BilbaoCarnicaFPC10,45</v>
      </c>
      <c r="D148" s="1" t="s">
        <v>21</v>
      </c>
      <c r="E148" s="1" t="s">
        <v>12</v>
      </c>
      <c r="F148" s="1">
        <v>0.45</v>
      </c>
      <c r="G148" s="1">
        <f t="shared" si="12"/>
        <v>120</v>
      </c>
      <c r="H148" s="1">
        <f t="shared" si="13"/>
        <v>60</v>
      </c>
      <c r="I148" s="1" t="str">
        <f t="shared" si="14"/>
        <v>FPC1</v>
      </c>
      <c r="J148" s="1" t="s">
        <v>17</v>
      </c>
      <c r="K148" s="2">
        <v>7436.6029597679726</v>
      </c>
      <c r="L148" s="2">
        <v>244.81563189338399</v>
      </c>
      <c r="M148" s="3">
        <v>0.2918039632473865</v>
      </c>
      <c r="N148" s="2">
        <v>196.18745558465707</v>
      </c>
    </row>
    <row r="149" spans="1:14" x14ac:dyDescent="0.3">
      <c r="A149" s="1">
        <v>147</v>
      </c>
      <c r="B149" s="1" t="str">
        <f t="shared" si="10"/>
        <v>BilbaoCarnicaPLANO10,6</v>
      </c>
      <c r="C149" s="1" t="str">
        <f t="shared" si="11"/>
        <v>BilbaoCarnicaFPC10,6</v>
      </c>
      <c r="D149" s="1" t="s">
        <v>21</v>
      </c>
      <c r="E149" s="1" t="s">
        <v>12</v>
      </c>
      <c r="F149" s="1">
        <v>0.6</v>
      </c>
      <c r="G149" s="1">
        <f t="shared" si="12"/>
        <v>120</v>
      </c>
      <c r="H149" s="1">
        <f t="shared" si="13"/>
        <v>60</v>
      </c>
      <c r="I149" s="1" t="str">
        <f t="shared" si="14"/>
        <v>FPC1</v>
      </c>
      <c r="J149" s="1" t="s">
        <v>17</v>
      </c>
      <c r="K149" s="2">
        <v>9915.4706130239683</v>
      </c>
      <c r="L149" s="2">
        <v>228.73313021942272</v>
      </c>
      <c r="M149" s="3">
        <v>0.35753794080827728</v>
      </c>
      <c r="N149" s="2">
        <v>180.28659918170726</v>
      </c>
    </row>
    <row r="150" spans="1:14" x14ac:dyDescent="0.3">
      <c r="A150" s="1">
        <v>148</v>
      </c>
      <c r="B150" s="1" t="str">
        <f t="shared" si="10"/>
        <v>BilbaoCarnicaPLANO10,75</v>
      </c>
      <c r="C150" s="1" t="str">
        <f t="shared" si="11"/>
        <v>BilbaoCarnicaFPC10,75</v>
      </c>
      <c r="D150" s="1" t="s">
        <v>21</v>
      </c>
      <c r="E150" s="1" t="s">
        <v>12</v>
      </c>
      <c r="F150" s="1">
        <v>0.75</v>
      </c>
      <c r="G150" s="1">
        <f t="shared" si="12"/>
        <v>120</v>
      </c>
      <c r="H150" s="1">
        <f t="shared" si="13"/>
        <v>60</v>
      </c>
      <c r="I150" s="1" t="str">
        <f t="shared" si="14"/>
        <v>FPC1</v>
      </c>
      <c r="J150" s="1" t="s">
        <v>17</v>
      </c>
      <c r="K150" s="2">
        <v>12394.338266279899</v>
      </c>
      <c r="L150" s="2">
        <v>214.02172736367157</v>
      </c>
      <c r="M150" s="3">
        <v>0.4107772190123356</v>
      </c>
      <c r="N150" s="2">
        <v>165.70577694693529</v>
      </c>
    </row>
    <row r="151" spans="1:14" x14ac:dyDescent="0.3">
      <c r="A151" s="1">
        <v>149</v>
      </c>
      <c r="B151" s="1" t="str">
        <f t="shared" si="10"/>
        <v>BilbaoFarmaceuticaPLANO10,3</v>
      </c>
      <c r="C151" s="1" t="str">
        <f t="shared" si="11"/>
        <v>BilbaoFarmaceuticaFPC10,3</v>
      </c>
      <c r="D151" s="1" t="s">
        <v>21</v>
      </c>
      <c r="E151" s="1" t="s">
        <v>15</v>
      </c>
      <c r="F151" s="1">
        <v>0.3</v>
      </c>
      <c r="G151" s="1">
        <f t="shared" si="12"/>
        <v>120</v>
      </c>
      <c r="H151" s="1">
        <f t="shared" si="13"/>
        <v>60</v>
      </c>
      <c r="I151" s="1" t="str">
        <f t="shared" si="14"/>
        <v>FPC1</v>
      </c>
      <c r="J151" s="1" t="s">
        <v>17</v>
      </c>
      <c r="K151" s="2">
        <v>4825.8297704003699</v>
      </c>
      <c r="L151" s="2">
        <v>262.48036299788367</v>
      </c>
      <c r="M151" s="3">
        <v>0.20540332695757071</v>
      </c>
      <c r="N151" s="2">
        <v>212.80512142056745</v>
      </c>
    </row>
    <row r="152" spans="1:14" x14ac:dyDescent="0.3">
      <c r="A152" s="1">
        <v>150</v>
      </c>
      <c r="B152" s="1" t="str">
        <f t="shared" ref="B152:B215" si="15">_xlfn.CONCAT(D152,E152,J152,F152)</f>
        <v>BilbaoFarmaceuticaPLANO10,45</v>
      </c>
      <c r="C152" s="1" t="str">
        <f t="shared" si="11"/>
        <v>BilbaoFarmaceuticaFPC10,45</v>
      </c>
      <c r="D152" s="1" t="s">
        <v>21</v>
      </c>
      <c r="E152" s="1" t="s">
        <v>15</v>
      </c>
      <c r="F152" s="1">
        <v>0.45</v>
      </c>
      <c r="G152" s="1">
        <f t="shared" si="12"/>
        <v>120</v>
      </c>
      <c r="H152" s="1">
        <f t="shared" si="13"/>
        <v>60</v>
      </c>
      <c r="I152" s="1" t="str">
        <f t="shared" si="14"/>
        <v>FPC1</v>
      </c>
      <c r="J152" s="1" t="s">
        <v>17</v>
      </c>
      <c r="K152" s="2">
        <v>7436.6029597679726</v>
      </c>
      <c r="L152" s="2">
        <v>244.86599218652779</v>
      </c>
      <c r="M152" s="3">
        <v>0.29189443937962173</v>
      </c>
      <c r="N152" s="2">
        <v>196.24465038714501</v>
      </c>
    </row>
    <row r="153" spans="1:14" x14ac:dyDescent="0.3">
      <c r="A153" s="1">
        <v>151</v>
      </c>
      <c r="B153" s="1" t="str">
        <f t="shared" si="15"/>
        <v>BilbaoFarmaceuticaPLANO10,6</v>
      </c>
      <c r="C153" s="1" t="str">
        <f t="shared" si="11"/>
        <v>BilbaoFarmaceuticaFPC10,6</v>
      </c>
      <c r="D153" s="1" t="s">
        <v>21</v>
      </c>
      <c r="E153" s="1" t="s">
        <v>15</v>
      </c>
      <c r="F153" s="1">
        <v>0.6</v>
      </c>
      <c r="G153" s="1">
        <f t="shared" si="12"/>
        <v>120</v>
      </c>
      <c r="H153" s="1">
        <f t="shared" si="13"/>
        <v>60</v>
      </c>
      <c r="I153" s="1" t="str">
        <f t="shared" si="14"/>
        <v>FPC1</v>
      </c>
      <c r="J153" s="1" t="s">
        <v>17</v>
      </c>
      <c r="K153" s="2">
        <v>9915.4706130239683</v>
      </c>
      <c r="L153" s="2">
        <v>228.80408742058688</v>
      </c>
      <c r="M153" s="3">
        <v>0.35769035282460493</v>
      </c>
      <c r="N153" s="2">
        <v>180.36011165399657</v>
      </c>
    </row>
    <row r="154" spans="1:14" x14ac:dyDescent="0.3">
      <c r="A154" s="1">
        <v>152</v>
      </c>
      <c r="B154" s="1" t="str">
        <f t="shared" si="15"/>
        <v>BilbaoFarmaceuticaPLANO10,75</v>
      </c>
      <c r="C154" s="1" t="str">
        <f t="shared" si="11"/>
        <v>BilbaoFarmaceuticaFPC10,75</v>
      </c>
      <c r="D154" s="1" t="s">
        <v>21</v>
      </c>
      <c r="E154" s="1" t="s">
        <v>15</v>
      </c>
      <c r="F154" s="1">
        <v>0.75</v>
      </c>
      <c r="G154" s="1">
        <f t="shared" si="12"/>
        <v>120</v>
      </c>
      <c r="H154" s="1">
        <f t="shared" si="13"/>
        <v>60</v>
      </c>
      <c r="I154" s="1" t="str">
        <f t="shared" si="14"/>
        <v>FPC1</v>
      </c>
      <c r="J154" s="1" t="s">
        <v>17</v>
      </c>
      <c r="K154" s="2">
        <v>12394.338266279899</v>
      </c>
      <c r="L154" s="2">
        <v>214.07053352741883</v>
      </c>
      <c r="M154" s="3">
        <v>0.41091766964921034</v>
      </c>
      <c r="N154" s="2">
        <v>165.75936408298659</v>
      </c>
    </row>
    <row r="155" spans="1:14" x14ac:dyDescent="0.3">
      <c r="A155" s="1">
        <v>153</v>
      </c>
      <c r="B155" s="1" t="str">
        <f t="shared" si="15"/>
        <v>BilbaoLacteosPLANO10,3</v>
      </c>
      <c r="C155" s="1" t="str">
        <f t="shared" si="11"/>
        <v>BilbaoLacteosFPC10,3</v>
      </c>
      <c r="D155" s="1" t="s">
        <v>21</v>
      </c>
      <c r="E155" s="1" t="s">
        <v>14</v>
      </c>
      <c r="F155" s="1">
        <v>0.3</v>
      </c>
      <c r="G155" s="1">
        <f t="shared" si="12"/>
        <v>120</v>
      </c>
      <c r="H155" s="1">
        <f t="shared" si="13"/>
        <v>60</v>
      </c>
      <c r="I155" s="1" t="str">
        <f t="shared" si="14"/>
        <v>FPC1</v>
      </c>
      <c r="J155" s="1" t="s">
        <v>17</v>
      </c>
      <c r="K155" s="2">
        <v>4825.8297704003699</v>
      </c>
      <c r="L155" s="2">
        <v>255.07833274642613</v>
      </c>
      <c r="M155" s="3">
        <v>0.21183411019768703</v>
      </c>
      <c r="N155" s="2">
        <v>219.49961596875124</v>
      </c>
    </row>
    <row r="156" spans="1:14" x14ac:dyDescent="0.3">
      <c r="A156" s="1">
        <v>154</v>
      </c>
      <c r="B156" s="1" t="str">
        <f t="shared" si="15"/>
        <v>BilbaoLacteosPLANO10,45</v>
      </c>
      <c r="C156" s="1" t="str">
        <f t="shared" si="11"/>
        <v>BilbaoLacteosFPC10,45</v>
      </c>
      <c r="D156" s="1" t="s">
        <v>21</v>
      </c>
      <c r="E156" s="1" t="s">
        <v>14</v>
      </c>
      <c r="F156" s="1">
        <v>0.45</v>
      </c>
      <c r="G156" s="1">
        <f t="shared" si="12"/>
        <v>120</v>
      </c>
      <c r="H156" s="1">
        <f t="shared" si="13"/>
        <v>60</v>
      </c>
      <c r="I156" s="1" t="str">
        <f t="shared" si="14"/>
        <v>FPC1</v>
      </c>
      <c r="J156" s="1" t="s">
        <v>17</v>
      </c>
      <c r="K156" s="2">
        <v>7436.6029597679726</v>
      </c>
      <c r="L156" s="2">
        <v>236.46925552850357</v>
      </c>
      <c r="M156" s="3">
        <v>0.30020567390185432</v>
      </c>
      <c r="N156" s="2">
        <v>201.86181377340563</v>
      </c>
    </row>
    <row r="157" spans="1:14" x14ac:dyDescent="0.3">
      <c r="A157" s="1">
        <v>155</v>
      </c>
      <c r="B157" s="1" t="str">
        <f t="shared" si="15"/>
        <v>BilbaoLacteosPLANO10,6</v>
      </c>
      <c r="C157" s="1" t="str">
        <f t="shared" si="11"/>
        <v>BilbaoLacteosFPC10,6</v>
      </c>
      <c r="D157" s="1" t="s">
        <v>21</v>
      </c>
      <c r="E157" s="1" t="s">
        <v>14</v>
      </c>
      <c r="F157" s="1">
        <v>0.6</v>
      </c>
      <c r="G157" s="1">
        <f t="shared" si="12"/>
        <v>120</v>
      </c>
      <c r="H157" s="1">
        <f t="shared" si="13"/>
        <v>60</v>
      </c>
      <c r="I157" s="1" t="str">
        <f t="shared" si="14"/>
        <v>FPC1</v>
      </c>
      <c r="J157" s="1" t="s">
        <v>17</v>
      </c>
      <c r="K157" s="2">
        <v>9915.4706130239683</v>
      </c>
      <c r="L157" s="2">
        <v>220.36669523392052</v>
      </c>
      <c r="M157" s="3">
        <v>0.36882966343387158</v>
      </c>
      <c r="N157" s="2">
        <v>186.00404149557303</v>
      </c>
    </row>
    <row r="158" spans="1:14" x14ac:dyDescent="0.3">
      <c r="A158" s="1">
        <v>156</v>
      </c>
      <c r="B158" s="1" t="str">
        <f t="shared" si="15"/>
        <v>BilbaoLacteosPLANO10,75</v>
      </c>
      <c r="C158" s="1" t="str">
        <f t="shared" si="11"/>
        <v>BilbaoLacteosFPC10,75</v>
      </c>
      <c r="D158" s="1" t="s">
        <v>21</v>
      </c>
      <c r="E158" s="1" t="s">
        <v>14</v>
      </c>
      <c r="F158" s="1">
        <v>0.75</v>
      </c>
      <c r="G158" s="1">
        <f t="shared" si="12"/>
        <v>120</v>
      </c>
      <c r="H158" s="1">
        <f t="shared" si="13"/>
        <v>60</v>
      </c>
      <c r="I158" s="1" t="str">
        <f t="shared" si="14"/>
        <v>FPC1</v>
      </c>
      <c r="J158" s="1" t="s">
        <v>17</v>
      </c>
      <c r="K158" s="2">
        <v>12394.338266279899</v>
      </c>
      <c r="L158" s="2">
        <v>205.55921109949492</v>
      </c>
      <c r="M158" s="3">
        <v>0.42460759435892043</v>
      </c>
      <c r="N158" s="2">
        <v>171.30667390505656</v>
      </c>
    </row>
    <row r="159" spans="1:14" x14ac:dyDescent="0.3">
      <c r="A159" s="1">
        <v>157</v>
      </c>
      <c r="B159" s="1" t="str">
        <f t="shared" si="15"/>
        <v>BilbaoSecadoPLANO10,3</v>
      </c>
      <c r="C159" s="1" t="str">
        <f t="shared" si="11"/>
        <v>BilbaoSecadoFPC10,3</v>
      </c>
      <c r="D159" s="1" t="s">
        <v>21</v>
      </c>
      <c r="E159" s="1" t="s">
        <v>11</v>
      </c>
      <c r="F159" s="1">
        <v>0.3</v>
      </c>
      <c r="G159" s="1">
        <f t="shared" si="12"/>
        <v>60</v>
      </c>
      <c r="H159" s="1">
        <f t="shared" si="13"/>
        <v>15</v>
      </c>
      <c r="I159" s="1" t="str">
        <f t="shared" si="14"/>
        <v>FPC1</v>
      </c>
      <c r="J159" s="1" t="s">
        <v>17</v>
      </c>
      <c r="K159" s="2">
        <v>2405.9214815737696</v>
      </c>
      <c r="L159" s="2">
        <v>680.12237185297522</v>
      </c>
      <c r="M159" s="3">
        <v>0.3194599994387422</v>
      </c>
      <c r="N159" s="2">
        <v>663.90362654933381</v>
      </c>
    </row>
    <row r="160" spans="1:14" x14ac:dyDescent="0.3">
      <c r="A160" s="1">
        <v>158</v>
      </c>
      <c r="B160" s="1" t="str">
        <f t="shared" si="15"/>
        <v>BilbaoSecadoPLANO10,45</v>
      </c>
      <c r="C160" s="1" t="str">
        <f t="shared" si="11"/>
        <v>BilbaoSecadoFPC10,45</v>
      </c>
      <c r="D160" s="1" t="s">
        <v>21</v>
      </c>
      <c r="E160" s="1" t="s">
        <v>11</v>
      </c>
      <c r="F160" s="1">
        <v>0.45</v>
      </c>
      <c r="G160" s="1">
        <f t="shared" si="12"/>
        <v>60</v>
      </c>
      <c r="H160" s="1">
        <f t="shared" si="13"/>
        <v>15</v>
      </c>
      <c r="I160" s="1" t="str">
        <f t="shared" si="14"/>
        <v>FPC1</v>
      </c>
      <c r="J160" s="1" t="s">
        <v>17</v>
      </c>
      <c r="K160" s="2">
        <v>3686.4925224366093</v>
      </c>
      <c r="L160" s="2">
        <v>645.2470616443569</v>
      </c>
      <c r="M160" s="3">
        <v>0.46005708131217216</v>
      </c>
      <c r="N160" s="2">
        <v>623.97669112524306</v>
      </c>
    </row>
    <row r="161" spans="1:14" x14ac:dyDescent="0.3">
      <c r="A161" s="1">
        <v>159</v>
      </c>
      <c r="B161" s="1" t="str">
        <f t="shared" si="15"/>
        <v>BilbaoSecadoPLANO10,6</v>
      </c>
      <c r="C161" s="1" t="str">
        <f t="shared" si="11"/>
        <v>BilbaoSecadoFPC10,6</v>
      </c>
      <c r="D161" s="1" t="s">
        <v>21</v>
      </c>
      <c r="E161" s="1" t="s">
        <v>11</v>
      </c>
      <c r="F161" s="1">
        <v>0.6</v>
      </c>
      <c r="G161" s="1">
        <f t="shared" si="12"/>
        <v>60</v>
      </c>
      <c r="H161" s="1">
        <f t="shared" si="13"/>
        <v>15</v>
      </c>
      <c r="I161" s="1" t="str">
        <f t="shared" si="14"/>
        <v>FPC1</v>
      </c>
      <c r="J161" s="1" t="s">
        <v>17</v>
      </c>
      <c r="K161" s="2">
        <v>5023.5580835596493</v>
      </c>
      <c r="L161" s="2">
        <v>602.38657645992555</v>
      </c>
      <c r="M161" s="3">
        <v>0.57949287830923968</v>
      </c>
      <c r="N161" s="2">
        <v>576.77533386786763</v>
      </c>
    </row>
    <row r="162" spans="1:14" x14ac:dyDescent="0.3">
      <c r="A162" s="1">
        <v>160</v>
      </c>
      <c r="B162" s="1" t="str">
        <f t="shared" si="15"/>
        <v>BilbaoSecadoPLANO10,75</v>
      </c>
      <c r="C162" s="1" t="str">
        <f t="shared" si="11"/>
        <v>BilbaoSecadoFPC10,75</v>
      </c>
      <c r="D162" s="1" t="s">
        <v>21</v>
      </c>
      <c r="E162" s="1" t="s">
        <v>11</v>
      </c>
      <c r="F162" s="1">
        <v>0.75</v>
      </c>
      <c r="G162" s="1">
        <f t="shared" si="12"/>
        <v>60</v>
      </c>
      <c r="H162" s="1">
        <f t="shared" si="13"/>
        <v>15</v>
      </c>
      <c r="I162" s="1" t="str">
        <f t="shared" si="14"/>
        <v>FPC1</v>
      </c>
      <c r="J162" s="1" t="s">
        <v>17</v>
      </c>
      <c r="K162" s="2">
        <v>6421.1023448199912</v>
      </c>
      <c r="L162" s="2">
        <v>557.37233647343317</v>
      </c>
      <c r="M162" s="3">
        <v>0.67824354111392704</v>
      </c>
      <c r="N162" s="2">
        <v>528.13637326466983</v>
      </c>
    </row>
    <row r="163" spans="1:14" x14ac:dyDescent="0.3">
      <c r="A163" s="1">
        <v>161</v>
      </c>
      <c r="B163" s="1" t="str">
        <f t="shared" si="15"/>
        <v>BilbaoBebidasPLANO20,3</v>
      </c>
      <c r="C163" s="1" t="str">
        <f t="shared" si="11"/>
        <v>BilbaoBebidasFPC20,3</v>
      </c>
      <c r="D163" s="1" t="s">
        <v>21</v>
      </c>
      <c r="E163" s="1" t="s">
        <v>13</v>
      </c>
      <c r="F163" s="1">
        <v>0.3</v>
      </c>
      <c r="G163" s="1">
        <f t="shared" si="12"/>
        <v>60</v>
      </c>
      <c r="H163" s="1">
        <f t="shared" si="13"/>
        <v>15</v>
      </c>
      <c r="I163" s="1" t="str">
        <f t="shared" si="14"/>
        <v>FPC2</v>
      </c>
      <c r="J163" s="1" t="s">
        <v>18</v>
      </c>
      <c r="K163" s="2">
        <v>2414.6253158936097</v>
      </c>
      <c r="L163" s="2">
        <v>732.84906149633002</v>
      </c>
      <c r="M163" s="3">
        <v>0.34548550930888511</v>
      </c>
      <c r="N163" s="2">
        <v>715.38024136524996</v>
      </c>
    </row>
    <row r="164" spans="1:14" x14ac:dyDescent="0.3">
      <c r="A164" s="1">
        <v>162</v>
      </c>
      <c r="B164" s="1" t="str">
        <f t="shared" si="15"/>
        <v>BilbaoBebidasPLANO20,45</v>
      </c>
      <c r="C164" s="1" t="str">
        <f t="shared" si="11"/>
        <v>BilbaoBebidasFPC20,45</v>
      </c>
      <c r="D164" s="1" t="s">
        <v>21</v>
      </c>
      <c r="E164" s="1" t="s">
        <v>13</v>
      </c>
      <c r="F164" s="1">
        <v>0.45</v>
      </c>
      <c r="G164" s="1">
        <f t="shared" si="12"/>
        <v>60</v>
      </c>
      <c r="H164" s="1">
        <f t="shared" si="13"/>
        <v>15</v>
      </c>
      <c r="I164" s="1" t="str">
        <f t="shared" si="14"/>
        <v>FPC2</v>
      </c>
      <c r="J164" s="1" t="s">
        <v>18</v>
      </c>
      <c r="K164" s="2">
        <v>3696.6042919154793</v>
      </c>
      <c r="L164" s="2">
        <v>694.29678661327011</v>
      </c>
      <c r="M164" s="3">
        <v>0.49625958956920813</v>
      </c>
      <c r="N164" s="2">
        <v>671.2167762639516</v>
      </c>
    </row>
    <row r="165" spans="1:14" x14ac:dyDescent="0.3">
      <c r="A165" s="1">
        <v>163</v>
      </c>
      <c r="B165" s="1" t="str">
        <f t="shared" si="15"/>
        <v>BilbaoBebidasPLANO20,6</v>
      </c>
      <c r="C165" s="1" t="str">
        <f t="shared" si="11"/>
        <v>BilbaoBebidasFPC20,6</v>
      </c>
      <c r="D165" s="1" t="s">
        <v>21</v>
      </c>
      <c r="E165" s="1" t="s">
        <v>13</v>
      </c>
      <c r="F165" s="1">
        <v>0.6</v>
      </c>
      <c r="G165" s="1">
        <f t="shared" si="12"/>
        <v>60</v>
      </c>
      <c r="H165" s="1">
        <f t="shared" si="13"/>
        <v>15</v>
      </c>
      <c r="I165" s="1" t="str">
        <f t="shared" si="14"/>
        <v>FPC2</v>
      </c>
      <c r="J165" s="1" t="s">
        <v>18</v>
      </c>
      <c r="K165" s="2">
        <v>5034.0921422654092</v>
      </c>
      <c r="L165" s="2">
        <v>645.54572325925017</v>
      </c>
      <c r="M165" s="3">
        <v>0.62193206115048238</v>
      </c>
      <c r="N165" s="2">
        <v>617.70147617785835</v>
      </c>
    </row>
    <row r="166" spans="1:14" x14ac:dyDescent="0.3">
      <c r="A166" s="1">
        <v>164</v>
      </c>
      <c r="B166" s="1" t="str">
        <f t="shared" si="15"/>
        <v>BilbaoBebidasPLANO20,75</v>
      </c>
      <c r="C166" s="1" t="str">
        <f t="shared" si="11"/>
        <v>BilbaoBebidasFPC20,75</v>
      </c>
      <c r="D166" s="1" t="s">
        <v>21</v>
      </c>
      <c r="E166" s="1" t="s">
        <v>13</v>
      </c>
      <c r="F166" s="1">
        <v>0.75</v>
      </c>
      <c r="G166" s="1">
        <f t="shared" si="12"/>
        <v>60</v>
      </c>
      <c r="H166" s="1">
        <f t="shared" si="13"/>
        <v>15</v>
      </c>
      <c r="I166" s="1" t="str">
        <f t="shared" si="14"/>
        <v>FPC2</v>
      </c>
      <c r="J166" s="1" t="s">
        <v>18</v>
      </c>
      <c r="K166" s="2">
        <v>6431.9801590163197</v>
      </c>
      <c r="L166" s="2">
        <v>592.17650769040085</v>
      </c>
      <c r="M166" s="3">
        <v>0.72063511633793464</v>
      </c>
      <c r="N166" s="2">
        <v>560.17997429522825</v>
      </c>
    </row>
    <row r="167" spans="1:14" x14ac:dyDescent="0.3">
      <c r="A167" s="1">
        <v>165</v>
      </c>
      <c r="B167" s="1" t="str">
        <f t="shared" si="15"/>
        <v>BilbaoCarnicaPLANO20,3</v>
      </c>
      <c r="C167" s="1" t="str">
        <f t="shared" si="11"/>
        <v>BilbaoCarnicaFPC20,3</v>
      </c>
      <c r="D167" s="1" t="s">
        <v>21</v>
      </c>
      <c r="E167" s="1" t="s">
        <v>12</v>
      </c>
      <c r="F167" s="1">
        <v>0.3</v>
      </c>
      <c r="G167" s="1">
        <f t="shared" si="12"/>
        <v>120</v>
      </c>
      <c r="H167" s="1">
        <f t="shared" si="13"/>
        <v>60</v>
      </c>
      <c r="I167" s="1" t="str">
        <f t="shared" si="14"/>
        <v>FPC2</v>
      </c>
      <c r="J167" s="1" t="s">
        <v>18</v>
      </c>
      <c r="K167" s="2">
        <v>5339.7557542063205</v>
      </c>
      <c r="L167" s="2">
        <v>274.40528258222969</v>
      </c>
      <c r="M167" s="3">
        <v>0.23947987193544759</v>
      </c>
      <c r="N167" s="2">
        <v>224.23441530912655</v>
      </c>
    </row>
    <row r="168" spans="1:14" x14ac:dyDescent="0.3">
      <c r="A168" s="1">
        <v>166</v>
      </c>
      <c r="B168" s="1" t="str">
        <f t="shared" si="15"/>
        <v>BilbaoCarnicaPLANO20,45</v>
      </c>
      <c r="C168" s="1" t="str">
        <f t="shared" si="11"/>
        <v>BilbaoCarnicaFPC20,45</v>
      </c>
      <c r="D168" s="1" t="s">
        <v>21</v>
      </c>
      <c r="E168" s="1" t="s">
        <v>12</v>
      </c>
      <c r="F168" s="1">
        <v>0.45</v>
      </c>
      <c r="G168" s="1">
        <f t="shared" si="12"/>
        <v>120</v>
      </c>
      <c r="H168" s="1">
        <f t="shared" si="13"/>
        <v>60</v>
      </c>
      <c r="I168" s="1" t="str">
        <f t="shared" si="14"/>
        <v>FPC2</v>
      </c>
      <c r="J168" s="1" t="s">
        <v>18</v>
      </c>
      <c r="K168" s="2">
        <v>8102.4145195268075</v>
      </c>
      <c r="L168" s="2">
        <v>251.822922082144</v>
      </c>
      <c r="M168" s="3">
        <v>0.32830726201339772</v>
      </c>
      <c r="N168" s="2">
        <v>202.59124578317292</v>
      </c>
    </row>
    <row r="169" spans="1:14" x14ac:dyDescent="0.3">
      <c r="A169" s="1">
        <v>167</v>
      </c>
      <c r="B169" s="1" t="str">
        <f t="shared" si="15"/>
        <v>BilbaoCarnicaPLANO20,6</v>
      </c>
      <c r="C169" s="1" t="str">
        <f t="shared" si="11"/>
        <v>BilbaoCarnicaFPC20,6</v>
      </c>
      <c r="D169" s="1" t="s">
        <v>21</v>
      </c>
      <c r="E169" s="1" t="s">
        <v>12</v>
      </c>
      <c r="F169" s="1">
        <v>0.6</v>
      </c>
      <c r="G169" s="1">
        <f t="shared" si="12"/>
        <v>120</v>
      </c>
      <c r="H169" s="1">
        <f t="shared" si="13"/>
        <v>60</v>
      </c>
      <c r="I169" s="1" t="str">
        <f t="shared" si="14"/>
        <v>FPC2</v>
      </c>
      <c r="J169" s="1" t="s">
        <v>18</v>
      </c>
      <c r="K169" s="2">
        <v>10803.219359369001</v>
      </c>
      <c r="L169" s="2">
        <v>231.5910131663274</v>
      </c>
      <c r="M169" s="3">
        <v>0.39430574968825866</v>
      </c>
      <c r="N169" s="2">
        <v>182.48810403762783</v>
      </c>
    </row>
    <row r="170" spans="1:14" x14ac:dyDescent="0.3">
      <c r="A170" s="1">
        <v>168</v>
      </c>
      <c r="B170" s="1" t="str">
        <f t="shared" si="15"/>
        <v>BilbaoCarnicaPLANO20,75</v>
      </c>
      <c r="C170" s="1" t="str">
        <f t="shared" si="11"/>
        <v>BilbaoCarnicaFPC20,75</v>
      </c>
      <c r="D170" s="1" t="s">
        <v>21</v>
      </c>
      <c r="E170" s="1" t="s">
        <v>12</v>
      </c>
      <c r="F170" s="1">
        <v>0.75</v>
      </c>
      <c r="G170" s="1">
        <f t="shared" si="12"/>
        <v>120</v>
      </c>
      <c r="H170" s="1">
        <f t="shared" si="13"/>
        <v>60</v>
      </c>
      <c r="I170" s="1" t="str">
        <f t="shared" si="14"/>
        <v>FPC2</v>
      </c>
      <c r="J170" s="1" t="s">
        <v>18</v>
      </c>
      <c r="K170" s="2">
        <v>13504.024199211301</v>
      </c>
      <c r="L170" s="2">
        <v>214.48452574593253</v>
      </c>
      <c r="M170" s="3">
        <v>0.44662182913936771</v>
      </c>
      <c r="N170" s="2">
        <v>165.36034969999267</v>
      </c>
    </row>
    <row r="171" spans="1:14" x14ac:dyDescent="0.3">
      <c r="A171" s="1">
        <v>169</v>
      </c>
      <c r="B171" s="1" t="str">
        <f t="shared" si="15"/>
        <v>BilbaoFarmaceuticaPLANO20,3</v>
      </c>
      <c r="C171" s="1" t="str">
        <f t="shared" si="11"/>
        <v>BilbaoFarmaceuticaFPC20,3</v>
      </c>
      <c r="D171" s="1" t="s">
        <v>21</v>
      </c>
      <c r="E171" s="1" t="s">
        <v>15</v>
      </c>
      <c r="F171" s="1">
        <v>0.3</v>
      </c>
      <c r="G171" s="1">
        <f t="shared" si="12"/>
        <v>120</v>
      </c>
      <c r="H171" s="1">
        <f t="shared" si="13"/>
        <v>60</v>
      </c>
      <c r="I171" s="1" t="str">
        <f t="shared" si="14"/>
        <v>FPC2</v>
      </c>
      <c r="J171" s="1" t="s">
        <v>18</v>
      </c>
      <c r="K171" s="2">
        <v>5339.7557542063205</v>
      </c>
      <c r="L171" s="2">
        <v>274.48497867323482</v>
      </c>
      <c r="M171" s="3">
        <v>0.23958507880380858</v>
      </c>
      <c r="N171" s="2">
        <v>224.32876981121288</v>
      </c>
    </row>
    <row r="172" spans="1:14" x14ac:dyDescent="0.3">
      <c r="A172" s="1">
        <v>170</v>
      </c>
      <c r="B172" s="1" t="str">
        <f t="shared" si="15"/>
        <v>BilbaoFarmaceuticaPLANO20,45</v>
      </c>
      <c r="C172" s="1" t="str">
        <f t="shared" si="11"/>
        <v>BilbaoFarmaceuticaFPC20,45</v>
      </c>
      <c r="D172" s="1" t="s">
        <v>21</v>
      </c>
      <c r="E172" s="1" t="s">
        <v>15</v>
      </c>
      <c r="F172" s="1">
        <v>0.45</v>
      </c>
      <c r="G172" s="1">
        <f t="shared" si="12"/>
        <v>120</v>
      </c>
      <c r="H172" s="1">
        <f t="shared" si="13"/>
        <v>60</v>
      </c>
      <c r="I172" s="1" t="str">
        <f t="shared" si="14"/>
        <v>FPC2</v>
      </c>
      <c r="J172" s="1" t="s">
        <v>18</v>
      </c>
      <c r="K172" s="2">
        <v>8102.4145195268075</v>
      </c>
      <c r="L172" s="2">
        <v>251.89143006558632</v>
      </c>
      <c r="M172" s="3">
        <v>0.32843331640219958</v>
      </c>
      <c r="N172" s="2">
        <v>202.66527760445663</v>
      </c>
    </row>
    <row r="173" spans="1:14" x14ac:dyDescent="0.3">
      <c r="A173" s="1">
        <v>171</v>
      </c>
      <c r="B173" s="1" t="str">
        <f t="shared" si="15"/>
        <v>BilbaoFarmaceuticaPLANO20,6</v>
      </c>
      <c r="C173" s="1" t="str">
        <f t="shared" si="11"/>
        <v>BilbaoFarmaceuticaFPC20,6</v>
      </c>
      <c r="D173" s="1" t="s">
        <v>21</v>
      </c>
      <c r="E173" s="1" t="s">
        <v>15</v>
      </c>
      <c r="F173" s="1">
        <v>0.6</v>
      </c>
      <c r="G173" s="1">
        <f t="shared" si="12"/>
        <v>120</v>
      </c>
      <c r="H173" s="1">
        <f t="shared" si="13"/>
        <v>60</v>
      </c>
      <c r="I173" s="1" t="str">
        <f t="shared" si="14"/>
        <v>FPC2</v>
      </c>
      <c r="J173" s="1" t="s">
        <v>18</v>
      </c>
      <c r="K173" s="2">
        <v>10803.219359369001</v>
      </c>
      <c r="L173" s="2">
        <v>231.63815138515679</v>
      </c>
      <c r="M173" s="3">
        <v>0.39443103528729934</v>
      </c>
      <c r="N173" s="2">
        <v>182.54270639619631</v>
      </c>
    </row>
    <row r="174" spans="1:14" x14ac:dyDescent="0.3">
      <c r="A174" s="1">
        <v>172</v>
      </c>
      <c r="B174" s="1" t="str">
        <f t="shared" si="15"/>
        <v>BilbaoFarmaceuticaPLANO20,75</v>
      </c>
      <c r="C174" s="1" t="str">
        <f t="shared" si="11"/>
        <v>BilbaoFarmaceuticaFPC20,75</v>
      </c>
      <c r="D174" s="1" t="s">
        <v>21</v>
      </c>
      <c r="E174" s="1" t="s">
        <v>15</v>
      </c>
      <c r="F174" s="1">
        <v>0.75</v>
      </c>
      <c r="G174" s="1">
        <f t="shared" si="12"/>
        <v>120</v>
      </c>
      <c r="H174" s="1">
        <f t="shared" si="13"/>
        <v>60</v>
      </c>
      <c r="I174" s="1" t="str">
        <f t="shared" si="14"/>
        <v>FPC2</v>
      </c>
      <c r="J174" s="1" t="s">
        <v>18</v>
      </c>
      <c r="K174" s="2">
        <v>13504.024199211301</v>
      </c>
      <c r="L174" s="2">
        <v>214.52734792124855</v>
      </c>
      <c r="M174" s="3">
        <v>0.44675024827695486</v>
      </c>
      <c r="N174" s="2">
        <v>165.40483300305576</v>
      </c>
    </row>
    <row r="175" spans="1:14" x14ac:dyDescent="0.3">
      <c r="A175" s="1">
        <v>173</v>
      </c>
      <c r="B175" s="1" t="str">
        <f t="shared" si="15"/>
        <v>BilbaoLacteosPLANO20,3</v>
      </c>
      <c r="C175" s="1" t="str">
        <f t="shared" si="11"/>
        <v>BilbaoLacteosFPC20,3</v>
      </c>
      <c r="D175" s="1" t="s">
        <v>21</v>
      </c>
      <c r="E175" s="1" t="s">
        <v>14</v>
      </c>
      <c r="F175" s="1">
        <v>0.3</v>
      </c>
      <c r="G175" s="1">
        <f t="shared" si="12"/>
        <v>120</v>
      </c>
      <c r="H175" s="1">
        <f t="shared" si="13"/>
        <v>60</v>
      </c>
      <c r="I175" s="1" t="str">
        <f t="shared" si="14"/>
        <v>FPC2</v>
      </c>
      <c r="J175" s="1" t="s">
        <v>18</v>
      </c>
      <c r="K175" s="2">
        <v>5339.7557542063205</v>
      </c>
      <c r="L175" s="2">
        <v>265.41991507979674</v>
      </c>
      <c r="M175" s="3">
        <v>0.24503111780003067</v>
      </c>
      <c r="N175" s="2">
        <v>229.46144223349287</v>
      </c>
    </row>
    <row r="176" spans="1:14" x14ac:dyDescent="0.3">
      <c r="A176" s="1">
        <v>174</v>
      </c>
      <c r="B176" s="1" t="str">
        <f t="shared" si="15"/>
        <v>BilbaoLacteosPLANO20,45</v>
      </c>
      <c r="C176" s="1" t="str">
        <f t="shared" si="11"/>
        <v>BilbaoLacteosFPC20,45</v>
      </c>
      <c r="D176" s="1" t="s">
        <v>21</v>
      </c>
      <c r="E176" s="1" t="s">
        <v>14</v>
      </c>
      <c r="F176" s="1">
        <v>0.45</v>
      </c>
      <c r="G176" s="1">
        <f t="shared" si="12"/>
        <v>120</v>
      </c>
      <c r="H176" s="1">
        <f t="shared" si="13"/>
        <v>60</v>
      </c>
      <c r="I176" s="1" t="str">
        <f t="shared" si="14"/>
        <v>FPC2</v>
      </c>
      <c r="J176" s="1" t="s">
        <v>18</v>
      </c>
      <c r="K176" s="2">
        <v>8102.4145195268075</v>
      </c>
      <c r="L176" s="2">
        <v>242.22567939672376</v>
      </c>
      <c r="M176" s="3">
        <v>0.33575117442536095</v>
      </c>
      <c r="N176" s="2">
        <v>207.21106967236767</v>
      </c>
    </row>
    <row r="177" spans="1:14" x14ac:dyDescent="0.3">
      <c r="A177" s="1">
        <v>175</v>
      </c>
      <c r="B177" s="1" t="str">
        <f t="shared" si="15"/>
        <v>BilbaoLacteosPLANO20,6</v>
      </c>
      <c r="C177" s="1" t="str">
        <f t="shared" si="11"/>
        <v>BilbaoLacteosFPC20,6</v>
      </c>
      <c r="D177" s="1" t="s">
        <v>21</v>
      </c>
      <c r="E177" s="1" t="s">
        <v>14</v>
      </c>
      <c r="F177" s="1">
        <v>0.6</v>
      </c>
      <c r="G177" s="1">
        <f t="shared" si="12"/>
        <v>120</v>
      </c>
      <c r="H177" s="1">
        <f t="shared" si="13"/>
        <v>60</v>
      </c>
      <c r="I177" s="1" t="str">
        <f t="shared" si="14"/>
        <v>FPC2</v>
      </c>
      <c r="J177" s="1" t="s">
        <v>18</v>
      </c>
      <c r="K177" s="2">
        <v>10803.219359369001</v>
      </c>
      <c r="L177" s="2">
        <v>221.94073519964053</v>
      </c>
      <c r="M177" s="3">
        <v>0.40433554181391679</v>
      </c>
      <c r="N177" s="2">
        <v>187.15377601257794</v>
      </c>
    </row>
    <row r="178" spans="1:14" x14ac:dyDescent="0.3">
      <c r="A178" s="1">
        <v>176</v>
      </c>
      <c r="B178" s="1" t="str">
        <f t="shared" si="15"/>
        <v>BilbaoLacteosPLANO20,75</v>
      </c>
      <c r="C178" s="1" t="str">
        <f t="shared" si="11"/>
        <v>BilbaoLacteosFPC20,75</v>
      </c>
      <c r="D178" s="1" t="s">
        <v>21</v>
      </c>
      <c r="E178" s="1" t="s">
        <v>14</v>
      </c>
      <c r="F178" s="1">
        <v>0.75</v>
      </c>
      <c r="G178" s="1">
        <f t="shared" si="12"/>
        <v>120</v>
      </c>
      <c r="H178" s="1">
        <f t="shared" si="13"/>
        <v>60</v>
      </c>
      <c r="I178" s="1" t="str">
        <f t="shared" si="14"/>
        <v>FPC2</v>
      </c>
      <c r="J178" s="1" t="s">
        <v>18</v>
      </c>
      <c r="K178" s="2">
        <v>13504.024199211301</v>
      </c>
      <c r="L178" s="2">
        <v>204.82653657380774</v>
      </c>
      <c r="M178" s="3">
        <v>0.45913583437384498</v>
      </c>
      <c r="N178" s="2">
        <v>170.01523975905451</v>
      </c>
    </row>
    <row r="179" spans="1:14" x14ac:dyDescent="0.3">
      <c r="A179" s="1">
        <v>177</v>
      </c>
      <c r="B179" s="1" t="str">
        <f t="shared" si="15"/>
        <v>BilbaoSecadoPLANO20,3</v>
      </c>
      <c r="C179" s="1" t="str">
        <f t="shared" si="11"/>
        <v>BilbaoSecadoFPC20,3</v>
      </c>
      <c r="D179" s="1" t="s">
        <v>21</v>
      </c>
      <c r="E179" s="1" t="s">
        <v>11</v>
      </c>
      <c r="F179" s="1">
        <v>0.3</v>
      </c>
      <c r="G179" s="1">
        <f t="shared" si="12"/>
        <v>60</v>
      </c>
      <c r="H179" s="1">
        <f t="shared" si="13"/>
        <v>15</v>
      </c>
      <c r="I179" s="1" t="str">
        <f t="shared" si="14"/>
        <v>FPC2</v>
      </c>
      <c r="J179" s="1" t="s">
        <v>18</v>
      </c>
      <c r="K179" s="2">
        <v>2414.6253158936097</v>
      </c>
      <c r="L179" s="2">
        <v>732.92086709966031</v>
      </c>
      <c r="M179" s="3">
        <v>0.34550536103297008</v>
      </c>
      <c r="N179" s="2">
        <v>715.44301030003976</v>
      </c>
    </row>
    <row r="180" spans="1:14" x14ac:dyDescent="0.3">
      <c r="A180" s="1">
        <v>178</v>
      </c>
      <c r="B180" s="1" t="str">
        <f t="shared" si="15"/>
        <v>BilbaoSecadoPLANO20,45</v>
      </c>
      <c r="C180" s="1" t="str">
        <f t="shared" si="11"/>
        <v>BilbaoSecadoFPC20,45</v>
      </c>
      <c r="D180" s="1" t="s">
        <v>21</v>
      </c>
      <c r="E180" s="1" t="s">
        <v>11</v>
      </c>
      <c r="F180" s="1">
        <v>0.45</v>
      </c>
      <c r="G180" s="1">
        <f t="shared" si="12"/>
        <v>60</v>
      </c>
      <c r="H180" s="1">
        <f t="shared" si="13"/>
        <v>15</v>
      </c>
      <c r="I180" s="1" t="str">
        <f t="shared" si="14"/>
        <v>FPC2</v>
      </c>
      <c r="J180" s="1" t="s">
        <v>18</v>
      </c>
      <c r="K180" s="2">
        <v>3696.6042919154793</v>
      </c>
      <c r="L180" s="2">
        <v>694.34423286486924</v>
      </c>
      <c r="M180" s="3">
        <v>0.49627666502102458</v>
      </c>
      <c r="N180" s="2">
        <v>671.26019680697118</v>
      </c>
    </row>
    <row r="181" spans="1:14" x14ac:dyDescent="0.3">
      <c r="A181" s="1">
        <v>179</v>
      </c>
      <c r="B181" s="1" t="str">
        <f t="shared" si="15"/>
        <v>BilbaoSecadoPLANO20,6</v>
      </c>
      <c r="C181" s="1" t="str">
        <f t="shared" si="11"/>
        <v>BilbaoSecadoFPC20,6</v>
      </c>
      <c r="D181" s="1" t="s">
        <v>21</v>
      </c>
      <c r="E181" s="1" t="s">
        <v>11</v>
      </c>
      <c r="F181" s="1">
        <v>0.6</v>
      </c>
      <c r="G181" s="1">
        <f t="shared" si="12"/>
        <v>60</v>
      </c>
      <c r="H181" s="1">
        <f t="shared" si="13"/>
        <v>15</v>
      </c>
      <c r="I181" s="1" t="str">
        <f t="shared" si="14"/>
        <v>FPC2</v>
      </c>
      <c r="J181" s="1" t="s">
        <v>18</v>
      </c>
      <c r="K181" s="2">
        <v>5034.0921422654092</v>
      </c>
      <c r="L181" s="2">
        <v>645.55330770322155</v>
      </c>
      <c r="M181" s="3">
        <v>0.62191008631310785</v>
      </c>
      <c r="N181" s="2">
        <v>617.6983541303963</v>
      </c>
    </row>
    <row r="182" spans="1:14" x14ac:dyDescent="0.3">
      <c r="A182" s="1">
        <v>180</v>
      </c>
      <c r="B182" s="1" t="str">
        <f t="shared" si="15"/>
        <v>BilbaoSecadoPLANO20,75</v>
      </c>
      <c r="C182" s="1" t="str">
        <f t="shared" si="11"/>
        <v>BilbaoSecadoFPC20,75</v>
      </c>
      <c r="D182" s="1" t="s">
        <v>21</v>
      </c>
      <c r="E182" s="1" t="s">
        <v>11</v>
      </c>
      <c r="F182" s="1">
        <v>0.75</v>
      </c>
      <c r="G182" s="1">
        <f t="shared" si="12"/>
        <v>60</v>
      </c>
      <c r="H182" s="1">
        <f t="shared" si="13"/>
        <v>15</v>
      </c>
      <c r="I182" s="1" t="str">
        <f t="shared" si="14"/>
        <v>FPC2</v>
      </c>
      <c r="J182" s="1" t="s">
        <v>18</v>
      </c>
      <c r="K182" s="2">
        <v>6431.9801590163197</v>
      </c>
      <c r="L182" s="2">
        <v>592.14836557963463</v>
      </c>
      <c r="M182" s="3">
        <v>0.72056630037516822</v>
      </c>
      <c r="N182" s="2">
        <v>560.14344135676561</v>
      </c>
    </row>
    <row r="183" spans="1:14" x14ac:dyDescent="0.3">
      <c r="A183" s="1">
        <v>181</v>
      </c>
      <c r="B183" s="1" t="str">
        <f t="shared" si="15"/>
        <v>BilbaoBebidasWESSUN0,3</v>
      </c>
      <c r="C183" s="1" t="str">
        <f t="shared" si="11"/>
        <v>BilbaoBebidasWeSSun0,3</v>
      </c>
      <c r="D183" s="1" t="s">
        <v>21</v>
      </c>
      <c r="E183" s="1" t="s">
        <v>13</v>
      </c>
      <c r="F183" s="1">
        <v>0.3</v>
      </c>
      <c r="G183" s="1">
        <f t="shared" si="12"/>
        <v>60</v>
      </c>
      <c r="H183" s="1">
        <f t="shared" si="13"/>
        <v>15</v>
      </c>
      <c r="I183" s="1" t="str">
        <f t="shared" si="14"/>
        <v>WeSSun</v>
      </c>
      <c r="J183" s="1" t="s">
        <v>19</v>
      </c>
      <c r="K183" s="2">
        <v>2285.1882004407494</v>
      </c>
      <c r="L183" s="2">
        <v>701.2123161762471</v>
      </c>
      <c r="M183" s="3">
        <v>0.31273112511232759</v>
      </c>
      <c r="N183" s="2">
        <v>684.23610751241017</v>
      </c>
    </row>
    <row r="184" spans="1:14" x14ac:dyDescent="0.3">
      <c r="A184" s="1">
        <v>182</v>
      </c>
      <c r="B184" s="1" t="str">
        <f t="shared" si="15"/>
        <v>BilbaoBebidasWESSUN0,45</v>
      </c>
      <c r="C184" s="1" t="str">
        <f t="shared" si="11"/>
        <v>BilbaoBebidasWeSSun0,45</v>
      </c>
      <c r="D184" s="1" t="s">
        <v>21</v>
      </c>
      <c r="E184" s="1" t="s">
        <v>13</v>
      </c>
      <c r="F184" s="1">
        <v>0.45</v>
      </c>
      <c r="G184" s="1">
        <f t="shared" si="12"/>
        <v>60</v>
      </c>
      <c r="H184" s="1">
        <f t="shared" si="13"/>
        <v>15</v>
      </c>
      <c r="I184" s="1" t="str">
        <f t="shared" si="14"/>
        <v>WeSSun</v>
      </c>
      <c r="J184" s="1" t="s">
        <v>19</v>
      </c>
      <c r="K184" s="2">
        <v>3438.3076789742486</v>
      </c>
      <c r="L184" s="2">
        <v>693.25865166967526</v>
      </c>
      <c r="M184" s="3">
        <v>0.46096050135868272</v>
      </c>
      <c r="N184" s="2">
        <v>670.31020322531026</v>
      </c>
    </row>
    <row r="185" spans="1:14" x14ac:dyDescent="0.3">
      <c r="A185" s="1">
        <v>183</v>
      </c>
      <c r="B185" s="1" t="str">
        <f t="shared" si="15"/>
        <v>BilbaoBebidasWESSUN0,6</v>
      </c>
      <c r="C185" s="1" t="str">
        <f t="shared" si="11"/>
        <v>BilbaoBebidasWeSSun0,6</v>
      </c>
      <c r="D185" s="1" t="s">
        <v>21</v>
      </c>
      <c r="E185" s="1" t="s">
        <v>13</v>
      </c>
      <c r="F185" s="1">
        <v>0.6</v>
      </c>
      <c r="G185" s="1">
        <f t="shared" si="12"/>
        <v>60</v>
      </c>
      <c r="H185" s="1">
        <f t="shared" si="13"/>
        <v>15</v>
      </c>
      <c r="I185" s="1" t="str">
        <f t="shared" si="14"/>
        <v>WeSSun</v>
      </c>
      <c r="J185" s="1" t="s">
        <v>19</v>
      </c>
      <c r="K185" s="2">
        <v>4598.9966605632499</v>
      </c>
      <c r="L185" s="2">
        <v>681.55454864669275</v>
      </c>
      <c r="M185" s="3">
        <v>0.60024006398182883</v>
      </c>
      <c r="N185" s="2">
        <v>652.5574309444321</v>
      </c>
    </row>
    <row r="186" spans="1:14" x14ac:dyDescent="0.3">
      <c r="A186" s="1">
        <v>184</v>
      </c>
      <c r="B186" s="1" t="str">
        <f t="shared" si="15"/>
        <v>BilbaoBebidasWESSUN0,75</v>
      </c>
      <c r="C186" s="1" t="str">
        <f t="shared" si="11"/>
        <v>BilbaoBebidasWeSSun0,75</v>
      </c>
      <c r="D186" s="1" t="s">
        <v>21</v>
      </c>
      <c r="E186" s="1" t="s">
        <v>13</v>
      </c>
      <c r="F186" s="1">
        <v>0.75</v>
      </c>
      <c r="G186" s="1">
        <f t="shared" si="12"/>
        <v>60</v>
      </c>
      <c r="H186" s="1">
        <f t="shared" si="13"/>
        <v>15</v>
      </c>
      <c r="I186" s="1" t="str">
        <f t="shared" si="14"/>
        <v>WeSSun</v>
      </c>
      <c r="J186" s="1" t="s">
        <v>19</v>
      </c>
      <c r="K186" s="2">
        <v>5767.6817611230499</v>
      </c>
      <c r="L186" s="2">
        <v>657.97112806109612</v>
      </c>
      <c r="M186" s="3">
        <v>0.71743168957982006</v>
      </c>
      <c r="N186" s="2">
        <v>621.92228696115819</v>
      </c>
    </row>
    <row r="187" spans="1:14" x14ac:dyDescent="0.3">
      <c r="A187" s="1">
        <v>185</v>
      </c>
      <c r="B187" s="1" t="str">
        <f t="shared" si="15"/>
        <v>BilbaoCarnicaWESSUN0,3</v>
      </c>
      <c r="C187" s="1" t="str">
        <f t="shared" si="11"/>
        <v>BilbaoCarnicaWeSSun0,3</v>
      </c>
      <c r="D187" s="1" t="s">
        <v>21</v>
      </c>
      <c r="E187" s="1" t="s">
        <v>12</v>
      </c>
      <c r="F187" s="1">
        <v>0.3</v>
      </c>
      <c r="G187" s="1">
        <f t="shared" si="12"/>
        <v>120</v>
      </c>
      <c r="H187" s="1">
        <f t="shared" si="13"/>
        <v>60</v>
      </c>
      <c r="I187" s="1" t="str">
        <f t="shared" si="14"/>
        <v>WeSSun</v>
      </c>
      <c r="J187" s="1" t="s">
        <v>19</v>
      </c>
      <c r="K187" s="2">
        <v>2532.55634487002</v>
      </c>
      <c r="L187" s="2">
        <v>603.62138147125427</v>
      </c>
      <c r="M187" s="3">
        <v>0.26540720436010135</v>
      </c>
      <c r="N187" s="2">
        <v>523.97218691413741</v>
      </c>
    </row>
    <row r="188" spans="1:14" x14ac:dyDescent="0.3">
      <c r="A188" s="1">
        <v>186</v>
      </c>
      <c r="B188" s="1" t="str">
        <f t="shared" si="15"/>
        <v>BilbaoCarnicaWESSUN0,45</v>
      </c>
      <c r="C188" s="1" t="str">
        <f t="shared" si="11"/>
        <v>BilbaoCarnicaWeSSun0,45</v>
      </c>
      <c r="D188" s="1" t="s">
        <v>21</v>
      </c>
      <c r="E188" s="1" t="s">
        <v>12</v>
      </c>
      <c r="F188" s="1">
        <v>0.45</v>
      </c>
      <c r="G188" s="1">
        <f t="shared" si="12"/>
        <v>120</v>
      </c>
      <c r="H188" s="1">
        <f t="shared" si="13"/>
        <v>60</v>
      </c>
      <c r="I188" s="1" t="str">
        <f t="shared" si="14"/>
        <v>WeSSun</v>
      </c>
      <c r="J188" s="1" t="s">
        <v>19</v>
      </c>
      <c r="K188" s="2">
        <v>3821.755496699669</v>
      </c>
      <c r="L188" s="2">
        <v>591.4788497598538</v>
      </c>
      <c r="M188" s="3">
        <v>0.39181580605559196</v>
      </c>
      <c r="N188" s="2">
        <v>512.59421023932759</v>
      </c>
    </row>
    <row r="189" spans="1:14" x14ac:dyDescent="0.3">
      <c r="A189" s="1">
        <v>187</v>
      </c>
      <c r="B189" s="1" t="str">
        <f t="shared" si="15"/>
        <v>BilbaoCarnicaWESSUN0,6</v>
      </c>
      <c r="C189" s="1" t="str">
        <f t="shared" si="11"/>
        <v>BilbaoCarnicaWeSSun0,6</v>
      </c>
      <c r="D189" s="1" t="s">
        <v>21</v>
      </c>
      <c r="E189" s="1" t="s">
        <v>12</v>
      </c>
      <c r="F189" s="1">
        <v>0.6</v>
      </c>
      <c r="G189" s="1">
        <f t="shared" si="12"/>
        <v>120</v>
      </c>
      <c r="H189" s="1">
        <f t="shared" si="13"/>
        <v>60</v>
      </c>
      <c r="I189" s="1" t="str">
        <f t="shared" si="14"/>
        <v>WeSSun</v>
      </c>
      <c r="J189" s="1" t="s">
        <v>19</v>
      </c>
      <c r="K189" s="2">
        <v>5127.1856802147695</v>
      </c>
      <c r="L189" s="2">
        <v>572.58833876026767</v>
      </c>
      <c r="M189" s="3">
        <v>0.50525987713258946</v>
      </c>
      <c r="N189" s="2">
        <v>492.70890343396673</v>
      </c>
    </row>
    <row r="190" spans="1:14" x14ac:dyDescent="0.3">
      <c r="A190" s="1">
        <v>188</v>
      </c>
      <c r="B190" s="1" t="str">
        <f t="shared" si="15"/>
        <v>BilbaoCarnicaWESSUN0,75</v>
      </c>
      <c r="C190" s="1" t="str">
        <f t="shared" si="11"/>
        <v>BilbaoCarnicaWeSSun0,75</v>
      </c>
      <c r="D190" s="1" t="s">
        <v>21</v>
      </c>
      <c r="E190" s="1" t="s">
        <v>12</v>
      </c>
      <c r="F190" s="1">
        <v>0.75</v>
      </c>
      <c r="G190" s="1">
        <f t="shared" si="12"/>
        <v>120</v>
      </c>
      <c r="H190" s="1">
        <f t="shared" si="13"/>
        <v>60</v>
      </c>
      <c r="I190" s="1" t="str">
        <f t="shared" si="14"/>
        <v>WeSSun</v>
      </c>
      <c r="J190" s="1" t="s">
        <v>19</v>
      </c>
      <c r="K190" s="2">
        <v>6449.5952970464414</v>
      </c>
      <c r="L190" s="2">
        <v>547.90612103663466</v>
      </c>
      <c r="M190" s="3">
        <v>0.60224296151376244</v>
      </c>
      <c r="N190" s="2">
        <v>466.86779040950836</v>
      </c>
    </row>
    <row r="191" spans="1:14" x14ac:dyDescent="0.3">
      <c r="A191" s="1">
        <v>189</v>
      </c>
      <c r="B191" s="1" t="str">
        <f t="shared" si="15"/>
        <v>BilbaoFarmaceuticaWESSUN0,3</v>
      </c>
      <c r="C191" s="1" t="str">
        <f t="shared" si="11"/>
        <v>BilbaoFarmaceuticaWeSSun0,3</v>
      </c>
      <c r="D191" s="1" t="s">
        <v>21</v>
      </c>
      <c r="E191" s="1" t="s">
        <v>15</v>
      </c>
      <c r="F191" s="1">
        <v>0.3</v>
      </c>
      <c r="G191" s="1">
        <f t="shared" si="12"/>
        <v>120</v>
      </c>
      <c r="H191" s="1">
        <f t="shared" si="13"/>
        <v>60</v>
      </c>
      <c r="I191" s="1" t="str">
        <f t="shared" si="14"/>
        <v>WeSSun</v>
      </c>
      <c r="J191" s="1" t="s">
        <v>19</v>
      </c>
      <c r="K191" s="2">
        <v>2532.55634487002</v>
      </c>
      <c r="L191" s="2">
        <v>603.66967197083852</v>
      </c>
      <c r="M191" s="3">
        <v>0.26545053784715272</v>
      </c>
      <c r="N191" s="2">
        <v>524.04803078313364</v>
      </c>
    </row>
    <row r="192" spans="1:14" x14ac:dyDescent="0.3">
      <c r="A192" s="1">
        <v>190</v>
      </c>
      <c r="B192" s="1" t="str">
        <f t="shared" si="15"/>
        <v>BilbaoFarmaceuticaWESSUN0,45</v>
      </c>
      <c r="C192" s="1" t="str">
        <f t="shared" si="11"/>
        <v>BilbaoFarmaceuticaWeSSun0,45</v>
      </c>
      <c r="D192" s="1" t="s">
        <v>21</v>
      </c>
      <c r="E192" s="1" t="s">
        <v>15</v>
      </c>
      <c r="F192" s="1">
        <v>0.45</v>
      </c>
      <c r="G192" s="1">
        <f t="shared" si="12"/>
        <v>120</v>
      </c>
      <c r="H192" s="1">
        <f t="shared" si="13"/>
        <v>60</v>
      </c>
      <c r="I192" s="1" t="str">
        <f t="shared" si="14"/>
        <v>WeSSun</v>
      </c>
      <c r="J192" s="1" t="s">
        <v>19</v>
      </c>
      <c r="K192" s="2">
        <v>3821.755496699669</v>
      </c>
      <c r="L192" s="2">
        <v>591.39591793547913</v>
      </c>
      <c r="M192" s="3">
        <v>0.39177767961434368</v>
      </c>
      <c r="N192" s="2">
        <v>512.53483848105077</v>
      </c>
    </row>
    <row r="193" spans="1:14" x14ac:dyDescent="0.3">
      <c r="A193" s="1">
        <v>191</v>
      </c>
      <c r="B193" s="1" t="str">
        <f t="shared" si="15"/>
        <v>BilbaoFarmaceuticaWESSUN0,6</v>
      </c>
      <c r="C193" s="1" t="str">
        <f t="shared" si="11"/>
        <v>BilbaoFarmaceuticaWeSSun0,6</v>
      </c>
      <c r="D193" s="1" t="s">
        <v>21</v>
      </c>
      <c r="E193" s="1" t="s">
        <v>15</v>
      </c>
      <c r="F193" s="1">
        <v>0.6</v>
      </c>
      <c r="G193" s="1">
        <f t="shared" si="12"/>
        <v>120</v>
      </c>
      <c r="H193" s="1">
        <f t="shared" si="13"/>
        <v>60</v>
      </c>
      <c r="I193" s="1" t="str">
        <f t="shared" si="14"/>
        <v>WeSSun</v>
      </c>
      <c r="J193" s="1" t="s">
        <v>19</v>
      </c>
      <c r="K193" s="2">
        <v>5127.1856802147695</v>
      </c>
      <c r="L193" s="2">
        <v>572.52040000653506</v>
      </c>
      <c r="M193" s="3">
        <v>0.50521548377197789</v>
      </c>
      <c r="N193" s="2">
        <v>492.65648827549472</v>
      </c>
    </row>
    <row r="194" spans="1:14" x14ac:dyDescent="0.3">
      <c r="A194" s="1">
        <v>192</v>
      </c>
      <c r="B194" s="1" t="str">
        <f t="shared" si="15"/>
        <v>BilbaoFarmaceuticaWESSUN0,75</v>
      </c>
      <c r="C194" s="1" t="str">
        <f t="shared" si="11"/>
        <v>BilbaoFarmaceuticaWeSSun0,75</v>
      </c>
      <c r="D194" s="1" t="s">
        <v>21</v>
      </c>
      <c r="E194" s="1" t="s">
        <v>15</v>
      </c>
      <c r="F194" s="1">
        <v>0.75</v>
      </c>
      <c r="G194" s="1">
        <f t="shared" si="12"/>
        <v>120</v>
      </c>
      <c r="H194" s="1">
        <f t="shared" si="13"/>
        <v>60</v>
      </c>
      <c r="I194" s="1" t="str">
        <f t="shared" si="14"/>
        <v>WeSSun</v>
      </c>
      <c r="J194" s="1" t="s">
        <v>19</v>
      </c>
      <c r="K194" s="2">
        <v>6449.5952970464414</v>
      </c>
      <c r="L194" s="2">
        <v>547.87447789575049</v>
      </c>
      <c r="M194" s="3">
        <v>0.60222203208643588</v>
      </c>
      <c r="N194" s="2">
        <v>466.84291914271915</v>
      </c>
    </row>
    <row r="195" spans="1:14" x14ac:dyDescent="0.3">
      <c r="A195" s="1">
        <v>193</v>
      </c>
      <c r="B195" s="1" t="str">
        <f t="shared" si="15"/>
        <v>BilbaoLacteosWESSUN0,3</v>
      </c>
      <c r="C195" s="1" t="str">
        <f t="shared" si="11"/>
        <v>BilbaoLacteosWeSSun0,3</v>
      </c>
      <c r="D195" s="1" t="s">
        <v>21</v>
      </c>
      <c r="E195" s="1" t="s">
        <v>14</v>
      </c>
      <c r="F195" s="1">
        <v>0.3</v>
      </c>
      <c r="G195" s="1">
        <f t="shared" si="12"/>
        <v>120</v>
      </c>
      <c r="H195" s="1">
        <f t="shared" si="13"/>
        <v>60</v>
      </c>
      <c r="I195" s="1" t="str">
        <f t="shared" si="14"/>
        <v>WeSSun</v>
      </c>
      <c r="J195" s="1" t="s">
        <v>19</v>
      </c>
      <c r="K195" s="2">
        <v>2532.55634487002</v>
      </c>
      <c r="L195" s="2">
        <v>599.33021136141599</v>
      </c>
      <c r="M195" s="3">
        <v>0.27485536609904776</v>
      </c>
      <c r="N195" s="2">
        <v>542.69394239975088</v>
      </c>
    </row>
    <row r="196" spans="1:14" x14ac:dyDescent="0.3">
      <c r="A196" s="1">
        <v>194</v>
      </c>
      <c r="B196" s="1" t="str">
        <f t="shared" si="15"/>
        <v>BilbaoLacteosWESSUN0,45</v>
      </c>
      <c r="C196" s="1" t="str">
        <f t="shared" ref="C196:C259" si="16">_xlfn.CONCAT(D196,E196,I196,F196)</f>
        <v>BilbaoLacteosWeSSun0,45</v>
      </c>
      <c r="D196" s="1" t="s">
        <v>21</v>
      </c>
      <c r="E196" s="1" t="s">
        <v>14</v>
      </c>
      <c r="F196" s="1">
        <v>0.45</v>
      </c>
      <c r="G196" s="1">
        <f t="shared" ref="G196:G259" si="17">IF(OR($E196="Secado",$E196="Bebidas"),60,120)</f>
        <v>120</v>
      </c>
      <c r="H196" s="1">
        <f t="shared" ref="H196:H259" si="18">IF(OR($E196="Secado",$E196="Bebidas"),15,60)</f>
        <v>60</v>
      </c>
      <c r="I196" s="1" t="str">
        <f t="shared" ref="I196:I259" si="19">IF(J196="AIRE","Aire",IF(J196="ETC","ETC",IF(J196="PLANO1","FPC1",IF(J196="PLANO2","FPC2",IF(J196="WESSUN","WeSSun")))))</f>
        <v>WeSSun</v>
      </c>
      <c r="J196" s="1" t="s">
        <v>19</v>
      </c>
      <c r="K196" s="2">
        <v>3821.755496699669</v>
      </c>
      <c r="L196" s="2">
        <v>582.88105639849243</v>
      </c>
      <c r="M196" s="3">
        <v>0.40273645161652044</v>
      </c>
      <c r="N196" s="2">
        <v>526.9481820538291</v>
      </c>
    </row>
    <row r="197" spans="1:14" x14ac:dyDescent="0.3">
      <c r="A197" s="1">
        <v>195</v>
      </c>
      <c r="B197" s="1" t="str">
        <f t="shared" si="15"/>
        <v>BilbaoLacteosWESSUN0,6</v>
      </c>
      <c r="C197" s="1" t="str">
        <f t="shared" si="16"/>
        <v>BilbaoLacteosWeSSun0,6</v>
      </c>
      <c r="D197" s="1" t="s">
        <v>21</v>
      </c>
      <c r="E197" s="1" t="s">
        <v>14</v>
      </c>
      <c r="F197" s="1">
        <v>0.6</v>
      </c>
      <c r="G197" s="1">
        <f t="shared" si="17"/>
        <v>120</v>
      </c>
      <c r="H197" s="1">
        <f t="shared" si="18"/>
        <v>60</v>
      </c>
      <c r="I197" s="1" t="str">
        <f t="shared" si="19"/>
        <v>WeSSun</v>
      </c>
      <c r="J197" s="1" t="s">
        <v>19</v>
      </c>
      <c r="K197" s="2">
        <v>5127.1856802147695</v>
      </c>
      <c r="L197" s="2">
        <v>561.05765372596954</v>
      </c>
      <c r="M197" s="3">
        <v>0.51731321286199838</v>
      </c>
      <c r="N197" s="2">
        <v>504.52698004785105</v>
      </c>
    </row>
    <row r="198" spans="1:14" x14ac:dyDescent="0.3">
      <c r="A198" s="1">
        <v>196</v>
      </c>
      <c r="B198" s="1" t="str">
        <f t="shared" si="15"/>
        <v>BilbaoLacteosWESSUN0,75</v>
      </c>
      <c r="C198" s="1" t="str">
        <f t="shared" si="16"/>
        <v>BilbaoLacteosWeSSun0,75</v>
      </c>
      <c r="D198" s="1" t="s">
        <v>21</v>
      </c>
      <c r="E198" s="1" t="s">
        <v>14</v>
      </c>
      <c r="F198" s="1">
        <v>0.75</v>
      </c>
      <c r="G198" s="1">
        <f t="shared" si="17"/>
        <v>120</v>
      </c>
      <c r="H198" s="1">
        <f t="shared" si="18"/>
        <v>60</v>
      </c>
      <c r="I198" s="1" t="str">
        <f t="shared" si="19"/>
        <v>WeSSun</v>
      </c>
      <c r="J198" s="1" t="s">
        <v>19</v>
      </c>
      <c r="K198" s="2">
        <v>6449.5952970464414</v>
      </c>
      <c r="L198" s="2">
        <v>531.83817792793366</v>
      </c>
      <c r="M198" s="3">
        <v>0.61191631040894479</v>
      </c>
      <c r="N198" s="2">
        <v>474.4270417503634</v>
      </c>
    </row>
    <row r="199" spans="1:14" x14ac:dyDescent="0.3">
      <c r="A199" s="1">
        <v>197</v>
      </c>
      <c r="B199" s="1" t="str">
        <f t="shared" si="15"/>
        <v>BilbaoSecadoWESSUN0,3</v>
      </c>
      <c r="C199" s="1" t="str">
        <f t="shared" si="16"/>
        <v>BilbaoSecadoWeSSun0,3</v>
      </c>
      <c r="D199" s="1" t="s">
        <v>21</v>
      </c>
      <c r="E199" s="1" t="s">
        <v>11</v>
      </c>
      <c r="F199" s="1">
        <v>0.3</v>
      </c>
      <c r="G199" s="1">
        <f t="shared" si="17"/>
        <v>60</v>
      </c>
      <c r="H199" s="1">
        <f t="shared" si="18"/>
        <v>15</v>
      </c>
      <c r="I199" s="1" t="str">
        <f t="shared" si="19"/>
        <v>WeSSun</v>
      </c>
      <c r="J199" s="1" t="s">
        <v>19</v>
      </c>
      <c r="K199" s="2">
        <v>2285.1882004407494</v>
      </c>
      <c r="L199" s="2">
        <v>701.30247418205033</v>
      </c>
      <c r="M199" s="3">
        <v>0.31275654600746761</v>
      </c>
      <c r="N199" s="2">
        <v>684.31244715855132</v>
      </c>
    </row>
    <row r="200" spans="1:14" x14ac:dyDescent="0.3">
      <c r="A200" s="1">
        <v>198</v>
      </c>
      <c r="B200" s="1" t="str">
        <f t="shared" si="15"/>
        <v>BilbaoSecadoWESSUN0,45</v>
      </c>
      <c r="C200" s="1" t="str">
        <f t="shared" si="16"/>
        <v>BilbaoSecadoWeSSun0,45</v>
      </c>
      <c r="D200" s="1" t="s">
        <v>21</v>
      </c>
      <c r="E200" s="1" t="s">
        <v>11</v>
      </c>
      <c r="F200" s="1">
        <v>0.45</v>
      </c>
      <c r="G200" s="1">
        <f t="shared" si="17"/>
        <v>60</v>
      </c>
      <c r="H200" s="1">
        <f t="shared" si="18"/>
        <v>15</v>
      </c>
      <c r="I200" s="1" t="str">
        <f t="shared" si="19"/>
        <v>WeSSun</v>
      </c>
      <c r="J200" s="1" t="s">
        <v>19</v>
      </c>
      <c r="K200" s="2">
        <v>3438.3076789742486</v>
      </c>
      <c r="L200" s="2">
        <v>693.39636028833445</v>
      </c>
      <c r="M200" s="3">
        <v>0.46103786391676016</v>
      </c>
      <c r="N200" s="2">
        <v>670.4430011096083</v>
      </c>
    </row>
    <row r="201" spans="1:14" x14ac:dyDescent="0.3">
      <c r="A201" s="1">
        <v>199</v>
      </c>
      <c r="B201" s="1" t="str">
        <f t="shared" si="15"/>
        <v>BilbaoSecadoWESSUN0,6</v>
      </c>
      <c r="C201" s="1" t="str">
        <f t="shared" si="16"/>
        <v>BilbaoSecadoWeSSun0,6</v>
      </c>
      <c r="D201" s="1" t="s">
        <v>21</v>
      </c>
      <c r="E201" s="1" t="s">
        <v>11</v>
      </c>
      <c r="F201" s="1">
        <v>0.6</v>
      </c>
      <c r="G201" s="1">
        <f t="shared" si="17"/>
        <v>60</v>
      </c>
      <c r="H201" s="1">
        <f t="shared" si="18"/>
        <v>15</v>
      </c>
      <c r="I201" s="1" t="str">
        <f t="shared" si="19"/>
        <v>WeSSun</v>
      </c>
      <c r="J201" s="1" t="s">
        <v>19</v>
      </c>
      <c r="K201" s="2">
        <v>4598.9966605632499</v>
      </c>
      <c r="L201" s="2">
        <v>681.7697957991337</v>
      </c>
      <c r="M201" s="3">
        <v>0.60039876204427056</v>
      </c>
      <c r="N201" s="2">
        <v>652.74972587871162</v>
      </c>
    </row>
    <row r="202" spans="1:14" x14ac:dyDescent="0.3">
      <c r="A202" s="1">
        <v>200</v>
      </c>
      <c r="B202" s="1" t="str">
        <f t="shared" si="15"/>
        <v>BilbaoSecadoWESSUN0,75</v>
      </c>
      <c r="C202" s="1" t="str">
        <f t="shared" si="16"/>
        <v>BilbaoSecadoWeSSun0,75</v>
      </c>
      <c r="D202" s="1" t="s">
        <v>21</v>
      </c>
      <c r="E202" s="1" t="s">
        <v>11</v>
      </c>
      <c r="F202" s="1">
        <v>0.75</v>
      </c>
      <c r="G202" s="1">
        <f t="shared" si="17"/>
        <v>60</v>
      </c>
      <c r="H202" s="1">
        <f t="shared" si="18"/>
        <v>15</v>
      </c>
      <c r="I202" s="1" t="str">
        <f t="shared" si="19"/>
        <v>WeSSun</v>
      </c>
      <c r="J202" s="1" t="s">
        <v>19</v>
      </c>
      <c r="K202" s="2">
        <v>5767.6817611230499</v>
      </c>
      <c r="L202" s="2">
        <v>658.14517199652119</v>
      </c>
      <c r="M202" s="3">
        <v>0.71755233491452075</v>
      </c>
      <c r="N202" s="2">
        <v>622.04570610907535</v>
      </c>
    </row>
    <row r="203" spans="1:14" x14ac:dyDescent="0.3">
      <c r="A203" s="1">
        <v>201</v>
      </c>
      <c r="B203" s="1" t="str">
        <f t="shared" si="15"/>
        <v>MadridBebidasAIRE0,3</v>
      </c>
      <c r="C203" s="1" t="str">
        <f t="shared" si="16"/>
        <v>MadridBebidasAire0,3</v>
      </c>
      <c r="D203" s="1" t="s">
        <v>22</v>
      </c>
      <c r="E203" s="1" t="s">
        <v>13</v>
      </c>
      <c r="F203" s="1">
        <v>0.3</v>
      </c>
      <c r="G203" s="1">
        <f t="shared" si="17"/>
        <v>60</v>
      </c>
      <c r="H203" s="1">
        <f t="shared" si="18"/>
        <v>15</v>
      </c>
      <c r="I203" s="1" t="str">
        <f t="shared" si="19"/>
        <v>Aire</v>
      </c>
      <c r="J203" s="1" t="s">
        <v>16</v>
      </c>
      <c r="K203" s="2">
        <v>2144.3806946721302</v>
      </c>
      <c r="L203" s="2">
        <v>800.80820074454198</v>
      </c>
      <c r="M203" s="3">
        <v>0.33622427993180332</v>
      </c>
      <c r="N203" s="2">
        <v>783.94218932230899</v>
      </c>
    </row>
    <row r="204" spans="1:14" x14ac:dyDescent="0.3">
      <c r="A204" s="1">
        <v>202</v>
      </c>
      <c r="B204" s="1" t="str">
        <f t="shared" si="15"/>
        <v>MadridBebidasAIRE0,45</v>
      </c>
      <c r="C204" s="1" t="str">
        <f t="shared" si="16"/>
        <v>MadridBebidasAire0,45</v>
      </c>
      <c r="D204" s="1" t="s">
        <v>22</v>
      </c>
      <c r="E204" s="1" t="s">
        <v>13</v>
      </c>
      <c r="F204" s="1">
        <v>0.45</v>
      </c>
      <c r="G204" s="1">
        <f t="shared" si="17"/>
        <v>60</v>
      </c>
      <c r="H204" s="1">
        <f t="shared" si="18"/>
        <v>15</v>
      </c>
      <c r="I204" s="1" t="str">
        <f t="shared" si="19"/>
        <v>Aire</v>
      </c>
      <c r="J204" s="1" t="s">
        <v>16</v>
      </c>
      <c r="K204" s="2">
        <v>3442.1516810664202</v>
      </c>
      <c r="L204" s="2">
        <v>742.27692399747741</v>
      </c>
      <c r="M204" s="3">
        <v>0.49645688716020836</v>
      </c>
      <c r="N204" s="2">
        <v>721.12141009975471</v>
      </c>
    </row>
    <row r="205" spans="1:14" x14ac:dyDescent="0.3">
      <c r="A205" s="1">
        <v>203</v>
      </c>
      <c r="B205" s="1" t="str">
        <f t="shared" si="15"/>
        <v>MadridBebidasAIRE0,6</v>
      </c>
      <c r="C205" s="1" t="str">
        <f t="shared" si="16"/>
        <v>MadridBebidasAire0,6</v>
      </c>
      <c r="D205" s="1" t="s">
        <v>22</v>
      </c>
      <c r="E205" s="1" t="s">
        <v>13</v>
      </c>
      <c r="F205" s="1">
        <v>0.6</v>
      </c>
      <c r="G205" s="1">
        <f t="shared" si="17"/>
        <v>60</v>
      </c>
      <c r="H205" s="1">
        <f t="shared" si="18"/>
        <v>15</v>
      </c>
      <c r="I205" s="1" t="str">
        <f t="shared" si="19"/>
        <v>Aire</v>
      </c>
      <c r="J205" s="1" t="s">
        <v>16</v>
      </c>
      <c r="K205" s="2">
        <v>4935.6785670271611</v>
      </c>
      <c r="L205" s="2">
        <v>658.45835888737213</v>
      </c>
      <c r="M205" s="3">
        <v>0.62510985319810031</v>
      </c>
      <c r="N205" s="2">
        <v>633.23706845583888</v>
      </c>
    </row>
    <row r="206" spans="1:14" x14ac:dyDescent="0.3">
      <c r="A206" s="1">
        <v>204</v>
      </c>
      <c r="B206" s="1" t="str">
        <f t="shared" si="15"/>
        <v>MadridBebidasAIRE0,75</v>
      </c>
      <c r="C206" s="1" t="str">
        <f t="shared" si="16"/>
        <v>MadridBebidasAire0,75</v>
      </c>
      <c r="D206" s="1" t="s">
        <v>22</v>
      </c>
      <c r="E206" s="1" t="s">
        <v>13</v>
      </c>
      <c r="F206" s="1">
        <v>0.75</v>
      </c>
      <c r="G206" s="1">
        <f t="shared" si="17"/>
        <v>60</v>
      </c>
      <c r="H206" s="1">
        <f t="shared" si="18"/>
        <v>15</v>
      </c>
      <c r="I206" s="1" t="str">
        <f t="shared" si="19"/>
        <v>Aire</v>
      </c>
      <c r="J206" s="1" t="s">
        <v>16</v>
      </c>
      <c r="K206" s="2">
        <v>6672.8660878672226</v>
      </c>
      <c r="L206" s="2">
        <v>568.30503057816509</v>
      </c>
      <c r="M206" s="3">
        <v>0.7205265625161329</v>
      </c>
      <c r="N206" s="2">
        <v>539.87652082828856</v>
      </c>
    </row>
    <row r="207" spans="1:14" x14ac:dyDescent="0.3">
      <c r="A207" s="1">
        <v>205</v>
      </c>
      <c r="B207" s="1" t="str">
        <f t="shared" si="15"/>
        <v>MadridCarnicaAIRE0,3</v>
      </c>
      <c r="C207" s="1" t="str">
        <f t="shared" si="16"/>
        <v>MadridCarnicaAire0,3</v>
      </c>
      <c r="D207" s="1" t="s">
        <v>22</v>
      </c>
      <c r="E207" s="1" t="s">
        <v>12</v>
      </c>
      <c r="F207" s="1">
        <v>0.3</v>
      </c>
      <c r="G207" s="1">
        <f t="shared" si="17"/>
        <v>120</v>
      </c>
      <c r="H207" s="1">
        <f t="shared" si="18"/>
        <v>60</v>
      </c>
      <c r="I207" s="1" t="str">
        <f t="shared" si="19"/>
        <v>Aire</v>
      </c>
      <c r="J207" s="1" t="s">
        <v>16</v>
      </c>
      <c r="K207" s="2">
        <v>3322.8928041427098</v>
      </c>
      <c r="L207" s="2">
        <v>70.46128585946181</v>
      </c>
      <c r="M207" s="3">
        <v>3.0390584282976581E-2</v>
      </c>
      <c r="N207" s="2">
        <v>45.727489877497632</v>
      </c>
    </row>
    <row r="208" spans="1:14" x14ac:dyDescent="0.3">
      <c r="A208" s="1">
        <v>206</v>
      </c>
      <c r="B208" s="1" t="str">
        <f t="shared" si="15"/>
        <v>MadridCarnicaAIRE0,45</v>
      </c>
      <c r="C208" s="1" t="str">
        <f t="shared" si="16"/>
        <v>MadridCarnicaAire0,45</v>
      </c>
      <c r="D208" s="1" t="s">
        <v>22</v>
      </c>
      <c r="E208" s="1" t="s">
        <v>12</v>
      </c>
      <c r="F208" s="1">
        <v>0.45</v>
      </c>
      <c r="G208" s="1">
        <f t="shared" si="17"/>
        <v>120</v>
      </c>
      <c r="H208" s="1">
        <f t="shared" si="18"/>
        <v>60</v>
      </c>
      <c r="I208" s="1" t="str">
        <f t="shared" si="19"/>
        <v>Aire</v>
      </c>
      <c r="J208" s="1" t="s">
        <v>16</v>
      </c>
      <c r="K208" s="2">
        <v>4984.3392062140701</v>
      </c>
      <c r="L208" s="2">
        <v>74.110436320452123</v>
      </c>
      <c r="M208" s="3">
        <v>4.993249821861747E-2</v>
      </c>
      <c r="N208" s="2">
        <v>50.087614540731067</v>
      </c>
    </row>
    <row r="209" spans="1:14" x14ac:dyDescent="0.3">
      <c r="A209" s="1">
        <v>207</v>
      </c>
      <c r="B209" s="1" t="str">
        <f t="shared" si="15"/>
        <v>MadridCarnicaAIRE0,6</v>
      </c>
      <c r="C209" s="1" t="str">
        <f t="shared" si="16"/>
        <v>MadridCarnicaAire0,6</v>
      </c>
      <c r="D209" s="1" t="s">
        <v>22</v>
      </c>
      <c r="E209" s="1" t="s">
        <v>12</v>
      </c>
      <c r="F209" s="1">
        <v>0.6</v>
      </c>
      <c r="G209" s="1">
        <f t="shared" si="17"/>
        <v>120</v>
      </c>
      <c r="H209" s="1">
        <f t="shared" si="18"/>
        <v>60</v>
      </c>
      <c r="I209" s="1" t="str">
        <f t="shared" si="19"/>
        <v>Aire</v>
      </c>
      <c r="J209" s="1" t="s">
        <v>16</v>
      </c>
      <c r="K209" s="2">
        <v>6645.7856082854278</v>
      </c>
      <c r="L209" s="2">
        <v>77.714829386699336</v>
      </c>
      <c r="M209" s="3">
        <v>7.1582288099703698E-2</v>
      </c>
      <c r="N209" s="2">
        <v>53.853494951080208</v>
      </c>
    </row>
    <row r="210" spans="1:14" x14ac:dyDescent="0.3">
      <c r="A210" s="1">
        <v>208</v>
      </c>
      <c r="B210" s="1" t="str">
        <f t="shared" si="15"/>
        <v>MadridCarnicaAIRE0,75</v>
      </c>
      <c r="C210" s="1" t="str">
        <f t="shared" si="16"/>
        <v>MadridCarnicaAire0,75</v>
      </c>
      <c r="D210" s="1" t="s">
        <v>22</v>
      </c>
      <c r="E210" s="1" t="s">
        <v>12</v>
      </c>
      <c r="F210" s="1">
        <v>0.75</v>
      </c>
      <c r="G210" s="1">
        <f t="shared" si="17"/>
        <v>120</v>
      </c>
      <c r="H210" s="1">
        <f t="shared" si="18"/>
        <v>60</v>
      </c>
      <c r="I210" s="1" t="str">
        <f t="shared" si="19"/>
        <v>Aire</v>
      </c>
      <c r="J210" s="1" t="s">
        <v>16</v>
      </c>
      <c r="K210" s="2">
        <v>8307.2320103567909</v>
      </c>
      <c r="L210" s="2">
        <v>79.562616297209416</v>
      </c>
      <c r="M210" s="3">
        <v>9.2687313753175835E-2</v>
      </c>
      <c r="N210" s="2">
        <v>55.785149268024057</v>
      </c>
    </row>
    <row r="211" spans="1:14" x14ac:dyDescent="0.3">
      <c r="A211" s="1">
        <v>209</v>
      </c>
      <c r="B211" s="1" t="str">
        <f t="shared" si="15"/>
        <v>MadridFarmaceuticaAIRE0,3</v>
      </c>
      <c r="C211" s="1" t="str">
        <f t="shared" si="16"/>
        <v>MadridFarmaceuticaAire0,3</v>
      </c>
      <c r="D211" s="1" t="s">
        <v>22</v>
      </c>
      <c r="E211" s="1" t="s">
        <v>15</v>
      </c>
      <c r="F211" s="1">
        <v>0.3</v>
      </c>
      <c r="G211" s="1">
        <f t="shared" si="17"/>
        <v>120</v>
      </c>
      <c r="H211" s="1">
        <f t="shared" si="18"/>
        <v>60</v>
      </c>
      <c r="I211" s="1" t="str">
        <f t="shared" si="19"/>
        <v>Aire</v>
      </c>
      <c r="J211" s="1" t="s">
        <v>16</v>
      </c>
      <c r="K211" s="2">
        <v>3322.8928041427098</v>
      </c>
      <c r="L211" s="2">
        <v>70.440744742724902</v>
      </c>
      <c r="M211" s="3">
        <v>3.0380089502123751E-2</v>
      </c>
      <c r="N211" s="2">
        <v>45.710852186017419</v>
      </c>
    </row>
    <row r="212" spans="1:14" x14ac:dyDescent="0.3">
      <c r="A212" s="1">
        <v>210</v>
      </c>
      <c r="B212" s="1" t="str">
        <f t="shared" si="15"/>
        <v>MadridFarmaceuticaAIRE0,45</v>
      </c>
      <c r="C212" s="1" t="str">
        <f t="shared" si="16"/>
        <v>MadridFarmaceuticaAire0,45</v>
      </c>
      <c r="D212" s="1" t="s">
        <v>22</v>
      </c>
      <c r="E212" s="1" t="s">
        <v>15</v>
      </c>
      <c r="F212" s="1">
        <v>0.45</v>
      </c>
      <c r="G212" s="1">
        <f t="shared" si="17"/>
        <v>120</v>
      </c>
      <c r="H212" s="1">
        <f t="shared" si="18"/>
        <v>60</v>
      </c>
      <c r="I212" s="1" t="str">
        <f t="shared" si="19"/>
        <v>Aire</v>
      </c>
      <c r="J212" s="1" t="s">
        <v>16</v>
      </c>
      <c r="K212" s="2">
        <v>4984.3392062140701</v>
      </c>
      <c r="L212" s="2">
        <v>74.103530041959644</v>
      </c>
      <c r="M212" s="3">
        <v>4.9930805879095062E-2</v>
      </c>
      <c r="N212" s="2">
        <v>50.084989313115514</v>
      </c>
    </row>
    <row r="213" spans="1:14" x14ac:dyDescent="0.3">
      <c r="A213" s="1">
        <v>211</v>
      </c>
      <c r="B213" s="1" t="str">
        <f t="shared" si="15"/>
        <v>MadridFarmaceuticaAIRE0,6</v>
      </c>
      <c r="C213" s="1" t="str">
        <f t="shared" si="16"/>
        <v>MadridFarmaceuticaAire0,6</v>
      </c>
      <c r="D213" s="1" t="s">
        <v>22</v>
      </c>
      <c r="E213" s="1" t="s">
        <v>15</v>
      </c>
      <c r="F213" s="1">
        <v>0.6</v>
      </c>
      <c r="G213" s="1">
        <f t="shared" si="17"/>
        <v>120</v>
      </c>
      <c r="H213" s="1">
        <f t="shared" si="18"/>
        <v>60</v>
      </c>
      <c r="I213" s="1" t="str">
        <f t="shared" si="19"/>
        <v>Aire</v>
      </c>
      <c r="J213" s="1" t="s">
        <v>16</v>
      </c>
      <c r="K213" s="2">
        <v>6645.7856082854278</v>
      </c>
      <c r="L213" s="2">
        <v>77.712264815975189</v>
      </c>
      <c r="M213" s="3">
        <v>7.1585234045056831E-2</v>
      </c>
      <c r="N213" s="2">
        <v>53.854713823445152</v>
      </c>
    </row>
    <row r="214" spans="1:14" x14ac:dyDescent="0.3">
      <c r="A214" s="1">
        <v>212</v>
      </c>
      <c r="B214" s="1" t="str">
        <f t="shared" si="15"/>
        <v>MadridFarmaceuticaAIRE0,75</v>
      </c>
      <c r="C214" s="1" t="str">
        <f t="shared" si="16"/>
        <v>MadridFarmaceuticaAire0,75</v>
      </c>
      <c r="D214" s="1" t="s">
        <v>22</v>
      </c>
      <c r="E214" s="1" t="s">
        <v>15</v>
      </c>
      <c r="F214" s="1">
        <v>0.75</v>
      </c>
      <c r="G214" s="1">
        <f t="shared" si="17"/>
        <v>120</v>
      </c>
      <c r="H214" s="1">
        <f t="shared" si="18"/>
        <v>60</v>
      </c>
      <c r="I214" s="1" t="str">
        <f t="shared" si="19"/>
        <v>Aire</v>
      </c>
      <c r="J214" s="1" t="s">
        <v>16</v>
      </c>
      <c r="K214" s="2">
        <v>8307.2320103567909</v>
      </c>
      <c r="L214" s="2">
        <v>79.564288266215982</v>
      </c>
      <c r="M214" s="3">
        <v>9.2698435760253786E-2</v>
      </c>
      <c r="N214" s="2">
        <v>55.790809893641288</v>
      </c>
    </row>
    <row r="215" spans="1:14" x14ac:dyDescent="0.3">
      <c r="A215" s="1">
        <v>213</v>
      </c>
      <c r="B215" s="1" t="str">
        <f t="shared" si="15"/>
        <v>MadridLacteosAIRE0,3</v>
      </c>
      <c r="C215" s="1" t="str">
        <f t="shared" si="16"/>
        <v>MadridLacteosAire0,3</v>
      </c>
      <c r="D215" s="1" t="s">
        <v>22</v>
      </c>
      <c r="E215" s="1" t="s">
        <v>14</v>
      </c>
      <c r="F215" s="1">
        <v>0.3</v>
      </c>
      <c r="G215" s="1">
        <f t="shared" si="17"/>
        <v>120</v>
      </c>
      <c r="H215" s="1">
        <f t="shared" si="18"/>
        <v>60</v>
      </c>
      <c r="I215" s="1" t="str">
        <f t="shared" si="19"/>
        <v>Aire</v>
      </c>
      <c r="J215" s="1" t="s">
        <v>16</v>
      </c>
      <c r="K215" s="2">
        <v>3322.8928041427098</v>
      </c>
      <c r="L215" s="2">
        <v>67.973875244799544</v>
      </c>
      <c r="M215" s="3">
        <v>3.3664698395723773E-2</v>
      </c>
      <c r="N215" s="2">
        <v>50.660359438948134</v>
      </c>
    </row>
    <row r="216" spans="1:14" x14ac:dyDescent="0.3">
      <c r="A216" s="1">
        <v>214</v>
      </c>
      <c r="B216" s="1" t="str">
        <f t="shared" ref="B216:B279" si="20">_xlfn.CONCAT(D216,E216,J216,F216)</f>
        <v>MadridLacteosAIRE0,45</v>
      </c>
      <c r="C216" s="1" t="str">
        <f t="shared" si="16"/>
        <v>MadridLacteosAire0,45</v>
      </c>
      <c r="D216" s="1" t="s">
        <v>22</v>
      </c>
      <c r="E216" s="1" t="s">
        <v>14</v>
      </c>
      <c r="F216" s="1">
        <v>0.45</v>
      </c>
      <c r="G216" s="1">
        <f t="shared" si="17"/>
        <v>120</v>
      </c>
      <c r="H216" s="1">
        <f t="shared" si="18"/>
        <v>60</v>
      </c>
      <c r="I216" s="1" t="str">
        <f t="shared" si="19"/>
        <v>Aire</v>
      </c>
      <c r="J216" s="1" t="s">
        <v>16</v>
      </c>
      <c r="K216" s="2">
        <v>4984.3392062140701</v>
      </c>
      <c r="L216" s="2">
        <v>71.296358987794108</v>
      </c>
      <c r="M216" s="3">
        <v>5.4227997296147676E-2</v>
      </c>
      <c r="N216" s="2">
        <v>54.403375357455708</v>
      </c>
    </row>
    <row r="217" spans="1:14" x14ac:dyDescent="0.3">
      <c r="A217" s="1">
        <v>215</v>
      </c>
      <c r="B217" s="1" t="str">
        <f t="shared" si="20"/>
        <v>MadridLacteosAIRE0,6</v>
      </c>
      <c r="C217" s="1" t="str">
        <f t="shared" si="16"/>
        <v>MadridLacteosAire0,6</v>
      </c>
      <c r="D217" s="1" t="s">
        <v>22</v>
      </c>
      <c r="E217" s="1" t="s">
        <v>14</v>
      </c>
      <c r="F217" s="1">
        <v>0.6</v>
      </c>
      <c r="G217" s="1">
        <f t="shared" si="17"/>
        <v>120</v>
      </c>
      <c r="H217" s="1">
        <f t="shared" si="18"/>
        <v>60</v>
      </c>
      <c r="I217" s="1" t="str">
        <f t="shared" si="19"/>
        <v>Aire</v>
      </c>
      <c r="J217" s="1" t="s">
        <v>16</v>
      </c>
      <c r="K217" s="2">
        <v>6645.7856082854278</v>
      </c>
      <c r="L217" s="2">
        <v>74.2882095136912</v>
      </c>
      <c r="M217" s="3">
        <v>7.6426861031456142E-2</v>
      </c>
      <c r="N217" s="2">
        <v>57.505524112105427</v>
      </c>
    </row>
    <row r="218" spans="1:14" x14ac:dyDescent="0.3">
      <c r="A218" s="1">
        <v>216</v>
      </c>
      <c r="B218" s="1" t="str">
        <f t="shared" si="20"/>
        <v>MadridLacteosAIRE0,75</v>
      </c>
      <c r="C218" s="1" t="str">
        <f t="shared" si="16"/>
        <v>MadridLacteosAire0,75</v>
      </c>
      <c r="D218" s="1" t="s">
        <v>22</v>
      </c>
      <c r="E218" s="1" t="s">
        <v>14</v>
      </c>
      <c r="F218" s="1">
        <v>0.75</v>
      </c>
      <c r="G218" s="1">
        <f t="shared" si="17"/>
        <v>120</v>
      </c>
      <c r="H218" s="1">
        <f t="shared" si="18"/>
        <v>60</v>
      </c>
      <c r="I218" s="1" t="str">
        <f t="shared" si="19"/>
        <v>Aire</v>
      </c>
      <c r="J218" s="1" t="s">
        <v>16</v>
      </c>
      <c r="K218" s="2">
        <v>8307.2320103567909</v>
      </c>
      <c r="L218" s="2">
        <v>75.388387636778617</v>
      </c>
      <c r="M218" s="3">
        <v>9.7530208096570106E-2</v>
      </c>
      <c r="N218" s="2">
        <v>58.70737756504311</v>
      </c>
    </row>
    <row r="219" spans="1:14" x14ac:dyDescent="0.3">
      <c r="A219" s="1">
        <v>217</v>
      </c>
      <c r="B219" s="1" t="str">
        <f t="shared" si="20"/>
        <v>MadridSecadoAIRE0,3</v>
      </c>
      <c r="C219" s="1" t="str">
        <f t="shared" si="16"/>
        <v>MadridSecadoAire0,3</v>
      </c>
      <c r="D219" s="1" t="s">
        <v>22</v>
      </c>
      <c r="E219" s="1" t="s">
        <v>11</v>
      </c>
      <c r="F219" s="1">
        <v>0.3</v>
      </c>
      <c r="G219" s="1">
        <f t="shared" si="17"/>
        <v>60</v>
      </c>
      <c r="H219" s="1">
        <f t="shared" si="18"/>
        <v>15</v>
      </c>
      <c r="I219" s="1" t="str">
        <f t="shared" si="19"/>
        <v>Aire</v>
      </c>
      <c r="J219" s="1" t="s">
        <v>16</v>
      </c>
      <c r="K219" s="2">
        <v>2144.3806946721302</v>
      </c>
      <c r="L219" s="2">
        <v>557.49245788809765</v>
      </c>
      <c r="M219" s="3">
        <v>0.23767458923887747</v>
      </c>
      <c r="N219" s="2">
        <v>554.18002449907328</v>
      </c>
    </row>
    <row r="220" spans="1:14" x14ac:dyDescent="0.3">
      <c r="A220" s="1">
        <v>218</v>
      </c>
      <c r="B220" s="1" t="str">
        <f t="shared" si="20"/>
        <v>MadridSecadoAIRE0,45</v>
      </c>
      <c r="C220" s="1" t="str">
        <f t="shared" si="16"/>
        <v>MadridSecadoAire0,45</v>
      </c>
      <c r="D220" s="1" t="s">
        <v>22</v>
      </c>
      <c r="E220" s="1" t="s">
        <v>11</v>
      </c>
      <c r="F220" s="1">
        <v>0.45</v>
      </c>
      <c r="G220" s="1">
        <f t="shared" si="17"/>
        <v>60</v>
      </c>
      <c r="H220" s="1">
        <f t="shared" si="18"/>
        <v>15</v>
      </c>
      <c r="I220" s="1" t="str">
        <f t="shared" si="19"/>
        <v>Aire</v>
      </c>
      <c r="J220" s="1" t="s">
        <v>16</v>
      </c>
      <c r="K220" s="2">
        <v>3442.1516810664202</v>
      </c>
      <c r="L220" s="2">
        <v>448.60933745029229</v>
      </c>
      <c r="M220" s="3">
        <v>0.30660722655195272</v>
      </c>
      <c r="N220" s="2">
        <v>445.37146367597558</v>
      </c>
    </row>
    <row r="221" spans="1:14" x14ac:dyDescent="0.3">
      <c r="A221" s="1">
        <v>219</v>
      </c>
      <c r="B221" s="1" t="str">
        <f t="shared" si="20"/>
        <v>MadridSecadoAIRE0,6</v>
      </c>
      <c r="C221" s="1" t="str">
        <f t="shared" si="16"/>
        <v>MadridSecadoAire0,6</v>
      </c>
      <c r="D221" s="1" t="s">
        <v>22</v>
      </c>
      <c r="E221" s="1" t="s">
        <v>11</v>
      </c>
      <c r="F221" s="1">
        <v>0.6</v>
      </c>
      <c r="G221" s="1">
        <f t="shared" si="17"/>
        <v>60</v>
      </c>
      <c r="H221" s="1">
        <f t="shared" si="18"/>
        <v>15</v>
      </c>
      <c r="I221" s="1" t="str">
        <f t="shared" si="19"/>
        <v>Aire</v>
      </c>
      <c r="J221" s="1" t="s">
        <v>16</v>
      </c>
      <c r="K221" s="2">
        <v>4935.6785670271611</v>
      </c>
      <c r="L221" s="2">
        <v>359.36645407250091</v>
      </c>
      <c r="M221" s="3">
        <v>0.35170980931189194</v>
      </c>
      <c r="N221" s="2">
        <v>356.29326793781962</v>
      </c>
    </row>
    <row r="222" spans="1:14" x14ac:dyDescent="0.3">
      <c r="A222" s="1">
        <v>220</v>
      </c>
      <c r="B222" s="1" t="str">
        <f t="shared" si="20"/>
        <v>MadridSecadoAIRE0,75</v>
      </c>
      <c r="C222" s="1" t="str">
        <f t="shared" si="16"/>
        <v>MadridSecadoAire0,75</v>
      </c>
      <c r="D222" s="1" t="s">
        <v>22</v>
      </c>
      <c r="E222" s="1" t="s">
        <v>11</v>
      </c>
      <c r="F222" s="1">
        <v>0.75</v>
      </c>
      <c r="G222" s="1">
        <f t="shared" si="17"/>
        <v>60</v>
      </c>
      <c r="H222" s="1">
        <f t="shared" si="18"/>
        <v>15</v>
      </c>
      <c r="I222" s="1" t="str">
        <f t="shared" si="19"/>
        <v>Aire</v>
      </c>
      <c r="J222" s="1" t="s">
        <v>16</v>
      </c>
      <c r="K222" s="2">
        <v>6672.8660878672226</v>
      </c>
      <c r="L222" s="2">
        <v>296.72538603814775</v>
      </c>
      <c r="M222" s="3">
        <v>0.3920836966728784</v>
      </c>
      <c r="N222" s="2">
        <v>293.78957363727937</v>
      </c>
    </row>
    <row r="223" spans="1:14" x14ac:dyDescent="0.3">
      <c r="A223" s="1">
        <v>221</v>
      </c>
      <c r="B223" s="1" t="str">
        <f t="shared" si="20"/>
        <v>MadridBebidasETC0,3</v>
      </c>
      <c r="C223" s="1" t="str">
        <f t="shared" si="16"/>
        <v>MadridBebidasETC0,3</v>
      </c>
      <c r="D223" s="1" t="s">
        <v>22</v>
      </c>
      <c r="E223" s="1" t="s">
        <v>13</v>
      </c>
      <c r="F223" s="1">
        <v>0.3</v>
      </c>
      <c r="G223" s="1">
        <f t="shared" si="17"/>
        <v>60</v>
      </c>
      <c r="H223" s="1">
        <f t="shared" si="18"/>
        <v>15</v>
      </c>
      <c r="I223" s="1" t="str">
        <f t="shared" si="19"/>
        <v>ETC</v>
      </c>
      <c r="J223" s="1" t="s">
        <v>9</v>
      </c>
      <c r="K223" s="2">
        <v>1684.9976684583005</v>
      </c>
      <c r="L223" s="2">
        <v>906.85873833853714</v>
      </c>
      <c r="M223" s="3">
        <v>0.29954321802627637</v>
      </c>
      <c r="N223" s="2">
        <v>888.82659508024483</v>
      </c>
    </row>
    <row r="224" spans="1:14" x14ac:dyDescent="0.3">
      <c r="A224" s="1">
        <v>222</v>
      </c>
      <c r="B224" s="1" t="str">
        <f t="shared" si="20"/>
        <v>MadridBebidasETC0,45</v>
      </c>
      <c r="C224" s="1" t="str">
        <f t="shared" si="16"/>
        <v>MadridBebidasETC0,45</v>
      </c>
      <c r="D224" s="1" t="s">
        <v>22</v>
      </c>
      <c r="E224" s="1" t="s">
        <v>13</v>
      </c>
      <c r="F224" s="1">
        <v>0.45</v>
      </c>
      <c r="G224" s="1">
        <f t="shared" si="17"/>
        <v>60</v>
      </c>
      <c r="H224" s="1">
        <f t="shared" si="18"/>
        <v>15</v>
      </c>
      <c r="I224" s="1" t="str">
        <f t="shared" si="19"/>
        <v>ETC</v>
      </c>
      <c r="J224" s="1" t="s">
        <v>9</v>
      </c>
      <c r="K224" s="2">
        <v>2540.5108812383196</v>
      </c>
      <c r="L224" s="2">
        <v>896.28976616799287</v>
      </c>
      <c r="M224" s="3">
        <v>0.44403905098140067</v>
      </c>
      <c r="N224" s="2">
        <v>873.89038378062742</v>
      </c>
    </row>
    <row r="225" spans="1:14" x14ac:dyDescent="0.3">
      <c r="A225" s="1">
        <v>223</v>
      </c>
      <c r="B225" s="1" t="str">
        <f t="shared" si="20"/>
        <v>MadridBebidasETC0,6</v>
      </c>
      <c r="C225" s="1" t="str">
        <f t="shared" si="16"/>
        <v>MadridBebidasETC0,6</v>
      </c>
      <c r="D225" s="1" t="s">
        <v>22</v>
      </c>
      <c r="E225" s="1" t="s">
        <v>13</v>
      </c>
      <c r="F225" s="1">
        <v>0.6</v>
      </c>
      <c r="G225" s="1">
        <f t="shared" si="17"/>
        <v>60</v>
      </c>
      <c r="H225" s="1">
        <f t="shared" si="18"/>
        <v>15</v>
      </c>
      <c r="I225" s="1" t="str">
        <f t="shared" si="19"/>
        <v>ETC</v>
      </c>
      <c r="J225" s="1" t="s">
        <v>9</v>
      </c>
      <c r="K225" s="2">
        <v>3404.96237213217</v>
      </c>
      <c r="L225" s="2">
        <v>879.1414721917705</v>
      </c>
      <c r="M225" s="3">
        <v>0.57984482401563286</v>
      </c>
      <c r="N225" s="2">
        <v>851.44445571601932</v>
      </c>
    </row>
    <row r="226" spans="1:14" x14ac:dyDescent="0.3">
      <c r="A226" s="1">
        <v>224</v>
      </c>
      <c r="B226" s="1" t="str">
        <f t="shared" si="20"/>
        <v>MadridBebidasETC0,75</v>
      </c>
      <c r="C226" s="1" t="str">
        <f t="shared" si="16"/>
        <v>MadridBebidasETC0,75</v>
      </c>
      <c r="D226" s="1" t="s">
        <v>22</v>
      </c>
      <c r="E226" s="1" t="s">
        <v>13</v>
      </c>
      <c r="F226" s="1">
        <v>0.75</v>
      </c>
      <c r="G226" s="1">
        <f t="shared" si="17"/>
        <v>60</v>
      </c>
      <c r="H226" s="1">
        <f t="shared" si="18"/>
        <v>15</v>
      </c>
      <c r="I226" s="1" t="str">
        <f t="shared" si="19"/>
        <v>ETC</v>
      </c>
      <c r="J226" s="1" t="s">
        <v>9</v>
      </c>
      <c r="K226" s="2">
        <v>4278.5554038425698</v>
      </c>
      <c r="L226" s="2">
        <v>855.11522555555962</v>
      </c>
      <c r="M226" s="3">
        <v>0.70288870443378215</v>
      </c>
      <c r="N226" s="2">
        <v>821.38403635269731</v>
      </c>
    </row>
    <row r="227" spans="1:14" x14ac:dyDescent="0.3">
      <c r="A227" s="1">
        <v>225</v>
      </c>
      <c r="B227" s="1" t="str">
        <f t="shared" si="20"/>
        <v>MadridCarnicaETC0,3</v>
      </c>
      <c r="C227" s="1" t="str">
        <f t="shared" si="16"/>
        <v>MadridCarnicaETC0,3</v>
      </c>
      <c r="D227" s="1" t="s">
        <v>22</v>
      </c>
      <c r="E227" s="1" t="s">
        <v>12</v>
      </c>
      <c r="F227" s="1">
        <v>0.3</v>
      </c>
      <c r="G227" s="1">
        <f t="shared" si="17"/>
        <v>120</v>
      </c>
      <c r="H227" s="1">
        <f t="shared" si="18"/>
        <v>60</v>
      </c>
      <c r="I227" s="1" t="str">
        <f t="shared" si="19"/>
        <v>ETC</v>
      </c>
      <c r="J227" s="1" t="s">
        <v>9</v>
      </c>
      <c r="K227" s="2">
        <v>1927.4110477938802</v>
      </c>
      <c r="L227" s="2">
        <v>735.0575386648693</v>
      </c>
      <c r="M227" s="3">
        <v>0.25040150509919551</v>
      </c>
      <c r="N227" s="2">
        <v>649.55695116509503</v>
      </c>
    </row>
    <row r="228" spans="1:14" x14ac:dyDescent="0.3">
      <c r="A228" s="1">
        <v>226</v>
      </c>
      <c r="B228" s="1" t="str">
        <f t="shared" si="20"/>
        <v>MadridCarnicaETC0,45</v>
      </c>
      <c r="C228" s="1" t="str">
        <f t="shared" si="16"/>
        <v>MadridCarnicaETC0,45</v>
      </c>
      <c r="D228" s="1" t="s">
        <v>22</v>
      </c>
      <c r="E228" s="1" t="s">
        <v>12</v>
      </c>
      <c r="F228" s="1">
        <v>0.45</v>
      </c>
      <c r="G228" s="1">
        <f t="shared" si="17"/>
        <v>120</v>
      </c>
      <c r="H228" s="1">
        <f t="shared" si="18"/>
        <v>60</v>
      </c>
      <c r="I228" s="1" t="str">
        <f t="shared" si="19"/>
        <v>ETC</v>
      </c>
      <c r="J228" s="1" t="s">
        <v>9</v>
      </c>
      <c r="K228" s="2">
        <v>2910.0288987473</v>
      </c>
      <c r="L228" s="2">
        <v>725.41534932315881</v>
      </c>
      <c r="M228" s="3">
        <v>0.37446251499438193</v>
      </c>
      <c r="N228" s="2">
        <v>643.37723754540991</v>
      </c>
    </row>
    <row r="229" spans="1:14" x14ac:dyDescent="0.3">
      <c r="A229" s="1">
        <v>227</v>
      </c>
      <c r="B229" s="1" t="str">
        <f t="shared" si="20"/>
        <v>MadridCarnicaETC0,6</v>
      </c>
      <c r="C229" s="1" t="str">
        <f t="shared" si="16"/>
        <v>MadridCarnicaETC0,6</v>
      </c>
      <c r="D229" s="1" t="s">
        <v>22</v>
      </c>
      <c r="E229" s="1" t="s">
        <v>12</v>
      </c>
      <c r="F229" s="1">
        <v>0.6</v>
      </c>
      <c r="G229" s="1">
        <f t="shared" si="17"/>
        <v>120</v>
      </c>
      <c r="H229" s="1">
        <f t="shared" si="18"/>
        <v>60</v>
      </c>
      <c r="I229" s="1" t="str">
        <f t="shared" si="19"/>
        <v>ETC</v>
      </c>
      <c r="J229" s="1" t="s">
        <v>9</v>
      </c>
      <c r="K229" s="2">
        <v>3905.6954661576897</v>
      </c>
      <c r="L229" s="2">
        <v>709.87427055507976</v>
      </c>
      <c r="M229" s="3">
        <v>0.49024272001867647</v>
      </c>
      <c r="N229" s="2">
        <v>627.57757883145928</v>
      </c>
    </row>
    <row r="230" spans="1:14" x14ac:dyDescent="0.3">
      <c r="A230" s="1">
        <v>228</v>
      </c>
      <c r="B230" s="1" t="str">
        <f t="shared" si="20"/>
        <v>MadridCarnicaETC0,75</v>
      </c>
      <c r="C230" s="1" t="str">
        <f t="shared" si="16"/>
        <v>MadridCarnicaETC0,75</v>
      </c>
      <c r="D230" s="1" t="s">
        <v>22</v>
      </c>
      <c r="E230" s="1" t="s">
        <v>12</v>
      </c>
      <c r="F230" s="1">
        <v>0.75</v>
      </c>
      <c r="G230" s="1">
        <f t="shared" si="17"/>
        <v>120</v>
      </c>
      <c r="H230" s="1">
        <f t="shared" si="18"/>
        <v>60</v>
      </c>
      <c r="I230" s="1" t="str">
        <f t="shared" si="19"/>
        <v>ETC</v>
      </c>
      <c r="J230" s="1" t="s">
        <v>9</v>
      </c>
      <c r="K230" s="2">
        <v>4914.7548086297902</v>
      </c>
      <c r="L230" s="2">
        <v>686.46098854769832</v>
      </c>
      <c r="M230" s="3">
        <v>0.5926446322998673</v>
      </c>
      <c r="N230" s="2">
        <v>602.90258050891259</v>
      </c>
    </row>
    <row r="231" spans="1:14" x14ac:dyDescent="0.3">
      <c r="A231" s="1">
        <v>229</v>
      </c>
      <c r="B231" s="1" t="str">
        <f t="shared" si="20"/>
        <v>MadridFarmaceuticaETC0,3</v>
      </c>
      <c r="C231" s="1" t="str">
        <f t="shared" si="16"/>
        <v>MadridFarmaceuticaETC0,3</v>
      </c>
      <c r="D231" s="1" t="s">
        <v>22</v>
      </c>
      <c r="E231" s="1" t="s">
        <v>15</v>
      </c>
      <c r="F231" s="1">
        <v>0.3</v>
      </c>
      <c r="G231" s="1">
        <f t="shared" si="17"/>
        <v>120</v>
      </c>
      <c r="H231" s="1">
        <f t="shared" si="18"/>
        <v>60</v>
      </c>
      <c r="I231" s="1" t="str">
        <f t="shared" si="19"/>
        <v>ETC</v>
      </c>
      <c r="J231" s="1" t="s">
        <v>9</v>
      </c>
      <c r="K231" s="2">
        <v>1927.4110477938802</v>
      </c>
      <c r="L231" s="2">
        <v>735.12874132826403</v>
      </c>
      <c r="M231" s="3">
        <v>0.25045723080920024</v>
      </c>
      <c r="N231" s="2">
        <v>649.68947410858664</v>
      </c>
    </row>
    <row r="232" spans="1:14" x14ac:dyDescent="0.3">
      <c r="A232" s="1">
        <v>230</v>
      </c>
      <c r="B232" s="1" t="str">
        <f t="shared" si="20"/>
        <v>MadridFarmaceuticaETC0,45</v>
      </c>
      <c r="C232" s="1" t="str">
        <f t="shared" si="16"/>
        <v>MadridFarmaceuticaETC0,45</v>
      </c>
      <c r="D232" s="1" t="s">
        <v>22</v>
      </c>
      <c r="E232" s="1" t="s">
        <v>15</v>
      </c>
      <c r="F232" s="1">
        <v>0.45</v>
      </c>
      <c r="G232" s="1">
        <f t="shared" si="17"/>
        <v>120</v>
      </c>
      <c r="H232" s="1">
        <f t="shared" si="18"/>
        <v>60</v>
      </c>
      <c r="I232" s="1" t="str">
        <f t="shared" si="19"/>
        <v>ETC</v>
      </c>
      <c r="J232" s="1" t="s">
        <v>9</v>
      </c>
      <c r="K232" s="2">
        <v>2910.0288987473</v>
      </c>
      <c r="L232" s="2">
        <v>725.44998278764547</v>
      </c>
      <c r="M232" s="3">
        <v>0.37452799033423834</v>
      </c>
      <c r="N232" s="2">
        <v>643.47781509426636</v>
      </c>
    </row>
    <row r="233" spans="1:14" x14ac:dyDescent="0.3">
      <c r="A233" s="1">
        <v>231</v>
      </c>
      <c r="B233" s="1" t="str">
        <f t="shared" si="20"/>
        <v>MadridFarmaceuticaETC0,6</v>
      </c>
      <c r="C233" s="1" t="str">
        <f t="shared" si="16"/>
        <v>MadridFarmaceuticaETC0,6</v>
      </c>
      <c r="D233" s="1" t="s">
        <v>22</v>
      </c>
      <c r="E233" s="1" t="s">
        <v>15</v>
      </c>
      <c r="F233" s="1">
        <v>0.6</v>
      </c>
      <c r="G233" s="1">
        <f t="shared" si="17"/>
        <v>120</v>
      </c>
      <c r="H233" s="1">
        <f t="shared" si="18"/>
        <v>60</v>
      </c>
      <c r="I233" s="1" t="str">
        <f t="shared" si="19"/>
        <v>ETC</v>
      </c>
      <c r="J233" s="1" t="s">
        <v>9</v>
      </c>
      <c r="K233" s="2">
        <v>3905.6954661576897</v>
      </c>
      <c r="L233" s="2">
        <v>709.85740527095663</v>
      </c>
      <c r="M233" s="3">
        <v>0.49028069693041798</v>
      </c>
      <c r="N233" s="2">
        <v>627.61457032706483</v>
      </c>
    </row>
    <row r="234" spans="1:14" x14ac:dyDescent="0.3">
      <c r="A234" s="1">
        <v>232</v>
      </c>
      <c r="B234" s="1" t="str">
        <f t="shared" si="20"/>
        <v>MadridFarmaceuticaETC0,75</v>
      </c>
      <c r="C234" s="1" t="str">
        <f t="shared" si="16"/>
        <v>MadridFarmaceuticaETC0,75</v>
      </c>
      <c r="D234" s="1" t="s">
        <v>22</v>
      </c>
      <c r="E234" s="1" t="s">
        <v>15</v>
      </c>
      <c r="F234" s="1">
        <v>0.75</v>
      </c>
      <c r="G234" s="1">
        <f t="shared" si="17"/>
        <v>120</v>
      </c>
      <c r="H234" s="1">
        <f t="shared" si="18"/>
        <v>60</v>
      </c>
      <c r="I234" s="1" t="str">
        <f t="shared" si="19"/>
        <v>ETC</v>
      </c>
      <c r="J234" s="1" t="s">
        <v>9</v>
      </c>
      <c r="K234" s="2">
        <v>4914.7548086297902</v>
      </c>
      <c r="L234" s="2">
        <v>686.61866094035133</v>
      </c>
      <c r="M234" s="3">
        <v>0.59283448130773775</v>
      </c>
      <c r="N234" s="2">
        <v>603.08454575936332</v>
      </c>
    </row>
    <row r="235" spans="1:14" x14ac:dyDescent="0.3">
      <c r="A235" s="1">
        <v>233</v>
      </c>
      <c r="B235" s="1" t="str">
        <f t="shared" si="20"/>
        <v>MadridLacteosETC0,3</v>
      </c>
      <c r="C235" s="1" t="str">
        <f t="shared" si="16"/>
        <v>MadridLacteosETC0,3</v>
      </c>
      <c r="D235" s="1" t="s">
        <v>22</v>
      </c>
      <c r="E235" s="1" t="s">
        <v>14</v>
      </c>
      <c r="F235" s="1">
        <v>0.3</v>
      </c>
      <c r="G235" s="1">
        <f t="shared" si="17"/>
        <v>120</v>
      </c>
      <c r="H235" s="1">
        <f t="shared" si="18"/>
        <v>60</v>
      </c>
      <c r="I235" s="1" t="str">
        <f t="shared" si="19"/>
        <v>ETC</v>
      </c>
      <c r="J235" s="1" t="s">
        <v>9</v>
      </c>
      <c r="K235" s="2">
        <v>1927.4110477938802</v>
      </c>
      <c r="L235" s="2">
        <v>730.80541877387532</v>
      </c>
      <c r="M235" s="3">
        <v>0.25834159784151306</v>
      </c>
      <c r="N235" s="2">
        <v>670.23926610578235</v>
      </c>
    </row>
    <row r="236" spans="1:14" x14ac:dyDescent="0.3">
      <c r="A236" s="1">
        <v>234</v>
      </c>
      <c r="B236" s="1" t="str">
        <f t="shared" si="20"/>
        <v>MadridLacteosETC0,45</v>
      </c>
      <c r="C236" s="1" t="str">
        <f t="shared" si="16"/>
        <v>MadridLacteosETC0,45</v>
      </c>
      <c r="D236" s="1" t="s">
        <v>22</v>
      </c>
      <c r="E236" s="1" t="s">
        <v>14</v>
      </c>
      <c r="F236" s="1">
        <v>0.45</v>
      </c>
      <c r="G236" s="1">
        <f t="shared" si="17"/>
        <v>120</v>
      </c>
      <c r="H236" s="1">
        <f t="shared" si="18"/>
        <v>60</v>
      </c>
      <c r="I236" s="1" t="str">
        <f t="shared" si="19"/>
        <v>ETC</v>
      </c>
      <c r="J236" s="1" t="s">
        <v>9</v>
      </c>
      <c r="K236" s="2">
        <v>2910.0288987473</v>
      </c>
      <c r="L236" s="2">
        <v>718.18874007096019</v>
      </c>
      <c r="M236" s="3">
        <v>0.38397171769669758</v>
      </c>
      <c r="N236" s="2">
        <v>659.79923071848691</v>
      </c>
    </row>
    <row r="237" spans="1:14" x14ac:dyDescent="0.3">
      <c r="A237" s="1">
        <v>235</v>
      </c>
      <c r="B237" s="1" t="str">
        <f t="shared" si="20"/>
        <v>MadridLacteosETC0,6</v>
      </c>
      <c r="C237" s="1" t="str">
        <f t="shared" si="16"/>
        <v>MadridLacteosETC0,6</v>
      </c>
      <c r="D237" s="1" t="s">
        <v>22</v>
      </c>
      <c r="E237" s="1" t="s">
        <v>14</v>
      </c>
      <c r="F237" s="1">
        <v>0.6</v>
      </c>
      <c r="G237" s="1">
        <f t="shared" si="17"/>
        <v>120</v>
      </c>
      <c r="H237" s="1">
        <f t="shared" si="18"/>
        <v>60</v>
      </c>
      <c r="I237" s="1" t="str">
        <f t="shared" si="19"/>
        <v>ETC</v>
      </c>
      <c r="J237" s="1" t="s">
        <v>9</v>
      </c>
      <c r="K237" s="2">
        <v>3905.6954661576897</v>
      </c>
      <c r="L237" s="2">
        <v>694.01809341806256</v>
      </c>
      <c r="M237" s="3">
        <v>0.49666115744664602</v>
      </c>
      <c r="N237" s="2">
        <v>635.87490952123323</v>
      </c>
    </row>
    <row r="238" spans="1:14" x14ac:dyDescent="0.3">
      <c r="A238" s="1">
        <v>236</v>
      </c>
      <c r="B238" s="1" t="str">
        <f t="shared" si="20"/>
        <v>MadridLacteosETC0,75</v>
      </c>
      <c r="C238" s="1" t="str">
        <f t="shared" si="16"/>
        <v>MadridLacteosETC0,75</v>
      </c>
      <c r="D238" s="1" t="s">
        <v>22</v>
      </c>
      <c r="E238" s="1" t="s">
        <v>14</v>
      </c>
      <c r="F238" s="1">
        <v>0.75</v>
      </c>
      <c r="G238" s="1">
        <f t="shared" si="17"/>
        <v>120</v>
      </c>
      <c r="H238" s="1">
        <f t="shared" si="18"/>
        <v>60</v>
      </c>
      <c r="I238" s="1" t="str">
        <f t="shared" si="19"/>
        <v>ETC</v>
      </c>
      <c r="J238" s="1" t="s">
        <v>9</v>
      </c>
      <c r="K238" s="2">
        <v>4914.7548086297902</v>
      </c>
      <c r="L238" s="2">
        <v>663.33787221495174</v>
      </c>
      <c r="M238" s="3">
        <v>0.59452950121401937</v>
      </c>
      <c r="N238" s="2">
        <v>604.89699011000164</v>
      </c>
    </row>
    <row r="239" spans="1:14" x14ac:dyDescent="0.3">
      <c r="A239" s="1">
        <v>237</v>
      </c>
      <c r="B239" s="1" t="str">
        <f t="shared" si="20"/>
        <v>MadridSecadoETC0,3</v>
      </c>
      <c r="C239" s="1" t="str">
        <f t="shared" si="16"/>
        <v>MadridSecadoETC0,3</v>
      </c>
      <c r="D239" s="1" t="s">
        <v>22</v>
      </c>
      <c r="E239" s="1" t="s">
        <v>11</v>
      </c>
      <c r="F239" s="1">
        <v>0.3</v>
      </c>
      <c r="G239" s="1">
        <f t="shared" si="17"/>
        <v>60</v>
      </c>
      <c r="H239" s="1">
        <f t="shared" si="18"/>
        <v>15</v>
      </c>
      <c r="I239" s="1" t="str">
        <f t="shared" si="19"/>
        <v>ETC</v>
      </c>
      <c r="J239" s="1" t="s">
        <v>9</v>
      </c>
      <c r="K239" s="2">
        <v>1684.9976684583005</v>
      </c>
      <c r="L239" s="2">
        <v>906.9006788366928</v>
      </c>
      <c r="M239" s="3">
        <v>0.29952044529369598</v>
      </c>
      <c r="N239" s="2">
        <v>888.78593373885587</v>
      </c>
    </row>
    <row r="240" spans="1:14" x14ac:dyDescent="0.3">
      <c r="A240" s="1">
        <v>238</v>
      </c>
      <c r="B240" s="1" t="str">
        <f t="shared" si="20"/>
        <v>MadridSecadoETC0,45</v>
      </c>
      <c r="C240" s="1" t="str">
        <f t="shared" si="16"/>
        <v>MadridSecadoETC0,45</v>
      </c>
      <c r="D240" s="1" t="s">
        <v>22</v>
      </c>
      <c r="E240" s="1" t="s">
        <v>11</v>
      </c>
      <c r="F240" s="1">
        <v>0.45</v>
      </c>
      <c r="G240" s="1">
        <f t="shared" si="17"/>
        <v>60</v>
      </c>
      <c r="H240" s="1">
        <f t="shared" si="18"/>
        <v>15</v>
      </c>
      <c r="I240" s="1" t="str">
        <f t="shared" si="19"/>
        <v>ETC</v>
      </c>
      <c r="J240" s="1" t="s">
        <v>9</v>
      </c>
      <c r="K240" s="2">
        <v>2540.5108812383196</v>
      </c>
      <c r="L240" s="2">
        <v>896.44858746258842</v>
      </c>
      <c r="M240" s="3">
        <v>0.44409823794779735</v>
      </c>
      <c r="N240" s="2">
        <v>874.03333148603554</v>
      </c>
    </row>
    <row r="241" spans="1:14" x14ac:dyDescent="0.3">
      <c r="A241" s="1">
        <v>239</v>
      </c>
      <c r="B241" s="1" t="str">
        <f t="shared" si="20"/>
        <v>MadridSecadoETC0,6</v>
      </c>
      <c r="C241" s="1" t="str">
        <f t="shared" si="16"/>
        <v>MadridSecadoETC0,6</v>
      </c>
      <c r="D241" s="1" t="s">
        <v>22</v>
      </c>
      <c r="E241" s="1" t="s">
        <v>11</v>
      </c>
      <c r="F241" s="1">
        <v>0.6</v>
      </c>
      <c r="G241" s="1">
        <f t="shared" si="17"/>
        <v>60</v>
      </c>
      <c r="H241" s="1">
        <f t="shared" si="18"/>
        <v>15</v>
      </c>
      <c r="I241" s="1" t="str">
        <f t="shared" si="19"/>
        <v>ETC</v>
      </c>
      <c r="J241" s="1" t="s">
        <v>9</v>
      </c>
      <c r="K241" s="2">
        <v>3404.96237213217</v>
      </c>
      <c r="L241" s="2">
        <v>879.35697560048288</v>
      </c>
      <c r="M241" s="3">
        <v>0.57995961032525678</v>
      </c>
      <c r="N241" s="2">
        <v>851.63879479626314</v>
      </c>
    </row>
    <row r="242" spans="1:14" x14ac:dyDescent="0.3">
      <c r="A242" s="1">
        <v>240</v>
      </c>
      <c r="B242" s="1" t="str">
        <f t="shared" si="20"/>
        <v>MadridSecadoETC0,75</v>
      </c>
      <c r="C242" s="1" t="str">
        <f t="shared" si="16"/>
        <v>MadridSecadoETC0,75</v>
      </c>
      <c r="D242" s="1" t="s">
        <v>22</v>
      </c>
      <c r="E242" s="1" t="s">
        <v>11</v>
      </c>
      <c r="F242" s="1">
        <v>0.75</v>
      </c>
      <c r="G242" s="1">
        <f t="shared" si="17"/>
        <v>60</v>
      </c>
      <c r="H242" s="1">
        <f t="shared" si="18"/>
        <v>15</v>
      </c>
      <c r="I242" s="1" t="str">
        <f t="shared" si="19"/>
        <v>ETC</v>
      </c>
      <c r="J242" s="1" t="s">
        <v>9</v>
      </c>
      <c r="K242" s="2">
        <v>4278.5554038425698</v>
      </c>
      <c r="L242" s="2">
        <v>855.27999845532952</v>
      </c>
      <c r="M242" s="3">
        <v>0.70298563790549407</v>
      </c>
      <c r="N242" s="2">
        <v>821.52218609249257</v>
      </c>
    </row>
    <row r="243" spans="1:14" x14ac:dyDescent="0.3">
      <c r="A243" s="1">
        <v>241</v>
      </c>
      <c r="B243" s="1" t="str">
        <f t="shared" si="20"/>
        <v>MadridBebidasPLANO10,3</v>
      </c>
      <c r="C243" s="1" t="str">
        <f t="shared" si="16"/>
        <v>MadridBebidasFPC10,3</v>
      </c>
      <c r="D243" s="1" t="s">
        <v>22</v>
      </c>
      <c r="E243" s="1" t="s">
        <v>13</v>
      </c>
      <c r="F243" s="1">
        <v>0.3</v>
      </c>
      <c r="G243" s="1">
        <f t="shared" si="17"/>
        <v>60</v>
      </c>
      <c r="H243" s="1">
        <f t="shared" si="18"/>
        <v>15</v>
      </c>
      <c r="I243" s="1" t="str">
        <f t="shared" si="19"/>
        <v>FPC1</v>
      </c>
      <c r="J243" s="1" t="s">
        <v>17</v>
      </c>
      <c r="K243" s="2">
        <v>1661.80714340954</v>
      </c>
      <c r="L243" s="2">
        <v>976.22345819090413</v>
      </c>
      <c r="M243" s="3">
        <v>0.31824521384181531</v>
      </c>
      <c r="N243" s="2">
        <v>957.49852463182356</v>
      </c>
    </row>
    <row r="244" spans="1:14" x14ac:dyDescent="0.3">
      <c r="A244" s="1">
        <v>242</v>
      </c>
      <c r="B244" s="1" t="str">
        <f t="shared" si="20"/>
        <v>MadridBebidasPLANO10,45</v>
      </c>
      <c r="C244" s="1" t="str">
        <f t="shared" si="16"/>
        <v>MadridBebidasFPC10,45</v>
      </c>
      <c r="D244" s="1" t="s">
        <v>22</v>
      </c>
      <c r="E244" s="1" t="s">
        <v>13</v>
      </c>
      <c r="F244" s="1">
        <v>0.45</v>
      </c>
      <c r="G244" s="1">
        <f t="shared" si="17"/>
        <v>60</v>
      </c>
      <c r="H244" s="1">
        <f t="shared" si="18"/>
        <v>15</v>
      </c>
      <c r="I244" s="1" t="str">
        <f t="shared" si="19"/>
        <v>FPC1</v>
      </c>
      <c r="J244" s="1" t="s">
        <v>17</v>
      </c>
      <c r="K244" s="2">
        <v>2542.21265046997</v>
      </c>
      <c r="L244" s="2">
        <v>946.83151087801343</v>
      </c>
      <c r="M244" s="3">
        <v>0.46977706650697998</v>
      </c>
      <c r="N244" s="2">
        <v>923.92515219198424</v>
      </c>
    </row>
    <row r="245" spans="1:14" x14ac:dyDescent="0.3">
      <c r="A245" s="1">
        <v>243</v>
      </c>
      <c r="B245" s="1" t="str">
        <f t="shared" si="20"/>
        <v>MadridBebidasPLANO10,6</v>
      </c>
      <c r="C245" s="1" t="str">
        <f t="shared" si="16"/>
        <v>MadridBebidasFPC10,6</v>
      </c>
      <c r="D245" s="1" t="s">
        <v>22</v>
      </c>
      <c r="E245" s="1" t="s">
        <v>13</v>
      </c>
      <c r="F245" s="1">
        <v>0.6</v>
      </c>
      <c r="G245" s="1">
        <f t="shared" si="17"/>
        <v>60</v>
      </c>
      <c r="H245" s="1">
        <f t="shared" si="18"/>
        <v>15</v>
      </c>
      <c r="I245" s="1" t="str">
        <f t="shared" si="19"/>
        <v>FPC1</v>
      </c>
      <c r="J245" s="1" t="s">
        <v>17</v>
      </c>
      <c r="K245" s="2">
        <v>3458.4245801224902</v>
      </c>
      <c r="L245" s="2">
        <v>900.54040930173016</v>
      </c>
      <c r="M245" s="3">
        <v>0.60369144706048139</v>
      </c>
      <c r="N245" s="2">
        <v>872.75745608384761</v>
      </c>
    </row>
    <row r="246" spans="1:14" x14ac:dyDescent="0.3">
      <c r="A246" s="1">
        <v>244</v>
      </c>
      <c r="B246" s="1" t="str">
        <f t="shared" si="20"/>
        <v>MadridBebidasPLANO10,75</v>
      </c>
      <c r="C246" s="1" t="str">
        <f t="shared" si="16"/>
        <v>MadridBebidasFPC10,75</v>
      </c>
      <c r="D246" s="1" t="s">
        <v>22</v>
      </c>
      <c r="E246" s="1" t="s">
        <v>13</v>
      </c>
      <c r="F246" s="1">
        <v>0.75</v>
      </c>
      <c r="G246" s="1">
        <f t="shared" si="17"/>
        <v>60</v>
      </c>
      <c r="H246" s="1">
        <f t="shared" si="18"/>
        <v>15</v>
      </c>
      <c r="I246" s="1" t="str">
        <f t="shared" si="19"/>
        <v>FPC1</v>
      </c>
      <c r="J246" s="1" t="s">
        <v>17</v>
      </c>
      <c r="K246" s="2">
        <v>4412.7746949323309</v>
      </c>
      <c r="L246" s="2">
        <v>840.91857864094311</v>
      </c>
      <c r="M246" s="3">
        <v>0.71323142521050775</v>
      </c>
      <c r="N246" s="2">
        <v>808.11946947922127</v>
      </c>
    </row>
    <row r="247" spans="1:14" x14ac:dyDescent="0.3">
      <c r="A247" s="1">
        <v>245</v>
      </c>
      <c r="B247" s="1" t="str">
        <f t="shared" si="20"/>
        <v>MadridCarnicaPLANO10,3</v>
      </c>
      <c r="C247" s="1" t="str">
        <f t="shared" si="16"/>
        <v>MadridCarnicaFPC10,3</v>
      </c>
      <c r="D247" s="1" t="s">
        <v>22</v>
      </c>
      <c r="E247" s="1" t="s">
        <v>12</v>
      </c>
      <c r="F247" s="1">
        <v>0.3</v>
      </c>
      <c r="G247" s="1">
        <f t="shared" si="17"/>
        <v>120</v>
      </c>
      <c r="H247" s="1">
        <f t="shared" si="18"/>
        <v>60</v>
      </c>
      <c r="I247" s="1" t="str">
        <f t="shared" si="19"/>
        <v>FPC1</v>
      </c>
      <c r="J247" s="1" t="s">
        <v>17</v>
      </c>
      <c r="K247" s="2">
        <v>3099.2327061861292</v>
      </c>
      <c r="L247" s="2">
        <v>485.02764828477723</v>
      </c>
      <c r="M247" s="3">
        <v>0.25831323677717843</v>
      </c>
      <c r="N247" s="2">
        <v>416.72266187945752</v>
      </c>
    </row>
    <row r="248" spans="1:14" x14ac:dyDescent="0.3">
      <c r="A248" s="1">
        <v>246</v>
      </c>
      <c r="B248" s="1" t="str">
        <f t="shared" si="20"/>
        <v>MadridCarnicaPLANO10,45</v>
      </c>
      <c r="C248" s="1" t="str">
        <f t="shared" si="16"/>
        <v>MadridCarnicaFPC10,45</v>
      </c>
      <c r="D248" s="1" t="s">
        <v>22</v>
      </c>
      <c r="E248" s="1" t="s">
        <v>12</v>
      </c>
      <c r="F248" s="1">
        <v>0.45</v>
      </c>
      <c r="G248" s="1">
        <f t="shared" si="17"/>
        <v>120</v>
      </c>
      <c r="H248" s="1">
        <f t="shared" si="18"/>
        <v>60</v>
      </c>
      <c r="I248" s="1" t="str">
        <f t="shared" si="19"/>
        <v>FPC1</v>
      </c>
      <c r="J248" s="1" t="s">
        <v>17</v>
      </c>
      <c r="K248" s="2">
        <v>4831.9498485875602</v>
      </c>
      <c r="L248" s="2">
        <v>455.74920500815227</v>
      </c>
      <c r="M248" s="3">
        <v>0.37556241395480372</v>
      </c>
      <c r="N248" s="2">
        <v>388.61033603140004</v>
      </c>
    </row>
    <row r="249" spans="1:14" x14ac:dyDescent="0.3">
      <c r="A249" s="1">
        <v>247</v>
      </c>
      <c r="B249" s="1" t="str">
        <f t="shared" si="20"/>
        <v>MadridCarnicaPLANO10,6</v>
      </c>
      <c r="C249" s="1" t="str">
        <f t="shared" si="16"/>
        <v>MadridCarnicaFPC10,6</v>
      </c>
      <c r="D249" s="1" t="s">
        <v>22</v>
      </c>
      <c r="E249" s="1" t="s">
        <v>12</v>
      </c>
      <c r="F249" s="1">
        <v>0.6</v>
      </c>
      <c r="G249" s="1">
        <f t="shared" si="17"/>
        <v>120</v>
      </c>
      <c r="H249" s="1">
        <f t="shared" si="18"/>
        <v>60</v>
      </c>
      <c r="I249" s="1" t="str">
        <f t="shared" si="19"/>
        <v>FPC1</v>
      </c>
      <c r="J249" s="1" t="s">
        <v>17</v>
      </c>
      <c r="K249" s="2">
        <v>6707.2448557158687</v>
      </c>
      <c r="L249" s="2">
        <v>419.90503967479458</v>
      </c>
      <c r="M249" s="3">
        <v>0.47360623592541085</v>
      </c>
      <c r="N249" s="2">
        <v>353.04323560795632</v>
      </c>
    </row>
    <row r="250" spans="1:14" x14ac:dyDescent="0.3">
      <c r="A250" s="1">
        <v>248</v>
      </c>
      <c r="B250" s="1" t="str">
        <f t="shared" si="20"/>
        <v>MadridCarnicaPLANO10,75</v>
      </c>
      <c r="C250" s="1" t="str">
        <f t="shared" si="16"/>
        <v>MadridCarnicaFPC10,75</v>
      </c>
      <c r="D250" s="1" t="s">
        <v>22</v>
      </c>
      <c r="E250" s="1" t="s">
        <v>12</v>
      </c>
      <c r="F250" s="1">
        <v>0.75</v>
      </c>
      <c r="G250" s="1">
        <f t="shared" si="17"/>
        <v>120</v>
      </c>
      <c r="H250" s="1">
        <f t="shared" si="18"/>
        <v>60</v>
      </c>
      <c r="I250" s="1" t="str">
        <f t="shared" si="19"/>
        <v>FPC1</v>
      </c>
      <c r="J250" s="1" t="s">
        <v>17</v>
      </c>
      <c r="K250" s="2">
        <v>8720.6706405018613</v>
      </c>
      <c r="L250" s="2">
        <v>387.51103800370765</v>
      </c>
      <c r="M250" s="3">
        <v>0.55873221744893975</v>
      </c>
      <c r="N250" s="2">
        <v>320.33801008624482</v>
      </c>
    </row>
    <row r="251" spans="1:14" x14ac:dyDescent="0.3">
      <c r="A251" s="1">
        <v>249</v>
      </c>
      <c r="B251" s="1" t="str">
        <f t="shared" si="20"/>
        <v>MadridFarmaceuticaPLANO10,3</v>
      </c>
      <c r="C251" s="1" t="str">
        <f t="shared" si="16"/>
        <v>MadridFarmaceuticaFPC10,3</v>
      </c>
      <c r="D251" s="1" t="s">
        <v>22</v>
      </c>
      <c r="E251" s="1" t="s">
        <v>15</v>
      </c>
      <c r="F251" s="1">
        <v>0.3</v>
      </c>
      <c r="G251" s="1">
        <f t="shared" si="17"/>
        <v>120</v>
      </c>
      <c r="H251" s="1">
        <f t="shared" si="18"/>
        <v>60</v>
      </c>
      <c r="I251" s="1" t="str">
        <f t="shared" si="19"/>
        <v>FPC1</v>
      </c>
      <c r="J251" s="1" t="s">
        <v>17</v>
      </c>
      <c r="K251" s="2">
        <v>3099.2327061861292</v>
      </c>
      <c r="L251" s="2">
        <v>485.14098327641921</v>
      </c>
      <c r="M251" s="3">
        <v>0.25841280059996963</v>
      </c>
      <c r="N251" s="2">
        <v>416.87556175843031</v>
      </c>
    </row>
    <row r="252" spans="1:14" x14ac:dyDescent="0.3">
      <c r="A252" s="1">
        <v>250</v>
      </c>
      <c r="B252" s="1" t="str">
        <f t="shared" si="20"/>
        <v>MadridFarmaceuticaPLANO10,45</v>
      </c>
      <c r="C252" s="1" t="str">
        <f t="shared" si="16"/>
        <v>MadridFarmaceuticaFPC10,45</v>
      </c>
      <c r="D252" s="1" t="s">
        <v>22</v>
      </c>
      <c r="E252" s="1" t="s">
        <v>15</v>
      </c>
      <c r="F252" s="1">
        <v>0.45</v>
      </c>
      <c r="G252" s="1">
        <f t="shared" si="17"/>
        <v>120</v>
      </c>
      <c r="H252" s="1">
        <f t="shared" si="18"/>
        <v>60</v>
      </c>
      <c r="I252" s="1" t="str">
        <f t="shared" si="19"/>
        <v>FPC1</v>
      </c>
      <c r="J252" s="1" t="s">
        <v>17</v>
      </c>
      <c r="K252" s="2">
        <v>4831.9498485875602</v>
      </c>
      <c r="L252" s="2">
        <v>455.860243925232</v>
      </c>
      <c r="M252" s="3">
        <v>0.37569631364746114</v>
      </c>
      <c r="N252" s="2">
        <v>388.74168777753931</v>
      </c>
    </row>
    <row r="253" spans="1:14" x14ac:dyDescent="0.3">
      <c r="A253" s="1">
        <v>251</v>
      </c>
      <c r="B253" s="1" t="str">
        <f t="shared" si="20"/>
        <v>MadridFarmaceuticaPLANO10,6</v>
      </c>
      <c r="C253" s="1" t="str">
        <f t="shared" si="16"/>
        <v>MadridFarmaceuticaFPC10,6</v>
      </c>
      <c r="D253" s="1" t="s">
        <v>22</v>
      </c>
      <c r="E253" s="1" t="s">
        <v>15</v>
      </c>
      <c r="F253" s="1">
        <v>0.6</v>
      </c>
      <c r="G253" s="1">
        <f t="shared" si="17"/>
        <v>120</v>
      </c>
      <c r="H253" s="1">
        <f t="shared" si="18"/>
        <v>60</v>
      </c>
      <c r="I253" s="1" t="str">
        <f t="shared" si="19"/>
        <v>FPC1</v>
      </c>
      <c r="J253" s="1" t="s">
        <v>17</v>
      </c>
      <c r="K253" s="2">
        <v>6707.2448557158687</v>
      </c>
      <c r="L253" s="2">
        <v>420.03824072880684</v>
      </c>
      <c r="M253" s="3">
        <v>0.4737962652019268</v>
      </c>
      <c r="N253" s="2">
        <v>353.17834904727431</v>
      </c>
    </row>
    <row r="254" spans="1:14" x14ac:dyDescent="0.3">
      <c r="A254" s="1">
        <v>252</v>
      </c>
      <c r="B254" s="1" t="str">
        <f t="shared" si="20"/>
        <v>MadridFarmaceuticaPLANO10,75</v>
      </c>
      <c r="C254" s="1" t="str">
        <f t="shared" si="16"/>
        <v>MadridFarmaceuticaFPC10,75</v>
      </c>
      <c r="D254" s="1" t="s">
        <v>22</v>
      </c>
      <c r="E254" s="1" t="s">
        <v>15</v>
      </c>
      <c r="F254" s="1">
        <v>0.75</v>
      </c>
      <c r="G254" s="1">
        <f t="shared" si="17"/>
        <v>120</v>
      </c>
      <c r="H254" s="1">
        <f t="shared" si="18"/>
        <v>60</v>
      </c>
      <c r="I254" s="1" t="str">
        <f t="shared" si="19"/>
        <v>FPC1</v>
      </c>
      <c r="J254" s="1" t="s">
        <v>17</v>
      </c>
      <c r="K254" s="2">
        <v>8720.6706405018613</v>
      </c>
      <c r="L254" s="2">
        <v>387.59821233363596</v>
      </c>
      <c r="M254" s="3">
        <v>0.55890073861255507</v>
      </c>
      <c r="N254" s="2">
        <v>320.42869364262629</v>
      </c>
    </row>
    <row r="255" spans="1:14" x14ac:dyDescent="0.3">
      <c r="A255" s="1">
        <v>253</v>
      </c>
      <c r="B255" s="1" t="str">
        <f t="shared" si="20"/>
        <v>MadridLacteosPLANO10,3</v>
      </c>
      <c r="C255" s="1" t="str">
        <f t="shared" si="16"/>
        <v>MadridLacteosFPC10,3</v>
      </c>
      <c r="D255" s="1" t="s">
        <v>22</v>
      </c>
      <c r="E255" s="1" t="s">
        <v>14</v>
      </c>
      <c r="F255" s="1">
        <v>0.3</v>
      </c>
      <c r="G255" s="1">
        <f t="shared" si="17"/>
        <v>120</v>
      </c>
      <c r="H255" s="1">
        <f t="shared" si="18"/>
        <v>60</v>
      </c>
      <c r="I255" s="1" t="str">
        <f t="shared" si="19"/>
        <v>FPC1</v>
      </c>
      <c r="J255" s="1" t="s">
        <v>17</v>
      </c>
      <c r="K255" s="2">
        <v>3099.2327061861292</v>
      </c>
      <c r="L255" s="2">
        <v>477.04102308496664</v>
      </c>
      <c r="M255" s="3">
        <v>0.26515372531825493</v>
      </c>
      <c r="N255" s="2">
        <v>427.81244777543014</v>
      </c>
    </row>
    <row r="256" spans="1:14" x14ac:dyDescent="0.3">
      <c r="A256" s="1">
        <v>254</v>
      </c>
      <c r="B256" s="1" t="str">
        <f t="shared" si="20"/>
        <v>MadridLacteosPLANO10,45</v>
      </c>
      <c r="C256" s="1" t="str">
        <f t="shared" si="16"/>
        <v>MadridLacteosFPC10,45</v>
      </c>
      <c r="D256" s="1" t="s">
        <v>22</v>
      </c>
      <c r="E256" s="1" t="s">
        <v>14</v>
      </c>
      <c r="F256" s="1">
        <v>0.45</v>
      </c>
      <c r="G256" s="1">
        <f t="shared" si="17"/>
        <v>120</v>
      </c>
      <c r="H256" s="1">
        <f t="shared" si="18"/>
        <v>60</v>
      </c>
      <c r="I256" s="1" t="str">
        <f t="shared" si="19"/>
        <v>FPC1</v>
      </c>
      <c r="J256" s="1" t="s">
        <v>17</v>
      </c>
      <c r="K256" s="2">
        <v>4831.9498485875602</v>
      </c>
      <c r="L256" s="2">
        <v>446.26808528066562</v>
      </c>
      <c r="M256" s="3">
        <v>0.38469689845698107</v>
      </c>
      <c r="N256" s="2">
        <v>398.112796220051</v>
      </c>
    </row>
    <row r="257" spans="1:14" x14ac:dyDescent="0.3">
      <c r="A257" s="1">
        <v>255</v>
      </c>
      <c r="B257" s="1" t="str">
        <f t="shared" si="20"/>
        <v>MadridLacteosPLANO10,6</v>
      </c>
      <c r="C257" s="1" t="str">
        <f t="shared" si="16"/>
        <v>MadridLacteosFPC10,6</v>
      </c>
      <c r="D257" s="1" t="s">
        <v>22</v>
      </c>
      <c r="E257" s="1" t="s">
        <v>14</v>
      </c>
      <c r="F257" s="1">
        <v>0.6</v>
      </c>
      <c r="G257" s="1">
        <f t="shared" si="17"/>
        <v>120</v>
      </c>
      <c r="H257" s="1">
        <f t="shared" si="18"/>
        <v>60</v>
      </c>
      <c r="I257" s="1" t="str">
        <f t="shared" si="19"/>
        <v>FPC1</v>
      </c>
      <c r="J257" s="1" t="s">
        <v>17</v>
      </c>
      <c r="K257" s="2">
        <v>6707.2448557158687</v>
      </c>
      <c r="L257" s="2">
        <v>409.37385939847189</v>
      </c>
      <c r="M257" s="3">
        <v>0.48501063299299579</v>
      </c>
      <c r="N257" s="2">
        <v>361.59046427503932</v>
      </c>
    </row>
    <row r="258" spans="1:14" x14ac:dyDescent="0.3">
      <c r="A258" s="1">
        <v>256</v>
      </c>
      <c r="B258" s="1" t="str">
        <f t="shared" si="20"/>
        <v>MadridLacteosPLANO10,75</v>
      </c>
      <c r="C258" s="1" t="str">
        <f t="shared" si="16"/>
        <v>MadridLacteosFPC10,75</v>
      </c>
      <c r="D258" s="1" t="s">
        <v>22</v>
      </c>
      <c r="E258" s="1" t="s">
        <v>14</v>
      </c>
      <c r="F258" s="1">
        <v>0.75</v>
      </c>
      <c r="G258" s="1">
        <f t="shared" si="17"/>
        <v>120</v>
      </c>
      <c r="H258" s="1">
        <f t="shared" si="18"/>
        <v>60</v>
      </c>
      <c r="I258" s="1" t="str">
        <f t="shared" si="19"/>
        <v>FPC1</v>
      </c>
      <c r="J258" s="1" t="s">
        <v>17</v>
      </c>
      <c r="K258" s="2">
        <v>8720.6706405018613</v>
      </c>
      <c r="L258" s="2">
        <v>375.7535554677774</v>
      </c>
      <c r="M258" s="3">
        <v>0.57182888769046469</v>
      </c>
      <c r="N258" s="2">
        <v>327.88841841490137</v>
      </c>
    </row>
    <row r="259" spans="1:14" x14ac:dyDescent="0.3">
      <c r="A259" s="1">
        <v>257</v>
      </c>
      <c r="B259" s="1" t="str">
        <f t="shared" si="20"/>
        <v>MadridSecadoPLANO10,3</v>
      </c>
      <c r="C259" s="1" t="str">
        <f t="shared" si="16"/>
        <v>MadridSecadoFPC10,3</v>
      </c>
      <c r="D259" s="1" t="s">
        <v>22</v>
      </c>
      <c r="E259" s="1" t="s">
        <v>11</v>
      </c>
      <c r="F259" s="1">
        <v>0.3</v>
      </c>
      <c r="G259" s="1">
        <f t="shared" si="17"/>
        <v>60</v>
      </c>
      <c r="H259" s="1">
        <f t="shared" si="18"/>
        <v>15</v>
      </c>
      <c r="I259" s="1" t="str">
        <f t="shared" si="19"/>
        <v>FPC1</v>
      </c>
      <c r="J259" s="1" t="s">
        <v>17</v>
      </c>
      <c r="K259" s="2">
        <v>1661.80714340954</v>
      </c>
      <c r="L259" s="2">
        <v>976.19757860918673</v>
      </c>
      <c r="M259" s="3">
        <v>0.31819673059982817</v>
      </c>
      <c r="N259" s="2">
        <v>957.38164258488439</v>
      </c>
    </row>
    <row r="260" spans="1:14" x14ac:dyDescent="0.3">
      <c r="A260" s="1">
        <v>258</v>
      </c>
      <c r="B260" s="1" t="str">
        <f t="shared" si="20"/>
        <v>MadridSecadoPLANO10,45</v>
      </c>
      <c r="C260" s="1" t="str">
        <f t="shared" ref="C260:C323" si="21">_xlfn.CONCAT(D260,E260,I260,F260)</f>
        <v>MadridSecadoFPC10,45</v>
      </c>
      <c r="D260" s="1" t="s">
        <v>22</v>
      </c>
      <c r="E260" s="1" t="s">
        <v>11</v>
      </c>
      <c r="F260" s="1">
        <v>0.45</v>
      </c>
      <c r="G260" s="1">
        <f t="shared" ref="G260:G323" si="22">IF(OR($E260="Secado",$E260="Bebidas"),60,120)</f>
        <v>60</v>
      </c>
      <c r="H260" s="1">
        <f t="shared" ref="H260:H323" si="23">IF(OR($E260="Secado",$E260="Bebidas"),15,60)</f>
        <v>15</v>
      </c>
      <c r="I260" s="1" t="str">
        <f t="shared" ref="I260:I323" si="24">IF(J260="AIRE","Aire",IF(J260="ETC","ETC",IF(J260="PLANO1","FPC1",IF(J260="PLANO2","FPC2",IF(J260="WESSUN","WeSSun")))))</f>
        <v>FPC1</v>
      </c>
      <c r="J260" s="1" t="s">
        <v>17</v>
      </c>
      <c r="K260" s="2">
        <v>2542.21265046997</v>
      </c>
      <c r="L260" s="2">
        <v>947.03686630979621</v>
      </c>
      <c r="M260" s="3">
        <v>0.46985686854976666</v>
      </c>
      <c r="N260" s="2">
        <v>924.11008251014619</v>
      </c>
    </row>
    <row r="261" spans="1:14" x14ac:dyDescent="0.3">
      <c r="A261" s="1">
        <v>259</v>
      </c>
      <c r="B261" s="1" t="str">
        <f t="shared" si="20"/>
        <v>MadridSecadoPLANO10,6</v>
      </c>
      <c r="C261" s="1" t="str">
        <f t="shared" si="21"/>
        <v>MadridSecadoFPC10,6</v>
      </c>
      <c r="D261" s="1" t="s">
        <v>22</v>
      </c>
      <c r="E261" s="1" t="s">
        <v>11</v>
      </c>
      <c r="F261" s="1">
        <v>0.6</v>
      </c>
      <c r="G261" s="1">
        <f t="shared" si="22"/>
        <v>60</v>
      </c>
      <c r="H261" s="1">
        <f t="shared" si="23"/>
        <v>15</v>
      </c>
      <c r="I261" s="1" t="str">
        <f t="shared" si="24"/>
        <v>FPC1</v>
      </c>
      <c r="J261" s="1" t="s">
        <v>17</v>
      </c>
      <c r="K261" s="2">
        <v>3458.4245801224902</v>
      </c>
      <c r="L261" s="2">
        <v>900.69643174594444</v>
      </c>
      <c r="M261" s="3">
        <v>0.60376881434588336</v>
      </c>
      <c r="N261" s="2">
        <v>872.89573650233058</v>
      </c>
    </row>
    <row r="262" spans="1:14" x14ac:dyDescent="0.3">
      <c r="A262" s="1">
        <v>260</v>
      </c>
      <c r="B262" s="1" t="str">
        <f t="shared" si="20"/>
        <v>MadridSecadoPLANO10,75</v>
      </c>
      <c r="C262" s="1" t="str">
        <f t="shared" si="21"/>
        <v>MadridSecadoFPC10,75</v>
      </c>
      <c r="D262" s="1" t="s">
        <v>22</v>
      </c>
      <c r="E262" s="1" t="s">
        <v>11</v>
      </c>
      <c r="F262" s="1">
        <v>0.75</v>
      </c>
      <c r="G262" s="1">
        <f t="shared" si="22"/>
        <v>60</v>
      </c>
      <c r="H262" s="1">
        <f t="shared" si="23"/>
        <v>15</v>
      </c>
      <c r="I262" s="1" t="str">
        <f t="shared" si="24"/>
        <v>FPC1</v>
      </c>
      <c r="J262" s="1" t="s">
        <v>17</v>
      </c>
      <c r="K262" s="2">
        <v>4412.7746949323309</v>
      </c>
      <c r="L262" s="2">
        <v>840.95475818904606</v>
      </c>
      <c r="M262" s="3">
        <v>0.71321128902077979</v>
      </c>
      <c r="N262" s="2">
        <v>808.12112350581288</v>
      </c>
    </row>
    <row r="263" spans="1:14" x14ac:dyDescent="0.3">
      <c r="A263" s="1">
        <v>261</v>
      </c>
      <c r="B263" s="1" t="str">
        <f t="shared" si="20"/>
        <v>MadridBebidasPLANO20,3</v>
      </c>
      <c r="C263" s="1" t="str">
        <f t="shared" si="21"/>
        <v>MadridBebidasFPC20,3</v>
      </c>
      <c r="D263" s="1" t="s">
        <v>22</v>
      </c>
      <c r="E263" s="1" t="s">
        <v>13</v>
      </c>
      <c r="F263" s="1">
        <v>0.3</v>
      </c>
      <c r="G263" s="1">
        <f t="shared" si="22"/>
        <v>60</v>
      </c>
      <c r="H263" s="1">
        <f t="shared" si="23"/>
        <v>15</v>
      </c>
      <c r="I263" s="1" t="str">
        <f t="shared" si="24"/>
        <v>FPC2</v>
      </c>
      <c r="J263" s="1" t="s">
        <v>18</v>
      </c>
      <c r="K263" s="2">
        <v>1513.7676556149897</v>
      </c>
      <c r="L263" s="2">
        <v>1046.258197777604</v>
      </c>
      <c r="M263" s="3">
        <v>0.31092005859028338</v>
      </c>
      <c r="N263" s="2">
        <v>1026.9430814004243</v>
      </c>
    </row>
    <row r="264" spans="1:14" x14ac:dyDescent="0.3">
      <c r="A264" s="1">
        <v>262</v>
      </c>
      <c r="B264" s="1" t="str">
        <f t="shared" si="20"/>
        <v>MadridBebidasPLANO20,45</v>
      </c>
      <c r="C264" s="1" t="str">
        <f t="shared" si="21"/>
        <v>MadridBebidasFPC20,45</v>
      </c>
      <c r="D264" s="1" t="s">
        <v>22</v>
      </c>
      <c r="E264" s="1" t="s">
        <v>13</v>
      </c>
      <c r="F264" s="1">
        <v>0.45</v>
      </c>
      <c r="G264" s="1">
        <f t="shared" si="22"/>
        <v>60</v>
      </c>
      <c r="H264" s="1">
        <f t="shared" si="23"/>
        <v>15</v>
      </c>
      <c r="I264" s="1" t="str">
        <f t="shared" si="24"/>
        <v>FPC2</v>
      </c>
      <c r="J264" s="1" t="s">
        <v>18</v>
      </c>
      <c r="K264" s="2">
        <v>2313.9964904067601</v>
      </c>
      <c r="L264" s="2">
        <v>1020.3172518809497</v>
      </c>
      <c r="M264" s="3">
        <v>0.46144629520644243</v>
      </c>
      <c r="N264" s="2">
        <v>997.04628952578355</v>
      </c>
    </row>
    <row r="265" spans="1:14" x14ac:dyDescent="0.3">
      <c r="A265" s="1">
        <v>263</v>
      </c>
      <c r="B265" s="1" t="str">
        <f t="shared" si="20"/>
        <v>MadridBebidasPLANO20,6</v>
      </c>
      <c r="C265" s="1" t="str">
        <f t="shared" si="21"/>
        <v>MadridBebidasFPC20,6</v>
      </c>
      <c r="D265" s="1" t="s">
        <v>22</v>
      </c>
      <c r="E265" s="1" t="s">
        <v>13</v>
      </c>
      <c r="F265" s="1">
        <v>0.6</v>
      </c>
      <c r="G265" s="1">
        <f t="shared" si="22"/>
        <v>60</v>
      </c>
      <c r="H265" s="1">
        <f t="shared" si="23"/>
        <v>15</v>
      </c>
      <c r="I265" s="1" t="str">
        <f t="shared" si="24"/>
        <v>FPC2</v>
      </c>
      <c r="J265" s="1" t="s">
        <v>18</v>
      </c>
      <c r="K265" s="2">
        <v>3146.2613937764995</v>
      </c>
      <c r="L265" s="2">
        <v>977.45404761723205</v>
      </c>
      <c r="M265" s="3">
        <v>0.59731443493276981</v>
      </c>
      <c r="N265" s="2">
        <v>949.21602805506279</v>
      </c>
    </row>
    <row r="266" spans="1:14" x14ac:dyDescent="0.3">
      <c r="A266" s="1">
        <v>264</v>
      </c>
      <c r="B266" s="1" t="str">
        <f t="shared" si="20"/>
        <v>MadridBebidasPLANO20,75</v>
      </c>
      <c r="C266" s="1" t="str">
        <f t="shared" si="21"/>
        <v>MadridBebidasFPC20,75</v>
      </c>
      <c r="D266" s="1" t="s">
        <v>22</v>
      </c>
      <c r="E266" s="1" t="s">
        <v>13</v>
      </c>
      <c r="F266" s="1">
        <v>0.75</v>
      </c>
      <c r="G266" s="1">
        <f t="shared" si="22"/>
        <v>60</v>
      </c>
      <c r="H266" s="1">
        <f t="shared" si="23"/>
        <v>15</v>
      </c>
      <c r="I266" s="1" t="str">
        <f t="shared" si="24"/>
        <v>FPC2</v>
      </c>
      <c r="J266" s="1" t="s">
        <v>18</v>
      </c>
      <c r="K266" s="2">
        <v>4013.220144506799</v>
      </c>
      <c r="L266" s="2">
        <v>918.10045451703968</v>
      </c>
      <c r="M266" s="3">
        <v>0.71001732056526612</v>
      </c>
      <c r="N266" s="2">
        <v>884.57123729849684</v>
      </c>
    </row>
    <row r="267" spans="1:14" x14ac:dyDescent="0.3">
      <c r="A267" s="1">
        <v>265</v>
      </c>
      <c r="B267" s="1" t="str">
        <f t="shared" si="20"/>
        <v>MadridCarnicaPLANO20,3</v>
      </c>
      <c r="C267" s="1" t="str">
        <f t="shared" si="21"/>
        <v>MadridCarnicaFPC20,3</v>
      </c>
      <c r="D267" s="1" t="s">
        <v>22</v>
      </c>
      <c r="E267" s="1" t="s">
        <v>12</v>
      </c>
      <c r="F267" s="1">
        <v>0.3</v>
      </c>
      <c r="G267" s="1">
        <f t="shared" si="22"/>
        <v>120</v>
      </c>
      <c r="H267" s="1">
        <f t="shared" si="23"/>
        <v>60</v>
      </c>
      <c r="I267" s="1" t="str">
        <f t="shared" si="24"/>
        <v>FPC2</v>
      </c>
      <c r="J267" s="1" t="s">
        <v>18</v>
      </c>
      <c r="K267" s="2">
        <v>3076.8598970799499</v>
      </c>
      <c r="L267" s="2">
        <v>510.49397870590224</v>
      </c>
      <c r="M267" s="3">
        <v>0.27144248242298902</v>
      </c>
      <c r="N267" s="2">
        <v>441.0874901431456</v>
      </c>
    </row>
    <row r="268" spans="1:14" x14ac:dyDescent="0.3">
      <c r="A268" s="1">
        <v>266</v>
      </c>
      <c r="B268" s="1" t="str">
        <f t="shared" si="20"/>
        <v>MadridCarnicaPLANO20,45</v>
      </c>
      <c r="C268" s="1" t="str">
        <f t="shared" si="21"/>
        <v>MadridCarnicaFPC20,45</v>
      </c>
      <c r="D268" s="1" t="s">
        <v>22</v>
      </c>
      <c r="E268" s="1" t="s">
        <v>12</v>
      </c>
      <c r="F268" s="1">
        <v>0.45</v>
      </c>
      <c r="G268" s="1">
        <f t="shared" si="22"/>
        <v>120</v>
      </c>
      <c r="H268" s="1">
        <f t="shared" si="23"/>
        <v>60</v>
      </c>
      <c r="I268" s="1" t="str">
        <f t="shared" si="24"/>
        <v>FPC2</v>
      </c>
      <c r="J268" s="1" t="s">
        <v>18</v>
      </c>
      <c r="K268" s="2">
        <v>4863.2522039795213</v>
      </c>
      <c r="L268" s="2">
        <v>473.08136477191033</v>
      </c>
      <c r="M268" s="3">
        <v>0.39411870272092187</v>
      </c>
      <c r="N268" s="2">
        <v>405.18643368373597</v>
      </c>
    </row>
    <row r="269" spans="1:14" x14ac:dyDescent="0.3">
      <c r="A269" s="1">
        <v>267</v>
      </c>
      <c r="B269" s="1" t="str">
        <f t="shared" si="20"/>
        <v>MadridCarnicaPLANO20,6</v>
      </c>
      <c r="C269" s="1" t="str">
        <f t="shared" si="21"/>
        <v>MadridCarnicaFPC20,6</v>
      </c>
      <c r="D269" s="1" t="s">
        <v>22</v>
      </c>
      <c r="E269" s="1" t="s">
        <v>12</v>
      </c>
      <c r="F269" s="1">
        <v>0.6</v>
      </c>
      <c r="G269" s="1">
        <f t="shared" si="22"/>
        <v>120</v>
      </c>
      <c r="H269" s="1">
        <f t="shared" si="23"/>
        <v>60</v>
      </c>
      <c r="I269" s="1" t="str">
        <f t="shared" si="24"/>
        <v>FPC2</v>
      </c>
      <c r="J269" s="1" t="s">
        <v>18</v>
      </c>
      <c r="K269" s="2">
        <v>6856.7209449477677</v>
      </c>
      <c r="L269" s="2">
        <v>429.58153213211136</v>
      </c>
      <c r="M269" s="3">
        <v>0.49630500812123007</v>
      </c>
      <c r="N269" s="2">
        <v>361.89853614718351</v>
      </c>
    </row>
    <row r="270" spans="1:14" x14ac:dyDescent="0.3">
      <c r="A270" s="1">
        <v>268</v>
      </c>
      <c r="B270" s="1" t="str">
        <f t="shared" si="20"/>
        <v>MadridCarnicaPLANO20,75</v>
      </c>
      <c r="C270" s="1" t="str">
        <f t="shared" si="21"/>
        <v>MadridCarnicaFPC20,75</v>
      </c>
      <c r="D270" s="1" t="s">
        <v>22</v>
      </c>
      <c r="E270" s="1" t="s">
        <v>12</v>
      </c>
      <c r="F270" s="1">
        <v>0.75</v>
      </c>
      <c r="G270" s="1">
        <f t="shared" si="22"/>
        <v>120</v>
      </c>
      <c r="H270" s="1">
        <f t="shared" si="23"/>
        <v>60</v>
      </c>
      <c r="I270" s="1" t="str">
        <f t="shared" si="24"/>
        <v>FPC2</v>
      </c>
      <c r="J270" s="1" t="s">
        <v>18</v>
      </c>
      <c r="K270" s="2">
        <v>8601.2093988511497</v>
      </c>
      <c r="L270" s="2">
        <v>396.89173385925017</v>
      </c>
      <c r="M270" s="3">
        <v>0.56635165162089085</v>
      </c>
      <c r="N270" s="2">
        <v>329.21627316659158</v>
      </c>
    </row>
    <row r="271" spans="1:14" x14ac:dyDescent="0.3">
      <c r="A271" s="1">
        <v>269</v>
      </c>
      <c r="B271" s="1" t="str">
        <f t="shared" si="20"/>
        <v>MadridFarmaceuticaPLANO20,3</v>
      </c>
      <c r="C271" s="1" t="str">
        <f t="shared" si="21"/>
        <v>MadridFarmaceuticaFPC20,3</v>
      </c>
      <c r="D271" s="1" t="s">
        <v>22</v>
      </c>
      <c r="E271" s="1" t="s">
        <v>15</v>
      </c>
      <c r="F271" s="1">
        <v>0.3</v>
      </c>
      <c r="G271" s="1">
        <f t="shared" si="22"/>
        <v>120</v>
      </c>
      <c r="H271" s="1">
        <f t="shared" si="23"/>
        <v>60</v>
      </c>
      <c r="I271" s="1" t="str">
        <f t="shared" si="24"/>
        <v>FPC2</v>
      </c>
      <c r="J271" s="1" t="s">
        <v>18</v>
      </c>
      <c r="K271" s="2">
        <v>3076.8598970799499</v>
      </c>
      <c r="L271" s="2">
        <v>510.6052278736488</v>
      </c>
      <c r="M271" s="3">
        <v>0.27154108553552997</v>
      </c>
      <c r="N271" s="2">
        <v>441.23954556713659</v>
      </c>
    </row>
    <row r="272" spans="1:14" x14ac:dyDescent="0.3">
      <c r="A272" s="1">
        <v>270</v>
      </c>
      <c r="B272" s="1" t="str">
        <f t="shared" si="20"/>
        <v>MadridFarmaceuticaPLANO20,45</v>
      </c>
      <c r="C272" s="1" t="str">
        <f t="shared" si="21"/>
        <v>MadridFarmaceuticaFPC20,45</v>
      </c>
      <c r="D272" s="1" t="s">
        <v>22</v>
      </c>
      <c r="E272" s="1" t="s">
        <v>15</v>
      </c>
      <c r="F272" s="1">
        <v>0.45</v>
      </c>
      <c r="G272" s="1">
        <f t="shared" si="22"/>
        <v>120</v>
      </c>
      <c r="H272" s="1">
        <f t="shared" si="23"/>
        <v>60</v>
      </c>
      <c r="I272" s="1" t="str">
        <f t="shared" si="24"/>
        <v>FPC2</v>
      </c>
      <c r="J272" s="1" t="s">
        <v>18</v>
      </c>
      <c r="K272" s="2">
        <v>4863.2522039795213</v>
      </c>
      <c r="L272" s="2">
        <v>473.2146263964591</v>
      </c>
      <c r="M272" s="3">
        <v>0.39427531972420093</v>
      </c>
      <c r="N272" s="2">
        <v>405.33994148585566</v>
      </c>
    </row>
    <row r="273" spans="1:14" x14ac:dyDescent="0.3">
      <c r="A273" s="1">
        <v>271</v>
      </c>
      <c r="B273" s="1" t="str">
        <f t="shared" si="20"/>
        <v>MadridFarmaceuticaPLANO20,6</v>
      </c>
      <c r="C273" s="1" t="str">
        <f t="shared" si="21"/>
        <v>MadridFarmaceuticaFPC20,6</v>
      </c>
      <c r="D273" s="1" t="s">
        <v>22</v>
      </c>
      <c r="E273" s="1" t="s">
        <v>15</v>
      </c>
      <c r="F273" s="1">
        <v>0.6</v>
      </c>
      <c r="G273" s="1">
        <f t="shared" si="22"/>
        <v>120</v>
      </c>
      <c r="H273" s="1">
        <f t="shared" si="23"/>
        <v>60</v>
      </c>
      <c r="I273" s="1" t="str">
        <f t="shared" si="24"/>
        <v>FPC2</v>
      </c>
      <c r="J273" s="1" t="s">
        <v>18</v>
      </c>
      <c r="K273" s="2">
        <v>6856.7209449477677</v>
      </c>
      <c r="L273" s="2">
        <v>429.69434718273197</v>
      </c>
      <c r="M273" s="3">
        <v>0.4964811616869611</v>
      </c>
      <c r="N273" s="2">
        <v>362.0202797897424</v>
      </c>
    </row>
    <row r="274" spans="1:14" x14ac:dyDescent="0.3">
      <c r="A274" s="1">
        <v>272</v>
      </c>
      <c r="B274" s="1" t="str">
        <f t="shared" si="20"/>
        <v>MadridFarmaceuticaPLANO20,75</v>
      </c>
      <c r="C274" s="1" t="str">
        <f t="shared" si="21"/>
        <v>MadridFarmaceuticaFPC20,75</v>
      </c>
      <c r="D274" s="1" t="s">
        <v>22</v>
      </c>
      <c r="E274" s="1" t="s">
        <v>15</v>
      </c>
      <c r="F274" s="1">
        <v>0.75</v>
      </c>
      <c r="G274" s="1">
        <f t="shared" si="22"/>
        <v>120</v>
      </c>
      <c r="H274" s="1">
        <f t="shared" si="23"/>
        <v>60</v>
      </c>
      <c r="I274" s="1" t="str">
        <f t="shared" si="24"/>
        <v>FPC2</v>
      </c>
      <c r="J274" s="1" t="s">
        <v>18</v>
      </c>
      <c r="K274" s="2">
        <v>8601.2093988511497</v>
      </c>
      <c r="L274" s="2">
        <v>396.97752812870823</v>
      </c>
      <c r="M274" s="3">
        <v>0.56651201634632975</v>
      </c>
      <c r="N274" s="2">
        <v>329.30339299300107</v>
      </c>
    </row>
    <row r="275" spans="1:14" x14ac:dyDescent="0.3">
      <c r="A275" s="1">
        <v>273</v>
      </c>
      <c r="B275" s="1" t="str">
        <f t="shared" si="20"/>
        <v>MadridLacteosPLANO20,3</v>
      </c>
      <c r="C275" s="1" t="str">
        <f t="shared" si="21"/>
        <v>MadridLacteosFPC20,3</v>
      </c>
      <c r="D275" s="1" t="s">
        <v>22</v>
      </c>
      <c r="E275" s="1" t="s">
        <v>14</v>
      </c>
      <c r="F275" s="1">
        <v>0.3</v>
      </c>
      <c r="G275" s="1">
        <f t="shared" si="22"/>
        <v>120</v>
      </c>
      <c r="H275" s="1">
        <f t="shared" si="23"/>
        <v>60</v>
      </c>
      <c r="I275" s="1" t="str">
        <f t="shared" si="24"/>
        <v>FPC2</v>
      </c>
      <c r="J275" s="1" t="s">
        <v>18</v>
      </c>
      <c r="K275" s="2">
        <v>3076.8598970799499</v>
      </c>
      <c r="L275" s="2">
        <v>501.56251883919606</v>
      </c>
      <c r="M275" s="3">
        <v>0.27787842853731481</v>
      </c>
      <c r="N275" s="2">
        <v>451.60317121398396</v>
      </c>
    </row>
    <row r="276" spans="1:14" x14ac:dyDescent="0.3">
      <c r="A276" s="1">
        <v>274</v>
      </c>
      <c r="B276" s="1" t="str">
        <f t="shared" si="20"/>
        <v>MadridLacteosPLANO20,45</v>
      </c>
      <c r="C276" s="1" t="str">
        <f t="shared" si="21"/>
        <v>MadridLacteosFPC20,45</v>
      </c>
      <c r="D276" s="1" t="s">
        <v>22</v>
      </c>
      <c r="E276" s="1" t="s">
        <v>14</v>
      </c>
      <c r="F276" s="1">
        <v>0.45</v>
      </c>
      <c r="G276" s="1">
        <f t="shared" si="22"/>
        <v>120</v>
      </c>
      <c r="H276" s="1">
        <f t="shared" si="23"/>
        <v>60</v>
      </c>
      <c r="I276" s="1" t="str">
        <f t="shared" si="24"/>
        <v>FPC2</v>
      </c>
      <c r="J276" s="1" t="s">
        <v>18</v>
      </c>
      <c r="K276" s="2">
        <v>4863.2522039795213</v>
      </c>
      <c r="L276" s="2">
        <v>462.52706612396423</v>
      </c>
      <c r="M276" s="3">
        <v>0.40256601710917961</v>
      </c>
      <c r="N276" s="2">
        <v>413.92360010200082</v>
      </c>
    </row>
    <row r="277" spans="1:14" x14ac:dyDescent="0.3">
      <c r="A277" s="1">
        <v>275</v>
      </c>
      <c r="B277" s="1" t="str">
        <f t="shared" si="20"/>
        <v>MadridLacteosPLANO20,6</v>
      </c>
      <c r="C277" s="1" t="str">
        <f t="shared" si="21"/>
        <v>MadridLacteosFPC20,6</v>
      </c>
      <c r="D277" s="1" t="s">
        <v>22</v>
      </c>
      <c r="E277" s="1" t="s">
        <v>14</v>
      </c>
      <c r="F277" s="1">
        <v>0.6</v>
      </c>
      <c r="G277" s="1">
        <f t="shared" si="22"/>
        <v>120</v>
      </c>
      <c r="H277" s="1">
        <f t="shared" si="23"/>
        <v>60</v>
      </c>
      <c r="I277" s="1" t="str">
        <f t="shared" si="24"/>
        <v>FPC2</v>
      </c>
      <c r="J277" s="1" t="s">
        <v>18</v>
      </c>
      <c r="K277" s="2">
        <v>6856.7209449477677</v>
      </c>
      <c r="L277" s="2">
        <v>417.6933521451852</v>
      </c>
      <c r="M277" s="3">
        <v>0.50658138270767683</v>
      </c>
      <c r="N277" s="2">
        <v>369.43889814339968</v>
      </c>
    </row>
    <row r="278" spans="1:14" x14ac:dyDescent="0.3">
      <c r="A278" s="1">
        <v>276</v>
      </c>
      <c r="B278" s="1" t="str">
        <f t="shared" si="20"/>
        <v>MadridLacteosPLANO20,75</v>
      </c>
      <c r="C278" s="1" t="str">
        <f t="shared" si="21"/>
        <v>MadridLacteosFPC20,75</v>
      </c>
      <c r="D278" s="1" t="s">
        <v>22</v>
      </c>
      <c r="E278" s="1" t="s">
        <v>14</v>
      </c>
      <c r="F278" s="1">
        <v>0.75</v>
      </c>
      <c r="G278" s="1">
        <f t="shared" si="22"/>
        <v>120</v>
      </c>
      <c r="H278" s="1">
        <f t="shared" si="23"/>
        <v>60</v>
      </c>
      <c r="I278" s="1" t="str">
        <f t="shared" si="24"/>
        <v>FPC2</v>
      </c>
      <c r="J278" s="1" t="s">
        <v>18</v>
      </c>
      <c r="K278" s="2">
        <v>8601.2093988511497</v>
      </c>
      <c r="L278" s="2">
        <v>384.00948068037559</v>
      </c>
      <c r="M278" s="3">
        <v>0.57765531215849664</v>
      </c>
      <c r="N278" s="2">
        <v>335.82971492876948</v>
      </c>
    </row>
    <row r="279" spans="1:14" x14ac:dyDescent="0.3">
      <c r="A279" s="1">
        <v>277</v>
      </c>
      <c r="B279" s="1" t="str">
        <f t="shared" si="20"/>
        <v>MadridSecadoPLANO20,3</v>
      </c>
      <c r="C279" s="1" t="str">
        <f t="shared" si="21"/>
        <v>MadridSecadoFPC20,3</v>
      </c>
      <c r="D279" s="1" t="s">
        <v>22</v>
      </c>
      <c r="E279" s="1" t="s">
        <v>11</v>
      </c>
      <c r="F279" s="1">
        <v>0.3</v>
      </c>
      <c r="G279" s="1">
        <f t="shared" si="22"/>
        <v>60</v>
      </c>
      <c r="H279" s="1">
        <f t="shared" si="23"/>
        <v>15</v>
      </c>
      <c r="I279" s="1" t="str">
        <f t="shared" si="24"/>
        <v>FPC2</v>
      </c>
      <c r="J279" s="1" t="s">
        <v>18</v>
      </c>
      <c r="K279" s="2">
        <v>1513.7676556149897</v>
      </c>
      <c r="L279" s="2">
        <v>1046.128531789743</v>
      </c>
      <c r="M279" s="3">
        <v>0.31083287784505498</v>
      </c>
      <c r="N279" s="2">
        <v>1026.6862177209766</v>
      </c>
    </row>
    <row r="280" spans="1:14" x14ac:dyDescent="0.3">
      <c r="A280" s="1">
        <v>278</v>
      </c>
      <c r="B280" s="1" t="str">
        <f t="shared" ref="B280:B343" si="25">_xlfn.CONCAT(D280,E280,J280,F280)</f>
        <v>MadridSecadoPLANO20,45</v>
      </c>
      <c r="C280" s="1" t="str">
        <f t="shared" si="21"/>
        <v>MadridSecadoFPC20,45</v>
      </c>
      <c r="D280" s="1" t="s">
        <v>22</v>
      </c>
      <c r="E280" s="1" t="s">
        <v>11</v>
      </c>
      <c r="F280" s="1">
        <v>0.45</v>
      </c>
      <c r="G280" s="1">
        <f t="shared" si="22"/>
        <v>60</v>
      </c>
      <c r="H280" s="1">
        <f t="shared" si="23"/>
        <v>15</v>
      </c>
      <c r="I280" s="1" t="str">
        <f t="shared" si="24"/>
        <v>FPC2</v>
      </c>
      <c r="J280" s="1" t="s">
        <v>18</v>
      </c>
      <c r="K280" s="2">
        <v>2313.9964904067601</v>
      </c>
      <c r="L280" s="2">
        <v>1020.5684225162939</v>
      </c>
      <c r="M280" s="3">
        <v>0.46153600424802083</v>
      </c>
      <c r="N280" s="2">
        <v>997.27032009446236</v>
      </c>
    </row>
    <row r="281" spans="1:14" x14ac:dyDescent="0.3">
      <c r="A281" s="1">
        <v>279</v>
      </c>
      <c r="B281" s="1" t="str">
        <f t="shared" si="25"/>
        <v>MadridSecadoPLANO20,6</v>
      </c>
      <c r="C281" s="1" t="str">
        <f t="shared" si="21"/>
        <v>MadridSecadoFPC20,6</v>
      </c>
      <c r="D281" s="1" t="s">
        <v>22</v>
      </c>
      <c r="E281" s="1" t="s">
        <v>11</v>
      </c>
      <c r="F281" s="1">
        <v>0.6</v>
      </c>
      <c r="G281" s="1">
        <f t="shared" si="22"/>
        <v>60</v>
      </c>
      <c r="H281" s="1">
        <f t="shared" si="23"/>
        <v>15</v>
      </c>
      <c r="I281" s="1" t="str">
        <f t="shared" si="24"/>
        <v>FPC2</v>
      </c>
      <c r="J281" s="1" t="s">
        <v>18</v>
      </c>
      <c r="K281" s="2">
        <v>3146.2613937764995</v>
      </c>
      <c r="L281" s="2">
        <v>977.6314586570802</v>
      </c>
      <c r="M281" s="3">
        <v>0.59739501812817575</v>
      </c>
      <c r="N281" s="2">
        <v>949.37283209568307</v>
      </c>
    </row>
    <row r="282" spans="1:14" x14ac:dyDescent="0.3">
      <c r="A282" s="1">
        <v>280</v>
      </c>
      <c r="B282" s="1" t="str">
        <f t="shared" si="25"/>
        <v>MadridSecadoPLANO20,75</v>
      </c>
      <c r="C282" s="1" t="str">
        <f t="shared" si="21"/>
        <v>MadridSecadoFPC20,75</v>
      </c>
      <c r="D282" s="1" t="s">
        <v>22</v>
      </c>
      <c r="E282" s="1" t="s">
        <v>11</v>
      </c>
      <c r="F282" s="1">
        <v>0.75</v>
      </c>
      <c r="G282" s="1">
        <f t="shared" si="22"/>
        <v>60</v>
      </c>
      <c r="H282" s="1">
        <f t="shared" si="23"/>
        <v>15</v>
      </c>
      <c r="I282" s="1" t="str">
        <f t="shared" si="24"/>
        <v>FPC2</v>
      </c>
      <c r="J282" s="1" t="s">
        <v>18</v>
      </c>
      <c r="K282" s="2">
        <v>4013.220144506799</v>
      </c>
      <c r="L282" s="2">
        <v>918.18373291056264</v>
      </c>
      <c r="M282" s="3">
        <v>0.71003403419797562</v>
      </c>
      <c r="N282" s="2">
        <v>884.61884529208339</v>
      </c>
    </row>
    <row r="283" spans="1:14" x14ac:dyDescent="0.3">
      <c r="A283" s="1">
        <v>281</v>
      </c>
      <c r="B283" s="1" t="str">
        <f t="shared" si="25"/>
        <v>MadridBebidasWESSUN0,3</v>
      </c>
      <c r="C283" s="1" t="str">
        <f t="shared" si="21"/>
        <v>MadridBebidasWeSSun0,3</v>
      </c>
      <c r="D283" s="1" t="s">
        <v>22</v>
      </c>
      <c r="E283" s="1" t="s">
        <v>13</v>
      </c>
      <c r="F283" s="1">
        <v>0.3</v>
      </c>
      <c r="G283" s="1">
        <f t="shared" si="22"/>
        <v>60</v>
      </c>
      <c r="H283" s="1">
        <f t="shared" si="23"/>
        <v>15</v>
      </c>
      <c r="I283" s="1" t="str">
        <f t="shared" si="24"/>
        <v>WeSSun</v>
      </c>
      <c r="J283" s="1" t="s">
        <v>19</v>
      </c>
      <c r="K283" s="2">
        <v>1622.8649455310299</v>
      </c>
      <c r="L283" s="2">
        <v>967.42144169437938</v>
      </c>
      <c r="M283" s="3">
        <v>0.30783760167633695</v>
      </c>
      <c r="N283" s="2">
        <v>948.41003690605385</v>
      </c>
    </row>
    <row r="284" spans="1:14" x14ac:dyDescent="0.3">
      <c r="A284" s="1">
        <v>282</v>
      </c>
      <c r="B284" s="1" t="str">
        <f t="shared" si="25"/>
        <v>MadridBebidasWESSUN0,45</v>
      </c>
      <c r="C284" s="1" t="str">
        <f t="shared" si="21"/>
        <v>MadridBebidasWeSSun0,45</v>
      </c>
      <c r="D284" s="1" t="s">
        <v>22</v>
      </c>
      <c r="E284" s="1" t="s">
        <v>13</v>
      </c>
      <c r="F284" s="1">
        <v>0.45</v>
      </c>
      <c r="G284" s="1">
        <f t="shared" si="22"/>
        <v>60</v>
      </c>
      <c r="H284" s="1">
        <f t="shared" si="23"/>
        <v>15</v>
      </c>
      <c r="I284" s="1" t="str">
        <f t="shared" si="24"/>
        <v>WeSSun</v>
      </c>
      <c r="J284" s="1" t="s">
        <v>19</v>
      </c>
      <c r="K284" s="2">
        <v>2441.3249972151793</v>
      </c>
      <c r="L284" s="2">
        <v>961.52113204415491</v>
      </c>
      <c r="M284" s="3">
        <v>0.45780244715671553</v>
      </c>
      <c r="N284" s="2">
        <v>937.58222635802099</v>
      </c>
    </row>
    <row r="285" spans="1:14" x14ac:dyDescent="0.3">
      <c r="A285" s="1">
        <v>283</v>
      </c>
      <c r="B285" s="1" t="str">
        <f t="shared" si="25"/>
        <v>MadridBebidasWESSUN0,6</v>
      </c>
      <c r="C285" s="1" t="str">
        <f t="shared" si="21"/>
        <v>MadridBebidasWeSSun0,6</v>
      </c>
      <c r="D285" s="1" t="s">
        <v>22</v>
      </c>
      <c r="E285" s="1" t="s">
        <v>13</v>
      </c>
      <c r="F285" s="1">
        <v>0.6</v>
      </c>
      <c r="G285" s="1">
        <f t="shared" si="22"/>
        <v>60</v>
      </c>
      <c r="H285" s="1">
        <f t="shared" si="23"/>
        <v>15</v>
      </c>
      <c r="I285" s="1" t="str">
        <f t="shared" si="24"/>
        <v>WeSSun</v>
      </c>
      <c r="J285" s="1" t="s">
        <v>19</v>
      </c>
      <c r="K285" s="2">
        <v>3264.8353955828402</v>
      </c>
      <c r="L285" s="2">
        <v>950.90227801399692</v>
      </c>
      <c r="M285" s="3">
        <v>0.60110939264989105</v>
      </c>
      <c r="N285" s="2">
        <v>920.55359407476146</v>
      </c>
    </row>
    <row r="286" spans="1:14" x14ac:dyDescent="0.3">
      <c r="A286" s="1">
        <v>284</v>
      </c>
      <c r="B286" s="1" t="str">
        <f t="shared" si="25"/>
        <v>MadridBebidasWESSUN0,75</v>
      </c>
      <c r="C286" s="1" t="str">
        <f t="shared" si="21"/>
        <v>MadridBebidasWeSSun0,75</v>
      </c>
      <c r="D286" s="1" t="s">
        <v>22</v>
      </c>
      <c r="E286" s="1" t="s">
        <v>13</v>
      </c>
      <c r="F286" s="1">
        <v>0.75</v>
      </c>
      <c r="G286" s="1">
        <f t="shared" si="22"/>
        <v>60</v>
      </c>
      <c r="H286" s="1">
        <f t="shared" si="23"/>
        <v>15</v>
      </c>
      <c r="I286" s="1" t="str">
        <f t="shared" si="24"/>
        <v>WeSSun</v>
      </c>
      <c r="J286" s="1" t="s">
        <v>19</v>
      </c>
      <c r="K286" s="2">
        <v>4093.6777099861797</v>
      </c>
      <c r="L286" s="2">
        <v>926.39488641653213</v>
      </c>
      <c r="M286" s="3">
        <v>0.72669487183069525</v>
      </c>
      <c r="N286" s="2">
        <v>887.55505381400303</v>
      </c>
    </row>
    <row r="287" spans="1:14" x14ac:dyDescent="0.3">
      <c r="A287" s="1">
        <v>285</v>
      </c>
      <c r="B287" s="1" t="str">
        <f t="shared" si="25"/>
        <v>MadridCarnicaWESSUN0,3</v>
      </c>
      <c r="C287" s="1" t="str">
        <f t="shared" si="21"/>
        <v>MadridCarnicaWeSSun0,3</v>
      </c>
      <c r="D287" s="1" t="s">
        <v>22</v>
      </c>
      <c r="E287" s="1" t="s">
        <v>12</v>
      </c>
      <c r="F287" s="1">
        <v>0.3</v>
      </c>
      <c r="G287" s="1">
        <f t="shared" si="22"/>
        <v>120</v>
      </c>
      <c r="H287" s="1">
        <f t="shared" si="23"/>
        <v>60</v>
      </c>
      <c r="I287" s="1" t="str">
        <f t="shared" si="24"/>
        <v>WeSSun</v>
      </c>
      <c r="J287" s="1" t="s">
        <v>19</v>
      </c>
      <c r="K287" s="2">
        <v>1786.9950864352397</v>
      </c>
      <c r="L287" s="2">
        <v>861.51812732363089</v>
      </c>
      <c r="M287" s="3">
        <v>0.27592429098114757</v>
      </c>
      <c r="N287" s="2">
        <v>772.0069686891535</v>
      </c>
    </row>
    <row r="288" spans="1:14" x14ac:dyDescent="0.3">
      <c r="A288" s="1">
        <v>286</v>
      </c>
      <c r="B288" s="1" t="str">
        <f t="shared" si="25"/>
        <v>MadridCarnicaWESSUN0,45</v>
      </c>
      <c r="C288" s="1" t="str">
        <f t="shared" si="21"/>
        <v>MadridCarnicaWeSSun0,45</v>
      </c>
      <c r="D288" s="1" t="s">
        <v>22</v>
      </c>
      <c r="E288" s="1" t="s">
        <v>12</v>
      </c>
      <c r="F288" s="1">
        <v>0.45</v>
      </c>
      <c r="G288" s="1">
        <f t="shared" si="22"/>
        <v>120</v>
      </c>
      <c r="H288" s="1">
        <f t="shared" si="23"/>
        <v>60</v>
      </c>
      <c r="I288" s="1" t="str">
        <f t="shared" si="24"/>
        <v>WeSSun</v>
      </c>
      <c r="J288" s="1" t="s">
        <v>19</v>
      </c>
      <c r="K288" s="2">
        <v>2695.5970897968696</v>
      </c>
      <c r="L288" s="2">
        <v>851.99931479525742</v>
      </c>
      <c r="M288" s="3">
        <v>0.4124037757581861</v>
      </c>
      <c r="N288" s="2">
        <v>764.93106334269612</v>
      </c>
    </row>
    <row r="289" spans="1:14" x14ac:dyDescent="0.3">
      <c r="A289" s="1">
        <v>287</v>
      </c>
      <c r="B289" s="1" t="str">
        <f t="shared" si="25"/>
        <v>MadridCarnicaWESSUN0,6</v>
      </c>
      <c r="C289" s="1" t="str">
        <f t="shared" si="21"/>
        <v>MadridCarnicaWeSSun0,6</v>
      </c>
      <c r="D289" s="1" t="s">
        <v>22</v>
      </c>
      <c r="E289" s="1" t="s">
        <v>12</v>
      </c>
      <c r="F289" s="1">
        <v>0.6</v>
      </c>
      <c r="G289" s="1">
        <f t="shared" si="22"/>
        <v>120</v>
      </c>
      <c r="H289" s="1">
        <f t="shared" si="23"/>
        <v>60</v>
      </c>
      <c r="I289" s="1" t="str">
        <f t="shared" si="24"/>
        <v>WeSSun</v>
      </c>
      <c r="J289" s="1" t="s">
        <v>19</v>
      </c>
      <c r="K289" s="2">
        <v>3614.8782914272601</v>
      </c>
      <c r="L289" s="2">
        <v>830.53227930569665</v>
      </c>
      <c r="M289" s="3">
        <v>0.53668269089897824</v>
      </c>
      <c r="N289" s="2">
        <v>742.29844819530058</v>
      </c>
    </row>
    <row r="290" spans="1:14" x14ac:dyDescent="0.3">
      <c r="A290" s="1">
        <v>288</v>
      </c>
      <c r="B290" s="1" t="str">
        <f t="shared" si="25"/>
        <v>MadridCarnicaWESSUN0,75</v>
      </c>
      <c r="C290" s="1" t="str">
        <f t="shared" si="21"/>
        <v>MadridCarnicaWeSSun0,75</v>
      </c>
      <c r="D290" s="1" t="s">
        <v>22</v>
      </c>
      <c r="E290" s="1" t="s">
        <v>12</v>
      </c>
      <c r="F290" s="1">
        <v>0.75</v>
      </c>
      <c r="G290" s="1">
        <f t="shared" si="22"/>
        <v>120</v>
      </c>
      <c r="H290" s="1">
        <f t="shared" si="23"/>
        <v>60</v>
      </c>
      <c r="I290" s="1" t="str">
        <f t="shared" si="24"/>
        <v>WeSSun</v>
      </c>
      <c r="J290" s="1" t="s">
        <v>19</v>
      </c>
      <c r="K290" s="2">
        <v>4545.3173908644103</v>
      </c>
      <c r="L290" s="2">
        <v>793.80294031112601</v>
      </c>
      <c r="M290" s="3">
        <v>0.63993367693155345</v>
      </c>
      <c r="N290" s="2">
        <v>703.92338796050876</v>
      </c>
    </row>
    <row r="291" spans="1:14" x14ac:dyDescent="0.3">
      <c r="A291" s="1">
        <v>289</v>
      </c>
      <c r="B291" s="1" t="str">
        <f t="shared" si="25"/>
        <v>MadridFarmaceuticaWESSUN0,3</v>
      </c>
      <c r="C291" s="1" t="str">
        <f t="shared" si="21"/>
        <v>MadridFarmaceuticaWeSSun0,3</v>
      </c>
      <c r="D291" s="1" t="s">
        <v>22</v>
      </c>
      <c r="E291" s="1" t="s">
        <v>15</v>
      </c>
      <c r="F291" s="1">
        <v>0.3</v>
      </c>
      <c r="G291" s="1">
        <f t="shared" si="22"/>
        <v>120</v>
      </c>
      <c r="H291" s="1">
        <f t="shared" si="23"/>
        <v>60</v>
      </c>
      <c r="I291" s="1" t="str">
        <f t="shared" si="24"/>
        <v>WeSSun</v>
      </c>
      <c r="J291" s="1" t="s">
        <v>19</v>
      </c>
      <c r="K291" s="2">
        <v>1786.9950864352397</v>
      </c>
      <c r="L291" s="2">
        <v>861.60113425168345</v>
      </c>
      <c r="M291" s="3">
        <v>0.27597171145644911</v>
      </c>
      <c r="N291" s="2">
        <v>772.12534552405077</v>
      </c>
    </row>
    <row r="292" spans="1:14" x14ac:dyDescent="0.3">
      <c r="A292" s="1">
        <v>290</v>
      </c>
      <c r="B292" s="1" t="str">
        <f t="shared" si="25"/>
        <v>MadridFarmaceuticaWESSUN0,45</v>
      </c>
      <c r="C292" s="1" t="str">
        <f t="shared" si="21"/>
        <v>MadridFarmaceuticaWeSSun0,45</v>
      </c>
      <c r="D292" s="1" t="s">
        <v>22</v>
      </c>
      <c r="E292" s="1" t="s">
        <v>15</v>
      </c>
      <c r="F292" s="1">
        <v>0.45</v>
      </c>
      <c r="G292" s="1">
        <f t="shared" si="22"/>
        <v>120</v>
      </c>
      <c r="H292" s="1">
        <f t="shared" si="23"/>
        <v>60</v>
      </c>
      <c r="I292" s="1" t="str">
        <f t="shared" si="24"/>
        <v>WeSSun</v>
      </c>
      <c r="J292" s="1" t="s">
        <v>19</v>
      </c>
      <c r="K292" s="2">
        <v>2695.5970897968696</v>
      </c>
      <c r="L292" s="2">
        <v>852.02741806875599</v>
      </c>
      <c r="M292" s="3">
        <v>0.41244884512823321</v>
      </c>
      <c r="N292" s="2">
        <v>765.00048982972203</v>
      </c>
    </row>
    <row r="293" spans="1:14" x14ac:dyDescent="0.3">
      <c r="A293" s="1">
        <v>291</v>
      </c>
      <c r="B293" s="1" t="str">
        <f t="shared" si="25"/>
        <v>MadridFarmaceuticaWESSUN0,6</v>
      </c>
      <c r="C293" s="1" t="str">
        <f t="shared" si="21"/>
        <v>MadridFarmaceuticaWeSSun0,6</v>
      </c>
      <c r="D293" s="1" t="s">
        <v>22</v>
      </c>
      <c r="E293" s="1" t="s">
        <v>15</v>
      </c>
      <c r="F293" s="1">
        <v>0.6</v>
      </c>
      <c r="G293" s="1">
        <f t="shared" si="22"/>
        <v>120</v>
      </c>
      <c r="H293" s="1">
        <f t="shared" si="23"/>
        <v>60</v>
      </c>
      <c r="I293" s="1" t="str">
        <f t="shared" si="24"/>
        <v>WeSSun</v>
      </c>
      <c r="J293" s="1" t="s">
        <v>19</v>
      </c>
      <c r="K293" s="2">
        <v>3614.8782914272601</v>
      </c>
      <c r="L293" s="2">
        <v>830.48589331855862</v>
      </c>
      <c r="M293" s="3">
        <v>0.53668690621187565</v>
      </c>
      <c r="N293" s="2">
        <v>742.29053043118643</v>
      </c>
    </row>
    <row r="294" spans="1:14" x14ac:dyDescent="0.3">
      <c r="A294" s="1">
        <v>292</v>
      </c>
      <c r="B294" s="1" t="str">
        <f t="shared" si="25"/>
        <v>MadridFarmaceuticaWESSUN0,75</v>
      </c>
      <c r="C294" s="1" t="str">
        <f t="shared" si="21"/>
        <v>MadridFarmaceuticaWeSSun0,75</v>
      </c>
      <c r="D294" s="1" t="s">
        <v>22</v>
      </c>
      <c r="E294" s="1" t="s">
        <v>15</v>
      </c>
      <c r="F294" s="1">
        <v>0.75</v>
      </c>
      <c r="G294" s="1">
        <f t="shared" si="22"/>
        <v>120</v>
      </c>
      <c r="H294" s="1">
        <f t="shared" si="23"/>
        <v>60</v>
      </c>
      <c r="I294" s="1" t="str">
        <f t="shared" si="24"/>
        <v>WeSSun</v>
      </c>
      <c r="J294" s="1" t="s">
        <v>19</v>
      </c>
      <c r="K294" s="2">
        <v>4545.3173908644103</v>
      </c>
      <c r="L294" s="2">
        <v>794.44128747377181</v>
      </c>
      <c r="M294" s="3">
        <v>0.64050058257640208</v>
      </c>
      <c r="N294" s="2">
        <v>704.53393216299889</v>
      </c>
    </row>
    <row r="295" spans="1:14" x14ac:dyDescent="0.3">
      <c r="A295" s="1">
        <v>293</v>
      </c>
      <c r="B295" s="1" t="str">
        <f t="shared" si="25"/>
        <v>MadridLacteosWESSUN0,3</v>
      </c>
      <c r="C295" s="1" t="str">
        <f t="shared" si="21"/>
        <v>MadridLacteosWeSSun0,3</v>
      </c>
      <c r="D295" s="1" t="s">
        <v>22</v>
      </c>
      <c r="E295" s="1" t="s">
        <v>14</v>
      </c>
      <c r="F295" s="1">
        <v>0.3</v>
      </c>
      <c r="G295" s="1">
        <f t="shared" si="22"/>
        <v>120</v>
      </c>
      <c r="H295" s="1">
        <f t="shared" si="23"/>
        <v>60</v>
      </c>
      <c r="I295" s="1" t="str">
        <f t="shared" si="24"/>
        <v>WeSSun</v>
      </c>
      <c r="J295" s="1" t="s">
        <v>19</v>
      </c>
      <c r="K295" s="2">
        <v>1786.9950864352397</v>
      </c>
      <c r="L295" s="2">
        <v>858.12766871643157</v>
      </c>
      <c r="M295" s="3">
        <v>0.28399252120908813</v>
      </c>
      <c r="N295" s="2">
        <v>794.68207124120511</v>
      </c>
    </row>
    <row r="296" spans="1:14" x14ac:dyDescent="0.3">
      <c r="A296" s="1">
        <v>294</v>
      </c>
      <c r="B296" s="1" t="str">
        <f t="shared" si="25"/>
        <v>MadridLacteosWESSUN0,45</v>
      </c>
      <c r="C296" s="1" t="str">
        <f t="shared" si="21"/>
        <v>MadridLacteosWeSSun0,45</v>
      </c>
      <c r="D296" s="1" t="s">
        <v>22</v>
      </c>
      <c r="E296" s="1" t="s">
        <v>14</v>
      </c>
      <c r="F296" s="1">
        <v>0.45</v>
      </c>
      <c r="G296" s="1">
        <f t="shared" si="22"/>
        <v>120</v>
      </c>
      <c r="H296" s="1">
        <f t="shared" si="23"/>
        <v>60</v>
      </c>
      <c r="I296" s="1" t="str">
        <f t="shared" si="24"/>
        <v>WeSSun</v>
      </c>
      <c r="J296" s="1" t="s">
        <v>19</v>
      </c>
      <c r="K296" s="2">
        <v>2695.5970897968696</v>
      </c>
      <c r="L296" s="2">
        <v>838.4967255918059</v>
      </c>
      <c r="M296" s="3">
        <v>0.41873234923795555</v>
      </c>
      <c r="N296" s="2">
        <v>776.76814137974452</v>
      </c>
    </row>
    <row r="297" spans="1:14" x14ac:dyDescent="0.3">
      <c r="A297" s="1">
        <v>295</v>
      </c>
      <c r="B297" s="1" t="str">
        <f t="shared" si="25"/>
        <v>MadridLacteosWESSUN0,6</v>
      </c>
      <c r="C297" s="1" t="str">
        <f t="shared" si="21"/>
        <v>MadridLacteosWeSSun0,6</v>
      </c>
      <c r="D297" s="1" t="s">
        <v>22</v>
      </c>
      <c r="E297" s="1" t="s">
        <v>14</v>
      </c>
      <c r="F297" s="1">
        <v>0.6</v>
      </c>
      <c r="G297" s="1">
        <f t="shared" si="22"/>
        <v>120</v>
      </c>
      <c r="H297" s="1">
        <f t="shared" si="23"/>
        <v>60</v>
      </c>
      <c r="I297" s="1" t="str">
        <f t="shared" si="24"/>
        <v>WeSSun</v>
      </c>
      <c r="J297" s="1" t="s">
        <v>19</v>
      </c>
      <c r="K297" s="2">
        <v>3614.8782914272601</v>
      </c>
      <c r="L297" s="2">
        <v>806.3516263800999</v>
      </c>
      <c r="M297" s="3">
        <v>0.53824032994010029</v>
      </c>
      <c r="N297" s="2">
        <v>744.54752862747193</v>
      </c>
    </row>
    <row r="298" spans="1:14" x14ac:dyDescent="0.3">
      <c r="A298" s="1">
        <v>296</v>
      </c>
      <c r="B298" s="1" t="str">
        <f t="shared" si="25"/>
        <v>MadridLacteosWESSUN0,75</v>
      </c>
      <c r="C298" s="1" t="str">
        <f t="shared" si="21"/>
        <v>MadridLacteosWeSSun0,75</v>
      </c>
      <c r="D298" s="1" t="s">
        <v>22</v>
      </c>
      <c r="E298" s="1" t="s">
        <v>14</v>
      </c>
      <c r="F298" s="1">
        <v>0.75</v>
      </c>
      <c r="G298" s="1">
        <f t="shared" si="22"/>
        <v>120</v>
      </c>
      <c r="H298" s="1">
        <f t="shared" si="23"/>
        <v>60</v>
      </c>
      <c r="I298" s="1" t="str">
        <f t="shared" si="24"/>
        <v>WeSSun</v>
      </c>
      <c r="J298" s="1" t="s">
        <v>19</v>
      </c>
      <c r="K298" s="2">
        <v>4545.3173908644103</v>
      </c>
      <c r="L298" s="2">
        <v>772.72678911059768</v>
      </c>
      <c r="M298" s="3">
        <v>0.64529302540238576</v>
      </c>
      <c r="N298" s="2">
        <v>709.90890941773569</v>
      </c>
    </row>
    <row r="299" spans="1:14" x14ac:dyDescent="0.3">
      <c r="A299" s="1">
        <v>297</v>
      </c>
      <c r="B299" s="1" t="str">
        <f t="shared" si="25"/>
        <v>MadridSecadoWESSUN0,3</v>
      </c>
      <c r="C299" s="1" t="str">
        <f t="shared" si="21"/>
        <v>MadridSecadoWeSSun0,3</v>
      </c>
      <c r="D299" s="1" t="s">
        <v>22</v>
      </c>
      <c r="E299" s="1" t="s">
        <v>11</v>
      </c>
      <c r="F299" s="1">
        <v>0.3</v>
      </c>
      <c r="G299" s="1">
        <f t="shared" si="22"/>
        <v>60</v>
      </c>
      <c r="H299" s="1">
        <f t="shared" si="23"/>
        <v>15</v>
      </c>
      <c r="I299" s="1" t="str">
        <f t="shared" si="24"/>
        <v>WeSSun</v>
      </c>
      <c r="J299" s="1" t="s">
        <v>19</v>
      </c>
      <c r="K299" s="2">
        <v>1622.8649455310299</v>
      </c>
      <c r="L299" s="2">
        <v>967.46096381642485</v>
      </c>
      <c r="M299" s="3">
        <v>0.30781384435033599</v>
      </c>
      <c r="N299" s="2">
        <v>948.36555908115145</v>
      </c>
    </row>
    <row r="300" spans="1:14" x14ac:dyDescent="0.3">
      <c r="A300" s="1">
        <v>298</v>
      </c>
      <c r="B300" s="1" t="str">
        <f t="shared" si="25"/>
        <v>MadridSecadoWESSUN0,45</v>
      </c>
      <c r="C300" s="1" t="str">
        <f t="shared" si="21"/>
        <v>MadridSecadoWeSSun0,45</v>
      </c>
      <c r="D300" s="1" t="s">
        <v>22</v>
      </c>
      <c r="E300" s="1" t="s">
        <v>11</v>
      </c>
      <c r="F300" s="1">
        <v>0.45</v>
      </c>
      <c r="G300" s="1">
        <f t="shared" si="22"/>
        <v>60</v>
      </c>
      <c r="H300" s="1">
        <f t="shared" si="23"/>
        <v>15</v>
      </c>
      <c r="I300" s="1" t="str">
        <f t="shared" si="24"/>
        <v>WeSSun</v>
      </c>
      <c r="J300" s="1" t="s">
        <v>19</v>
      </c>
      <c r="K300" s="2">
        <v>2441.3249972151793</v>
      </c>
      <c r="L300" s="2">
        <v>961.67252061803231</v>
      </c>
      <c r="M300" s="3">
        <v>0.45785914857024135</v>
      </c>
      <c r="N300" s="2">
        <v>937.72674466215449</v>
      </c>
    </row>
    <row r="301" spans="1:14" x14ac:dyDescent="0.3">
      <c r="A301" s="1">
        <v>299</v>
      </c>
      <c r="B301" s="1" t="str">
        <f t="shared" si="25"/>
        <v>MadridSecadoWESSUN0,6</v>
      </c>
      <c r="C301" s="1" t="str">
        <f t="shared" si="21"/>
        <v>MadridSecadoWeSSun0,6</v>
      </c>
      <c r="D301" s="1" t="s">
        <v>22</v>
      </c>
      <c r="E301" s="1" t="s">
        <v>11</v>
      </c>
      <c r="F301" s="1">
        <v>0.6</v>
      </c>
      <c r="G301" s="1">
        <f t="shared" si="22"/>
        <v>60</v>
      </c>
      <c r="H301" s="1">
        <f t="shared" si="23"/>
        <v>15</v>
      </c>
      <c r="I301" s="1" t="str">
        <f t="shared" si="24"/>
        <v>WeSSun</v>
      </c>
      <c r="J301" s="1" t="s">
        <v>19</v>
      </c>
      <c r="K301" s="2">
        <v>3264.8353955828402</v>
      </c>
      <c r="L301" s="2">
        <v>951.17806598375262</v>
      </c>
      <c r="M301" s="3">
        <v>0.60126614773247988</v>
      </c>
      <c r="N301" s="2">
        <v>920.82153422104841</v>
      </c>
    </row>
    <row r="302" spans="1:14" x14ac:dyDescent="0.3">
      <c r="A302" s="1">
        <v>300</v>
      </c>
      <c r="B302" s="1" t="str">
        <f t="shared" si="25"/>
        <v>MadridSecadoWESSUN0,75</v>
      </c>
      <c r="C302" s="1" t="str">
        <f t="shared" si="21"/>
        <v>MadridSecadoWeSSun0,75</v>
      </c>
      <c r="D302" s="1" t="s">
        <v>22</v>
      </c>
      <c r="E302" s="1" t="s">
        <v>11</v>
      </c>
      <c r="F302" s="1">
        <v>0.75</v>
      </c>
      <c r="G302" s="1">
        <f t="shared" si="22"/>
        <v>60</v>
      </c>
      <c r="H302" s="1">
        <f t="shared" si="23"/>
        <v>15</v>
      </c>
      <c r="I302" s="1" t="str">
        <f t="shared" si="24"/>
        <v>WeSSun</v>
      </c>
      <c r="J302" s="1" t="s">
        <v>19</v>
      </c>
      <c r="K302" s="2">
        <v>4093.6777099861797</v>
      </c>
      <c r="L302" s="2">
        <v>926.74720749894152</v>
      </c>
      <c r="M302" s="3">
        <v>0.72690591483466582</v>
      </c>
      <c r="N302" s="2">
        <v>887.83969593736663</v>
      </c>
    </row>
    <row r="303" spans="1:14" x14ac:dyDescent="0.3">
      <c r="A303" s="1">
        <v>301</v>
      </c>
      <c r="B303" s="1" t="str">
        <f t="shared" si="25"/>
        <v>SevillaBebidasAIRE0,3</v>
      </c>
      <c r="C303" s="1" t="str">
        <f t="shared" si="21"/>
        <v>SevillaBebidasAire0,3</v>
      </c>
      <c r="D303" s="1" t="s">
        <v>23</v>
      </c>
      <c r="E303" s="1" t="s">
        <v>13</v>
      </c>
      <c r="F303" s="1">
        <v>0.3</v>
      </c>
      <c r="G303" s="1">
        <f t="shared" si="22"/>
        <v>60</v>
      </c>
      <c r="H303" s="1">
        <f t="shared" si="23"/>
        <v>15</v>
      </c>
      <c r="I303" s="1" t="str">
        <f t="shared" si="24"/>
        <v>Aire</v>
      </c>
      <c r="J303" s="1" t="s">
        <v>16</v>
      </c>
      <c r="K303" s="2">
        <v>2390.27867324412</v>
      </c>
      <c r="L303" s="2">
        <v>952.83678057005659</v>
      </c>
      <c r="M303" s="3">
        <v>0.44839673633978089</v>
      </c>
      <c r="N303" s="2">
        <v>937.93071960751263</v>
      </c>
    </row>
    <row r="304" spans="1:14" x14ac:dyDescent="0.3">
      <c r="A304" s="1">
        <v>302</v>
      </c>
      <c r="B304" s="1" t="str">
        <f t="shared" si="25"/>
        <v>SevillaBebidasAIRE0,45</v>
      </c>
      <c r="C304" s="1" t="str">
        <f t="shared" si="21"/>
        <v>SevillaBebidasAire0,45</v>
      </c>
      <c r="D304" s="1" t="s">
        <v>23</v>
      </c>
      <c r="E304" s="1" t="s">
        <v>13</v>
      </c>
      <c r="F304" s="1">
        <v>0.45</v>
      </c>
      <c r="G304" s="1">
        <f t="shared" si="22"/>
        <v>60</v>
      </c>
      <c r="H304" s="1">
        <f t="shared" si="23"/>
        <v>15</v>
      </c>
      <c r="I304" s="1" t="str">
        <f t="shared" si="24"/>
        <v>Aire</v>
      </c>
      <c r="J304" s="1" t="s">
        <v>16</v>
      </c>
      <c r="K304" s="2">
        <v>3803.23629251292</v>
      </c>
      <c r="L304" s="2">
        <v>860.15096999414095</v>
      </c>
      <c r="M304" s="3">
        <v>0.63793139863400949</v>
      </c>
      <c r="N304" s="2">
        <v>838.64376740083924</v>
      </c>
    </row>
    <row r="305" spans="1:14" x14ac:dyDescent="0.3">
      <c r="A305" s="1">
        <v>303</v>
      </c>
      <c r="B305" s="1" t="str">
        <f t="shared" si="25"/>
        <v>SevillaBebidasAIRE0,6</v>
      </c>
      <c r="C305" s="1" t="str">
        <f t="shared" si="21"/>
        <v>SevillaBebidasAire0,6</v>
      </c>
      <c r="D305" s="1" t="s">
        <v>23</v>
      </c>
      <c r="E305" s="1" t="s">
        <v>13</v>
      </c>
      <c r="F305" s="1">
        <v>0.6</v>
      </c>
      <c r="G305" s="1">
        <f t="shared" si="22"/>
        <v>60</v>
      </c>
      <c r="H305" s="1">
        <f t="shared" si="23"/>
        <v>15</v>
      </c>
      <c r="I305" s="1" t="str">
        <f t="shared" si="24"/>
        <v>Aire</v>
      </c>
      <c r="J305" s="1" t="s">
        <v>16</v>
      </c>
      <c r="K305" s="2">
        <v>5398.9757308881599</v>
      </c>
      <c r="L305" s="2">
        <v>738.76546190081012</v>
      </c>
      <c r="M305" s="3">
        <v>0.76851319081970559</v>
      </c>
      <c r="N305" s="2">
        <v>711.69973630442723</v>
      </c>
    </row>
    <row r="306" spans="1:14" x14ac:dyDescent="0.3">
      <c r="A306" s="1">
        <v>304</v>
      </c>
      <c r="B306" s="1" t="str">
        <f t="shared" si="25"/>
        <v>SevillaBebidasAIRE0,75</v>
      </c>
      <c r="C306" s="1" t="str">
        <f t="shared" si="21"/>
        <v>SevillaBebidasAire0,75</v>
      </c>
      <c r="D306" s="1" t="s">
        <v>23</v>
      </c>
      <c r="E306" s="1" t="s">
        <v>13</v>
      </c>
      <c r="F306" s="1">
        <v>0.75</v>
      </c>
      <c r="G306" s="1">
        <f t="shared" si="22"/>
        <v>60</v>
      </c>
      <c r="H306" s="1">
        <f t="shared" si="23"/>
        <v>15</v>
      </c>
      <c r="I306" s="1" t="str">
        <f t="shared" si="24"/>
        <v>Aire</v>
      </c>
      <c r="J306" s="1" t="s">
        <v>16</v>
      </c>
      <c r="K306" s="2">
        <v>7215.4169735853984</v>
      </c>
      <c r="L306" s="2">
        <v>619.30118755480942</v>
      </c>
      <c r="M306" s="3">
        <v>0.84857154013225855</v>
      </c>
      <c r="N306" s="2">
        <v>588.00887676179957</v>
      </c>
    </row>
    <row r="307" spans="1:14" x14ac:dyDescent="0.3">
      <c r="A307" s="1">
        <v>305</v>
      </c>
      <c r="B307" s="1" t="str">
        <f t="shared" si="25"/>
        <v>SevillaCarnicaAIRE0,3</v>
      </c>
      <c r="C307" s="1" t="str">
        <f t="shared" si="21"/>
        <v>SevillaCarnicaAire0,3</v>
      </c>
      <c r="D307" s="1" t="s">
        <v>23</v>
      </c>
      <c r="E307" s="1" t="s">
        <v>12</v>
      </c>
      <c r="F307" s="1">
        <v>0.3</v>
      </c>
      <c r="G307" s="1">
        <f t="shared" si="22"/>
        <v>120</v>
      </c>
      <c r="H307" s="1">
        <f t="shared" si="23"/>
        <v>60</v>
      </c>
      <c r="I307" s="1" t="str">
        <f t="shared" si="24"/>
        <v>Aire</v>
      </c>
      <c r="J307" s="1" t="s">
        <v>16</v>
      </c>
      <c r="K307" s="2">
        <v>4196.8842331453106</v>
      </c>
      <c r="L307" s="2">
        <v>122.9562437622082</v>
      </c>
      <c r="M307" s="3">
        <v>7.9652058675047266E-2</v>
      </c>
      <c r="N307" s="2">
        <v>94.890920353297673</v>
      </c>
    </row>
    <row r="308" spans="1:14" x14ac:dyDescent="0.3">
      <c r="A308" s="1">
        <v>306</v>
      </c>
      <c r="B308" s="1" t="str">
        <f t="shared" si="25"/>
        <v>SevillaCarnicaAIRE0,45</v>
      </c>
      <c r="C308" s="1" t="str">
        <f t="shared" si="21"/>
        <v>SevillaCarnicaAire0,45</v>
      </c>
      <c r="D308" s="1" t="s">
        <v>23</v>
      </c>
      <c r="E308" s="1" t="s">
        <v>12</v>
      </c>
      <c r="F308" s="1">
        <v>0.45</v>
      </c>
      <c r="G308" s="1">
        <f t="shared" si="22"/>
        <v>120</v>
      </c>
      <c r="H308" s="1">
        <f t="shared" si="23"/>
        <v>60</v>
      </c>
      <c r="I308" s="1" t="str">
        <f t="shared" si="24"/>
        <v>Aire</v>
      </c>
      <c r="J308" s="1" t="s">
        <v>16</v>
      </c>
      <c r="K308" s="2">
        <v>6295.3263497179587</v>
      </c>
      <c r="L308" s="2">
        <v>124.20396104751032</v>
      </c>
      <c r="M308" s="3">
        <v>0.12199114491488021</v>
      </c>
      <c r="N308" s="2">
        <v>96.886820072878507</v>
      </c>
    </row>
    <row r="309" spans="1:14" x14ac:dyDescent="0.3">
      <c r="A309" s="1">
        <v>307</v>
      </c>
      <c r="B309" s="1" t="str">
        <f t="shared" si="25"/>
        <v>SevillaCarnicaAIRE0,6</v>
      </c>
      <c r="C309" s="1" t="str">
        <f t="shared" si="21"/>
        <v>SevillaCarnicaAire0,6</v>
      </c>
      <c r="D309" s="1" t="s">
        <v>23</v>
      </c>
      <c r="E309" s="1" t="s">
        <v>12</v>
      </c>
      <c r="F309" s="1">
        <v>0.6</v>
      </c>
      <c r="G309" s="1">
        <f t="shared" si="22"/>
        <v>120</v>
      </c>
      <c r="H309" s="1">
        <f t="shared" si="23"/>
        <v>60</v>
      </c>
      <c r="I309" s="1" t="str">
        <f t="shared" si="24"/>
        <v>Aire</v>
      </c>
      <c r="J309" s="1" t="s">
        <v>16</v>
      </c>
      <c r="K309" s="2">
        <v>8393.7684662906213</v>
      </c>
      <c r="L309" s="2">
        <v>121.84014034725051</v>
      </c>
      <c r="M309" s="3">
        <v>0.1576791176649579</v>
      </c>
      <c r="N309" s="2">
        <v>93.92297477686563</v>
      </c>
    </row>
    <row r="310" spans="1:14" x14ac:dyDescent="0.3">
      <c r="A310" s="1">
        <v>308</v>
      </c>
      <c r="B310" s="1" t="str">
        <f t="shared" si="25"/>
        <v>SevillaCarnicaAIRE0,75</v>
      </c>
      <c r="C310" s="1" t="str">
        <f t="shared" si="21"/>
        <v>SevillaCarnicaAire0,75</v>
      </c>
      <c r="D310" s="1" t="s">
        <v>23</v>
      </c>
      <c r="E310" s="1" t="s">
        <v>12</v>
      </c>
      <c r="F310" s="1">
        <v>0.75</v>
      </c>
      <c r="G310" s="1">
        <f t="shared" si="22"/>
        <v>120</v>
      </c>
      <c r="H310" s="1">
        <f t="shared" si="23"/>
        <v>60</v>
      </c>
      <c r="I310" s="1" t="str">
        <f t="shared" si="24"/>
        <v>Aire</v>
      </c>
      <c r="J310" s="1" t="s">
        <v>16</v>
      </c>
      <c r="K310" s="2">
        <v>10492.210582863201</v>
      </c>
      <c r="L310" s="2">
        <v>118.4135788653299</v>
      </c>
      <c r="M310" s="3">
        <v>0.18867674842143664</v>
      </c>
      <c r="N310" s="2">
        <v>89.90959231835437</v>
      </c>
    </row>
    <row r="311" spans="1:14" x14ac:dyDescent="0.3">
      <c r="A311" s="1">
        <v>309</v>
      </c>
      <c r="B311" s="1" t="str">
        <f t="shared" si="25"/>
        <v>SevillaFarmaceuticaAIRE0,3</v>
      </c>
      <c r="C311" s="1" t="str">
        <f t="shared" si="21"/>
        <v>SevillaFarmaceuticaAire0,3</v>
      </c>
      <c r="D311" s="1" t="s">
        <v>23</v>
      </c>
      <c r="E311" s="1" t="s">
        <v>15</v>
      </c>
      <c r="F311" s="1">
        <v>0.3</v>
      </c>
      <c r="G311" s="1">
        <f t="shared" si="22"/>
        <v>120</v>
      </c>
      <c r="H311" s="1">
        <f t="shared" si="23"/>
        <v>60</v>
      </c>
      <c r="I311" s="1" t="str">
        <f t="shared" si="24"/>
        <v>Aire</v>
      </c>
      <c r="J311" s="1" t="s">
        <v>16</v>
      </c>
      <c r="K311" s="2">
        <v>4196.8842331453106</v>
      </c>
      <c r="L311" s="2">
        <v>122.94447184970669</v>
      </c>
      <c r="M311" s="3">
        <v>7.9651040423956654E-2</v>
      </c>
      <c r="N311" s="2">
        <v>94.887949860135464</v>
      </c>
    </row>
    <row r="312" spans="1:14" x14ac:dyDescent="0.3">
      <c r="A312" s="1">
        <v>310</v>
      </c>
      <c r="B312" s="1" t="str">
        <f t="shared" si="25"/>
        <v>SevillaFarmaceuticaAIRE0,45</v>
      </c>
      <c r="C312" s="1" t="str">
        <f t="shared" si="21"/>
        <v>SevillaFarmaceuticaAire0,45</v>
      </c>
      <c r="D312" s="1" t="s">
        <v>23</v>
      </c>
      <c r="E312" s="1" t="s">
        <v>15</v>
      </c>
      <c r="F312" s="1">
        <v>0.45</v>
      </c>
      <c r="G312" s="1">
        <f t="shared" si="22"/>
        <v>120</v>
      </c>
      <c r="H312" s="1">
        <f t="shared" si="23"/>
        <v>60</v>
      </c>
      <c r="I312" s="1" t="str">
        <f t="shared" si="24"/>
        <v>Aire</v>
      </c>
      <c r="J312" s="1" t="s">
        <v>16</v>
      </c>
      <c r="K312" s="2">
        <v>6295.3263497179587</v>
      </c>
      <c r="L312" s="2">
        <v>124.21409545837491</v>
      </c>
      <c r="M312" s="3">
        <v>0.12201513461116491</v>
      </c>
      <c r="N312" s="2">
        <v>96.904078201926922</v>
      </c>
    </row>
    <row r="313" spans="1:14" x14ac:dyDescent="0.3">
      <c r="A313" s="1">
        <v>311</v>
      </c>
      <c r="B313" s="1" t="str">
        <f t="shared" si="25"/>
        <v>SevillaFarmaceuticaAIRE0,6</v>
      </c>
      <c r="C313" s="1" t="str">
        <f t="shared" si="21"/>
        <v>SevillaFarmaceuticaAire0,6</v>
      </c>
      <c r="D313" s="1" t="s">
        <v>23</v>
      </c>
      <c r="E313" s="1" t="s">
        <v>15</v>
      </c>
      <c r="F313" s="1">
        <v>0.6</v>
      </c>
      <c r="G313" s="1">
        <f t="shared" si="22"/>
        <v>120</v>
      </c>
      <c r="H313" s="1">
        <f t="shared" si="23"/>
        <v>60</v>
      </c>
      <c r="I313" s="1" t="str">
        <f t="shared" si="24"/>
        <v>Aire</v>
      </c>
      <c r="J313" s="1" t="s">
        <v>16</v>
      </c>
      <c r="K313" s="2">
        <v>8393.7684662906213</v>
      </c>
      <c r="L313" s="2">
        <v>121.84748703335792</v>
      </c>
      <c r="M313" s="3">
        <v>0.15770252478424177</v>
      </c>
      <c r="N313" s="2">
        <v>93.935177650505366</v>
      </c>
    </row>
    <row r="314" spans="1:14" x14ac:dyDescent="0.3">
      <c r="A314" s="1">
        <v>312</v>
      </c>
      <c r="B314" s="1" t="str">
        <f t="shared" si="25"/>
        <v>SevillaFarmaceuticaAIRE0,75</v>
      </c>
      <c r="C314" s="1" t="str">
        <f t="shared" si="21"/>
        <v>SevillaFarmaceuticaAire0,75</v>
      </c>
      <c r="D314" s="1" t="s">
        <v>23</v>
      </c>
      <c r="E314" s="1" t="s">
        <v>15</v>
      </c>
      <c r="F314" s="1">
        <v>0.75</v>
      </c>
      <c r="G314" s="1">
        <f t="shared" si="22"/>
        <v>120</v>
      </c>
      <c r="H314" s="1">
        <f t="shared" si="23"/>
        <v>60</v>
      </c>
      <c r="I314" s="1" t="str">
        <f t="shared" si="24"/>
        <v>Aire</v>
      </c>
      <c r="J314" s="1" t="s">
        <v>16</v>
      </c>
      <c r="K314" s="2">
        <v>10492.210582863201</v>
      </c>
      <c r="L314" s="2">
        <v>118.42985762529685</v>
      </c>
      <c r="M314" s="3">
        <v>0.18872330611062557</v>
      </c>
      <c r="N314" s="2">
        <v>89.9301127133958</v>
      </c>
    </row>
    <row r="315" spans="1:14" x14ac:dyDescent="0.3">
      <c r="A315" s="1">
        <v>313</v>
      </c>
      <c r="B315" s="1" t="str">
        <f t="shared" si="25"/>
        <v>SevillaLacteosAIRE0,3</v>
      </c>
      <c r="C315" s="1" t="str">
        <f t="shared" si="21"/>
        <v>SevillaLacteosAire0,3</v>
      </c>
      <c r="D315" s="1" t="s">
        <v>23</v>
      </c>
      <c r="E315" s="1" t="s">
        <v>14</v>
      </c>
      <c r="F315" s="1">
        <v>0.3</v>
      </c>
      <c r="G315" s="1">
        <f t="shared" si="22"/>
        <v>120</v>
      </c>
      <c r="H315" s="1">
        <f t="shared" si="23"/>
        <v>60</v>
      </c>
      <c r="I315" s="1" t="str">
        <f t="shared" si="24"/>
        <v>Aire</v>
      </c>
      <c r="J315" s="1" t="s">
        <v>16</v>
      </c>
      <c r="K315" s="2">
        <v>4196.8842331453106</v>
      </c>
      <c r="L315" s="2">
        <v>119.6022747799573</v>
      </c>
      <c r="M315" s="3">
        <v>8.3826347823153818E-2</v>
      </c>
      <c r="N315" s="2">
        <v>99.876525423510273</v>
      </c>
    </row>
    <row r="316" spans="1:14" x14ac:dyDescent="0.3">
      <c r="A316" s="1">
        <v>314</v>
      </c>
      <c r="B316" s="1" t="str">
        <f t="shared" si="25"/>
        <v>SevillaLacteosAIRE0,45</v>
      </c>
      <c r="C316" s="1" t="str">
        <f t="shared" si="21"/>
        <v>SevillaLacteosAire0,45</v>
      </c>
      <c r="D316" s="1" t="s">
        <v>23</v>
      </c>
      <c r="E316" s="1" t="s">
        <v>14</v>
      </c>
      <c r="F316" s="1">
        <v>0.45</v>
      </c>
      <c r="G316" s="1">
        <f t="shared" si="22"/>
        <v>120</v>
      </c>
      <c r="H316" s="1">
        <f t="shared" si="23"/>
        <v>60</v>
      </c>
      <c r="I316" s="1" t="str">
        <f t="shared" si="24"/>
        <v>Aire</v>
      </c>
      <c r="J316" s="1" t="s">
        <v>16</v>
      </c>
      <c r="K316" s="2">
        <v>6295.3263497179587</v>
      </c>
      <c r="L316" s="2">
        <v>119.5221544034963</v>
      </c>
      <c r="M316" s="3">
        <v>0.12634171157612045</v>
      </c>
      <c r="N316" s="2">
        <v>100.35485258885637</v>
      </c>
    </row>
    <row r="317" spans="1:14" x14ac:dyDescent="0.3">
      <c r="A317" s="1">
        <v>315</v>
      </c>
      <c r="B317" s="1" t="str">
        <f t="shared" si="25"/>
        <v>SevillaLacteosAIRE0,6</v>
      </c>
      <c r="C317" s="1" t="str">
        <f t="shared" si="21"/>
        <v>SevillaLacteosAire0,6</v>
      </c>
      <c r="D317" s="1" t="s">
        <v>23</v>
      </c>
      <c r="E317" s="1" t="s">
        <v>14</v>
      </c>
      <c r="F317" s="1">
        <v>0.6</v>
      </c>
      <c r="G317" s="1">
        <f t="shared" si="22"/>
        <v>120</v>
      </c>
      <c r="H317" s="1">
        <f t="shared" si="23"/>
        <v>60</v>
      </c>
      <c r="I317" s="1" t="str">
        <f t="shared" si="24"/>
        <v>Aire</v>
      </c>
      <c r="J317" s="1" t="s">
        <v>16</v>
      </c>
      <c r="K317" s="2">
        <v>8393.7684662906213</v>
      </c>
      <c r="L317" s="2">
        <v>116.41733190510126</v>
      </c>
      <c r="M317" s="3">
        <v>0.1624457429017277</v>
      </c>
      <c r="N317" s="2">
        <v>96.774563083040704</v>
      </c>
    </row>
    <row r="318" spans="1:14" x14ac:dyDescent="0.3">
      <c r="A318" s="1">
        <v>316</v>
      </c>
      <c r="B318" s="1" t="str">
        <f t="shared" si="25"/>
        <v>SevillaLacteosAIRE0,75</v>
      </c>
      <c r="C318" s="1" t="str">
        <f t="shared" si="21"/>
        <v>SevillaLacteosAire0,75</v>
      </c>
      <c r="D318" s="1" t="s">
        <v>23</v>
      </c>
      <c r="E318" s="1" t="s">
        <v>14</v>
      </c>
      <c r="F318" s="1">
        <v>0.75</v>
      </c>
      <c r="G318" s="1">
        <f t="shared" si="22"/>
        <v>120</v>
      </c>
      <c r="H318" s="1">
        <f t="shared" si="23"/>
        <v>60</v>
      </c>
      <c r="I318" s="1" t="str">
        <f t="shared" si="24"/>
        <v>Aire</v>
      </c>
      <c r="J318" s="1" t="s">
        <v>16</v>
      </c>
      <c r="K318" s="2">
        <v>10492.210582863201</v>
      </c>
      <c r="L318" s="2">
        <v>112.68941085341696</v>
      </c>
      <c r="M318" s="3">
        <v>0.19449980812924139</v>
      </c>
      <c r="N318" s="2">
        <v>92.69622516524575</v>
      </c>
    </row>
    <row r="319" spans="1:14" x14ac:dyDescent="0.3">
      <c r="A319" s="1">
        <v>317</v>
      </c>
      <c r="B319" s="1" t="str">
        <f t="shared" si="25"/>
        <v>SevillaSecadoAIRE0,3</v>
      </c>
      <c r="C319" s="1" t="str">
        <f t="shared" si="21"/>
        <v>SevillaSecadoAire0,3</v>
      </c>
      <c r="D319" s="1" t="s">
        <v>23</v>
      </c>
      <c r="E319" s="1" t="s">
        <v>11</v>
      </c>
      <c r="F319" s="1">
        <v>0.3</v>
      </c>
      <c r="G319" s="1">
        <f t="shared" si="22"/>
        <v>60</v>
      </c>
      <c r="H319" s="1">
        <f t="shared" si="23"/>
        <v>15</v>
      </c>
      <c r="I319" s="1" t="str">
        <f t="shared" si="24"/>
        <v>Aire</v>
      </c>
      <c r="J319" s="1" t="s">
        <v>16</v>
      </c>
      <c r="K319" s="2">
        <v>2390.27867324412</v>
      </c>
      <c r="L319" s="2">
        <v>655.00128843181596</v>
      </c>
      <c r="M319" s="3">
        <v>0.3116802966605246</v>
      </c>
      <c r="N319" s="2">
        <v>651.97480962039856</v>
      </c>
    </row>
    <row r="320" spans="1:14" x14ac:dyDescent="0.3">
      <c r="A320" s="1">
        <v>318</v>
      </c>
      <c r="B320" s="1" t="str">
        <f t="shared" si="25"/>
        <v>SevillaSecadoAIRE0,45</v>
      </c>
      <c r="C320" s="1" t="str">
        <f t="shared" si="21"/>
        <v>SevillaSecadoAire0,45</v>
      </c>
      <c r="D320" s="1" t="s">
        <v>23</v>
      </c>
      <c r="E320" s="1" t="s">
        <v>11</v>
      </c>
      <c r="F320" s="1">
        <v>0.45</v>
      </c>
      <c r="G320" s="1">
        <f t="shared" si="22"/>
        <v>60</v>
      </c>
      <c r="H320" s="1">
        <f t="shared" si="23"/>
        <v>15</v>
      </c>
      <c r="I320" s="1" t="str">
        <f t="shared" si="24"/>
        <v>Aire</v>
      </c>
      <c r="J320" s="1" t="s">
        <v>16</v>
      </c>
      <c r="K320" s="2">
        <v>3803.23629251292</v>
      </c>
      <c r="L320" s="2">
        <v>508.37951504642092</v>
      </c>
      <c r="M320" s="3">
        <v>0.38439221766185894</v>
      </c>
      <c r="N320" s="2">
        <v>505.3488503017561</v>
      </c>
    </row>
    <row r="321" spans="1:14" x14ac:dyDescent="0.3">
      <c r="A321" s="1">
        <v>319</v>
      </c>
      <c r="B321" s="1" t="str">
        <f t="shared" si="25"/>
        <v>SevillaSecadoAIRE0,6</v>
      </c>
      <c r="C321" s="1" t="str">
        <f t="shared" si="21"/>
        <v>SevillaSecadoAire0,6</v>
      </c>
      <c r="D321" s="1" t="s">
        <v>23</v>
      </c>
      <c r="E321" s="1" t="s">
        <v>11</v>
      </c>
      <c r="F321" s="1">
        <v>0.6</v>
      </c>
      <c r="G321" s="1">
        <f t="shared" si="22"/>
        <v>60</v>
      </c>
      <c r="H321" s="1">
        <f t="shared" si="23"/>
        <v>15</v>
      </c>
      <c r="I321" s="1" t="str">
        <f t="shared" si="24"/>
        <v>Aire</v>
      </c>
      <c r="J321" s="1" t="s">
        <v>16</v>
      </c>
      <c r="K321" s="2">
        <v>5398.9757308881599</v>
      </c>
      <c r="L321" s="2">
        <v>402.88347031254693</v>
      </c>
      <c r="M321" s="3">
        <v>0.43189258938649872</v>
      </c>
      <c r="N321" s="2">
        <v>399.97641294419861</v>
      </c>
    </row>
    <row r="322" spans="1:14" x14ac:dyDescent="0.3">
      <c r="A322" s="1">
        <v>320</v>
      </c>
      <c r="B322" s="1" t="str">
        <f t="shared" si="25"/>
        <v>SevillaSecadoAIRE0,75</v>
      </c>
      <c r="C322" s="1" t="str">
        <f t="shared" si="21"/>
        <v>SevillaSecadoAire0,75</v>
      </c>
      <c r="D322" s="1" t="s">
        <v>23</v>
      </c>
      <c r="E322" s="1" t="s">
        <v>11</v>
      </c>
      <c r="F322" s="1">
        <v>0.75</v>
      </c>
      <c r="G322" s="1">
        <f t="shared" si="22"/>
        <v>60</v>
      </c>
      <c r="H322" s="1">
        <f t="shared" si="23"/>
        <v>15</v>
      </c>
      <c r="I322" s="1" t="str">
        <f t="shared" si="24"/>
        <v>Aire</v>
      </c>
      <c r="J322" s="1" t="s">
        <v>16</v>
      </c>
      <c r="K322" s="2">
        <v>7215.4169735853984</v>
      </c>
      <c r="L322" s="2">
        <v>331.69066735506738</v>
      </c>
      <c r="M322" s="3">
        <v>0.47463141130132486</v>
      </c>
      <c r="N322" s="2">
        <v>328.90088883622116</v>
      </c>
    </row>
    <row r="323" spans="1:14" x14ac:dyDescent="0.3">
      <c r="A323" s="1">
        <v>321</v>
      </c>
      <c r="B323" s="1" t="str">
        <f t="shared" si="25"/>
        <v>SevillaBebidasETC0,3</v>
      </c>
      <c r="C323" s="1" t="str">
        <f t="shared" si="21"/>
        <v>SevillaBebidasETC0,3</v>
      </c>
      <c r="D323" s="1" t="s">
        <v>23</v>
      </c>
      <c r="E323" s="1" t="s">
        <v>13</v>
      </c>
      <c r="F323" s="1">
        <v>0.3</v>
      </c>
      <c r="G323" s="1">
        <f t="shared" si="22"/>
        <v>60</v>
      </c>
      <c r="H323" s="1">
        <f t="shared" si="23"/>
        <v>15</v>
      </c>
      <c r="I323" s="1" t="str">
        <f t="shared" si="24"/>
        <v>ETC</v>
      </c>
      <c r="J323" s="1" t="s">
        <v>9</v>
      </c>
      <c r="K323" s="2">
        <v>1508.8617904975599</v>
      </c>
      <c r="L323" s="2">
        <v>988.25140347232752</v>
      </c>
      <c r="M323" s="3">
        <v>0.29468280333274721</v>
      </c>
      <c r="N323" s="2">
        <v>976.4773765459372</v>
      </c>
    </row>
    <row r="324" spans="1:14" x14ac:dyDescent="0.3">
      <c r="A324" s="1">
        <v>322</v>
      </c>
      <c r="B324" s="1" t="str">
        <f t="shared" si="25"/>
        <v>SevillaBebidasETC0,45</v>
      </c>
      <c r="C324" s="1" t="str">
        <f t="shared" ref="C324:C387" si="26">_xlfn.CONCAT(D324,E324,I324,F324)</f>
        <v>SevillaBebidasETC0,45</v>
      </c>
      <c r="D324" s="1" t="s">
        <v>23</v>
      </c>
      <c r="E324" s="1" t="s">
        <v>13</v>
      </c>
      <c r="F324" s="1">
        <v>0.45</v>
      </c>
      <c r="G324" s="1">
        <f t="shared" ref="G324:G387" si="27">IF(OR($E324="Secado",$E324="Bebidas"),60,120)</f>
        <v>60</v>
      </c>
      <c r="H324" s="1">
        <f t="shared" ref="H324:H387" si="28">IF(OR($E324="Secado",$E324="Bebidas"),15,60)</f>
        <v>15</v>
      </c>
      <c r="I324" s="1" t="str">
        <f t="shared" ref="I324:I387" si="29">IF(J324="AIRE","Aire",IF(J324="ETC","ETC",IF(J324="PLANO1","FPC1",IF(J324="PLANO2","FPC2",IF(J324="WESSUN","WeSSun")))))</f>
        <v>ETC</v>
      </c>
      <c r="J324" s="1" t="s">
        <v>9</v>
      </c>
      <c r="K324" s="2">
        <v>2274.6120007354502</v>
      </c>
      <c r="L324" s="2">
        <v>979.61236027799259</v>
      </c>
      <c r="M324" s="3">
        <v>0.43815647354235987</v>
      </c>
      <c r="N324" s="2">
        <v>963.11636081300378</v>
      </c>
    </row>
    <row r="325" spans="1:14" x14ac:dyDescent="0.3">
      <c r="A325" s="1">
        <v>323</v>
      </c>
      <c r="B325" s="1" t="str">
        <f t="shared" si="25"/>
        <v>SevillaBebidasETC0,6</v>
      </c>
      <c r="C325" s="1" t="str">
        <f t="shared" si="26"/>
        <v>SevillaBebidasETC0,6</v>
      </c>
      <c r="D325" s="1" t="s">
        <v>23</v>
      </c>
      <c r="E325" s="1" t="s">
        <v>13</v>
      </c>
      <c r="F325" s="1">
        <v>0.6</v>
      </c>
      <c r="G325" s="1">
        <f t="shared" si="27"/>
        <v>60</v>
      </c>
      <c r="H325" s="1">
        <f t="shared" si="28"/>
        <v>15</v>
      </c>
      <c r="I325" s="1" t="str">
        <f t="shared" si="29"/>
        <v>ETC</v>
      </c>
      <c r="J325" s="1" t="s">
        <v>9</v>
      </c>
      <c r="K325" s="2">
        <v>3048.1324194924496</v>
      </c>
      <c r="L325" s="2">
        <v>964.7546062167761</v>
      </c>
      <c r="M325" s="3">
        <v>0.57462057664350696</v>
      </c>
      <c r="N325" s="2">
        <v>942.54956555446404</v>
      </c>
    </row>
    <row r="326" spans="1:14" x14ac:dyDescent="0.3">
      <c r="A326" s="1">
        <v>324</v>
      </c>
      <c r="B326" s="1" t="str">
        <f t="shared" si="25"/>
        <v>SevillaBebidasETC0,75</v>
      </c>
      <c r="C326" s="1" t="str">
        <f t="shared" si="26"/>
        <v>SevillaBebidasETC0,75</v>
      </c>
      <c r="D326" s="1" t="s">
        <v>23</v>
      </c>
      <c r="E326" s="1" t="s">
        <v>13</v>
      </c>
      <c r="F326" s="1">
        <v>0.75</v>
      </c>
      <c r="G326" s="1">
        <f t="shared" si="27"/>
        <v>60</v>
      </c>
      <c r="H326" s="1">
        <f t="shared" si="28"/>
        <v>15</v>
      </c>
      <c r="I326" s="1" t="str">
        <f t="shared" si="29"/>
        <v>ETC</v>
      </c>
      <c r="J326" s="1" t="s">
        <v>9</v>
      </c>
      <c r="K326" s="2">
        <v>3829.5966783804492</v>
      </c>
      <c r="L326" s="2">
        <v>943.70905719095208</v>
      </c>
      <c r="M326" s="3">
        <v>0.7011155611574954</v>
      </c>
      <c r="N326" s="2">
        <v>915.36314495534839</v>
      </c>
    </row>
    <row r="327" spans="1:14" x14ac:dyDescent="0.3">
      <c r="A327" s="1">
        <v>325</v>
      </c>
      <c r="B327" s="1" t="str">
        <f t="shared" si="25"/>
        <v>SevillaCarnicaETC0,3</v>
      </c>
      <c r="C327" s="1" t="str">
        <f t="shared" si="26"/>
        <v>SevillaCarnicaETC0,3</v>
      </c>
      <c r="D327" s="1" t="s">
        <v>23</v>
      </c>
      <c r="E327" s="1" t="s">
        <v>12</v>
      </c>
      <c r="F327" s="1">
        <v>0.3</v>
      </c>
      <c r="G327" s="1">
        <f t="shared" si="27"/>
        <v>120</v>
      </c>
      <c r="H327" s="1">
        <f t="shared" si="28"/>
        <v>60</v>
      </c>
      <c r="I327" s="1" t="str">
        <f t="shared" si="29"/>
        <v>ETC</v>
      </c>
      <c r="J327" s="1" t="s">
        <v>9</v>
      </c>
      <c r="K327" s="2">
        <v>1718.9759309180099</v>
      </c>
      <c r="L327" s="2">
        <v>811.63393150021284</v>
      </c>
      <c r="M327" s="3">
        <v>0.25081631377542696</v>
      </c>
      <c r="N327" s="2">
        <v>729.52575502469142</v>
      </c>
    </row>
    <row r="328" spans="1:14" x14ac:dyDescent="0.3">
      <c r="A328" s="1">
        <v>326</v>
      </c>
      <c r="B328" s="1" t="str">
        <f t="shared" si="25"/>
        <v>SevillaCarnicaETC0,45</v>
      </c>
      <c r="C328" s="1" t="str">
        <f t="shared" si="26"/>
        <v>SevillaCarnicaETC0,45</v>
      </c>
      <c r="D328" s="1" t="s">
        <v>23</v>
      </c>
      <c r="E328" s="1" t="s">
        <v>12</v>
      </c>
      <c r="F328" s="1">
        <v>0.45</v>
      </c>
      <c r="G328" s="1">
        <f t="shared" si="27"/>
        <v>120</v>
      </c>
      <c r="H328" s="1">
        <f t="shared" si="28"/>
        <v>60</v>
      </c>
      <c r="I328" s="1" t="str">
        <f t="shared" si="29"/>
        <v>ETC</v>
      </c>
      <c r="J328" s="1" t="s">
        <v>9</v>
      </c>
      <c r="K328" s="2">
        <v>2594.7939799091105</v>
      </c>
      <c r="L328" s="2">
        <v>803.80138015629882</v>
      </c>
      <c r="M328" s="3">
        <v>0.3762742624955554</v>
      </c>
      <c r="N328" s="2">
        <v>725.03049788600401</v>
      </c>
    </row>
    <row r="329" spans="1:14" x14ac:dyDescent="0.3">
      <c r="A329" s="1">
        <v>327</v>
      </c>
      <c r="B329" s="1" t="str">
        <f t="shared" si="25"/>
        <v>SevillaCarnicaETC0,6</v>
      </c>
      <c r="C329" s="1" t="str">
        <f t="shared" si="26"/>
        <v>SevillaCarnicaETC0,6</v>
      </c>
      <c r="D329" s="1" t="s">
        <v>23</v>
      </c>
      <c r="E329" s="1" t="s">
        <v>12</v>
      </c>
      <c r="F329" s="1">
        <v>0.6</v>
      </c>
      <c r="G329" s="1">
        <f t="shared" si="27"/>
        <v>120</v>
      </c>
      <c r="H329" s="1">
        <f t="shared" si="28"/>
        <v>60</v>
      </c>
      <c r="I329" s="1" t="str">
        <f t="shared" si="29"/>
        <v>ETC</v>
      </c>
      <c r="J329" s="1" t="s">
        <v>9</v>
      </c>
      <c r="K329" s="2">
        <v>3481.8706131835111</v>
      </c>
      <c r="L329" s="2">
        <v>790.27429446005431</v>
      </c>
      <c r="M329" s="3">
        <v>0.49515787325255861</v>
      </c>
      <c r="N329" s="2">
        <v>711.02636378601903</v>
      </c>
    </row>
    <row r="330" spans="1:14" x14ac:dyDescent="0.3">
      <c r="A330" s="1">
        <v>328</v>
      </c>
      <c r="B330" s="1" t="str">
        <f t="shared" si="25"/>
        <v>SevillaCarnicaETC0,75</v>
      </c>
      <c r="C330" s="1" t="str">
        <f t="shared" si="26"/>
        <v>SevillaCarnicaETC0,75</v>
      </c>
      <c r="D330" s="1" t="s">
        <v>23</v>
      </c>
      <c r="E330" s="1" t="s">
        <v>12</v>
      </c>
      <c r="F330" s="1">
        <v>0.75</v>
      </c>
      <c r="G330" s="1">
        <f t="shared" si="27"/>
        <v>120</v>
      </c>
      <c r="H330" s="1">
        <f t="shared" si="28"/>
        <v>60</v>
      </c>
      <c r="I330" s="1" t="str">
        <f t="shared" si="29"/>
        <v>ETC</v>
      </c>
      <c r="J330" s="1" t="s">
        <v>9</v>
      </c>
      <c r="K330" s="2">
        <v>4380.4959748328993</v>
      </c>
      <c r="L330" s="2">
        <v>770.42467176192986</v>
      </c>
      <c r="M330" s="3">
        <v>0.60385611281128426</v>
      </c>
      <c r="N330" s="2">
        <v>689.2310354643264</v>
      </c>
    </row>
    <row r="331" spans="1:14" x14ac:dyDescent="0.3">
      <c r="A331" s="1">
        <v>329</v>
      </c>
      <c r="B331" s="1" t="str">
        <f t="shared" si="25"/>
        <v>SevillaFarmaceuticaETC0,3</v>
      </c>
      <c r="C331" s="1" t="str">
        <f t="shared" si="26"/>
        <v>SevillaFarmaceuticaETC0,3</v>
      </c>
      <c r="D331" s="1" t="s">
        <v>23</v>
      </c>
      <c r="E331" s="1" t="s">
        <v>15</v>
      </c>
      <c r="F331" s="1">
        <v>0.3</v>
      </c>
      <c r="G331" s="1">
        <f t="shared" si="27"/>
        <v>120</v>
      </c>
      <c r="H331" s="1">
        <f t="shared" si="28"/>
        <v>60</v>
      </c>
      <c r="I331" s="1" t="str">
        <f t="shared" si="29"/>
        <v>ETC</v>
      </c>
      <c r="J331" s="1" t="s">
        <v>9</v>
      </c>
      <c r="K331" s="2">
        <v>1718.9759309180099</v>
      </c>
      <c r="L331" s="2">
        <v>811.69410547937082</v>
      </c>
      <c r="M331" s="3">
        <v>0.25086033961586462</v>
      </c>
      <c r="N331" s="2">
        <v>729.64029506849363</v>
      </c>
    </row>
    <row r="332" spans="1:14" x14ac:dyDescent="0.3">
      <c r="A332" s="1">
        <v>330</v>
      </c>
      <c r="B332" s="1" t="str">
        <f t="shared" si="25"/>
        <v>SevillaFarmaceuticaETC0,45</v>
      </c>
      <c r="C332" s="1" t="str">
        <f t="shared" si="26"/>
        <v>SevillaFarmaceuticaETC0,45</v>
      </c>
      <c r="D332" s="1" t="s">
        <v>23</v>
      </c>
      <c r="E332" s="1" t="s">
        <v>15</v>
      </c>
      <c r="F332" s="1">
        <v>0.45</v>
      </c>
      <c r="G332" s="1">
        <f t="shared" si="27"/>
        <v>120</v>
      </c>
      <c r="H332" s="1">
        <f t="shared" si="28"/>
        <v>60</v>
      </c>
      <c r="I332" s="1" t="str">
        <f t="shared" si="29"/>
        <v>ETC</v>
      </c>
      <c r="J332" s="1" t="s">
        <v>9</v>
      </c>
      <c r="K332" s="2">
        <v>2594.7939799091105</v>
      </c>
      <c r="L332" s="2">
        <v>803.87411956571827</v>
      </c>
      <c r="M332" s="3">
        <v>0.37635110098057073</v>
      </c>
      <c r="N332" s="2">
        <v>725.16512455442648</v>
      </c>
    </row>
    <row r="333" spans="1:14" x14ac:dyDescent="0.3">
      <c r="A333" s="1">
        <v>331</v>
      </c>
      <c r="B333" s="1" t="str">
        <f t="shared" si="25"/>
        <v>SevillaFarmaceuticaETC0,6</v>
      </c>
      <c r="C333" s="1" t="str">
        <f t="shared" si="26"/>
        <v>SevillaFarmaceuticaETC0,6</v>
      </c>
      <c r="D333" s="1" t="s">
        <v>23</v>
      </c>
      <c r="E333" s="1" t="s">
        <v>15</v>
      </c>
      <c r="F333" s="1">
        <v>0.6</v>
      </c>
      <c r="G333" s="1">
        <f t="shared" si="27"/>
        <v>120</v>
      </c>
      <c r="H333" s="1">
        <f t="shared" si="28"/>
        <v>60</v>
      </c>
      <c r="I333" s="1" t="str">
        <f t="shared" si="29"/>
        <v>ETC</v>
      </c>
      <c r="J333" s="1" t="s">
        <v>9</v>
      </c>
      <c r="K333" s="2">
        <v>3481.8706131835111</v>
      </c>
      <c r="L333" s="2">
        <v>790.28388726583</v>
      </c>
      <c r="M333" s="3">
        <v>0.49520543100510633</v>
      </c>
      <c r="N333" s="2">
        <v>711.08148472932703</v>
      </c>
    </row>
    <row r="334" spans="1:14" x14ac:dyDescent="0.3">
      <c r="A334" s="1">
        <v>332</v>
      </c>
      <c r="B334" s="1" t="str">
        <f t="shared" si="25"/>
        <v>SevillaFarmaceuticaETC0,75</v>
      </c>
      <c r="C334" s="1" t="str">
        <f t="shared" si="26"/>
        <v>SevillaFarmaceuticaETC0,75</v>
      </c>
      <c r="D334" s="1" t="s">
        <v>23</v>
      </c>
      <c r="E334" s="1" t="s">
        <v>15</v>
      </c>
      <c r="F334" s="1">
        <v>0.75</v>
      </c>
      <c r="G334" s="1">
        <f t="shared" si="27"/>
        <v>120</v>
      </c>
      <c r="H334" s="1">
        <f t="shared" si="28"/>
        <v>60</v>
      </c>
      <c r="I334" s="1" t="str">
        <f t="shared" si="29"/>
        <v>ETC</v>
      </c>
      <c r="J334" s="1" t="s">
        <v>9</v>
      </c>
      <c r="K334" s="2">
        <v>4380.4959748328993</v>
      </c>
      <c r="L334" s="2">
        <v>770.50030243114497</v>
      </c>
      <c r="M334" s="3">
        <v>0.60395433694339151</v>
      </c>
      <c r="N334" s="2">
        <v>689.3303796277097</v>
      </c>
    </row>
    <row r="335" spans="1:14" x14ac:dyDescent="0.3">
      <c r="A335" s="1">
        <v>333</v>
      </c>
      <c r="B335" s="1" t="str">
        <f t="shared" si="25"/>
        <v>SevillaLacteosETC0,3</v>
      </c>
      <c r="C335" s="1" t="str">
        <f t="shared" si="26"/>
        <v>SevillaLacteosETC0,3</v>
      </c>
      <c r="D335" s="1" t="s">
        <v>23</v>
      </c>
      <c r="E335" s="1" t="s">
        <v>14</v>
      </c>
      <c r="F335" s="1">
        <v>0.3</v>
      </c>
      <c r="G335" s="1">
        <f t="shared" si="27"/>
        <v>120</v>
      </c>
      <c r="H335" s="1">
        <f t="shared" si="28"/>
        <v>60</v>
      </c>
      <c r="I335" s="1" t="str">
        <f t="shared" si="29"/>
        <v>ETC</v>
      </c>
      <c r="J335" s="1" t="s">
        <v>9</v>
      </c>
      <c r="K335" s="2">
        <v>1718.9759309180099</v>
      </c>
      <c r="L335" s="2">
        <v>807.67854272610953</v>
      </c>
      <c r="M335" s="3">
        <v>0.25770380496282314</v>
      </c>
      <c r="N335" s="2">
        <v>749.65407359341407</v>
      </c>
    </row>
    <row r="336" spans="1:14" x14ac:dyDescent="0.3">
      <c r="A336" s="1">
        <v>334</v>
      </c>
      <c r="B336" s="1" t="str">
        <f t="shared" si="25"/>
        <v>SevillaLacteosETC0,45</v>
      </c>
      <c r="C336" s="1" t="str">
        <f t="shared" si="26"/>
        <v>SevillaLacteosETC0,45</v>
      </c>
      <c r="D336" s="1" t="s">
        <v>23</v>
      </c>
      <c r="E336" s="1" t="s">
        <v>14</v>
      </c>
      <c r="F336" s="1">
        <v>0.45</v>
      </c>
      <c r="G336" s="1">
        <f t="shared" si="27"/>
        <v>120</v>
      </c>
      <c r="H336" s="1">
        <f t="shared" si="28"/>
        <v>60</v>
      </c>
      <c r="I336" s="1" t="str">
        <f t="shared" si="29"/>
        <v>ETC</v>
      </c>
      <c r="J336" s="1" t="s">
        <v>9</v>
      </c>
      <c r="K336" s="2">
        <v>2594.7939799091105</v>
      </c>
      <c r="L336" s="2">
        <v>797.65354581105578</v>
      </c>
      <c r="M336" s="3">
        <v>0.38484047536852484</v>
      </c>
      <c r="N336" s="2">
        <v>741.63075403086509</v>
      </c>
    </row>
    <row r="337" spans="1:14" x14ac:dyDescent="0.3">
      <c r="A337" s="1">
        <v>335</v>
      </c>
      <c r="B337" s="1" t="str">
        <f t="shared" si="25"/>
        <v>SevillaLacteosETC0,6</v>
      </c>
      <c r="C337" s="1" t="str">
        <f t="shared" si="26"/>
        <v>SevillaLacteosETC0,6</v>
      </c>
      <c r="D337" s="1" t="s">
        <v>23</v>
      </c>
      <c r="E337" s="1" t="s">
        <v>14</v>
      </c>
      <c r="F337" s="1">
        <v>0.6</v>
      </c>
      <c r="G337" s="1">
        <f t="shared" si="27"/>
        <v>120</v>
      </c>
      <c r="H337" s="1">
        <f t="shared" si="28"/>
        <v>60</v>
      </c>
      <c r="I337" s="1" t="str">
        <f t="shared" si="29"/>
        <v>ETC</v>
      </c>
      <c r="J337" s="1" t="s">
        <v>9</v>
      </c>
      <c r="K337" s="2">
        <v>3481.8706131835111</v>
      </c>
      <c r="L337" s="2">
        <v>778.49424468540371</v>
      </c>
      <c r="M337" s="3">
        <v>0.50301104633241089</v>
      </c>
      <c r="N337" s="2">
        <v>722.39505414684925</v>
      </c>
    </row>
    <row r="338" spans="1:14" x14ac:dyDescent="0.3">
      <c r="A338" s="1">
        <v>336</v>
      </c>
      <c r="B338" s="1" t="str">
        <f t="shared" si="25"/>
        <v>SevillaLacteosETC0,75</v>
      </c>
      <c r="C338" s="1" t="str">
        <f t="shared" si="26"/>
        <v>SevillaLacteosETC0,75</v>
      </c>
      <c r="D338" s="1" t="s">
        <v>23</v>
      </c>
      <c r="E338" s="1" t="s">
        <v>14</v>
      </c>
      <c r="F338" s="1">
        <v>0.75</v>
      </c>
      <c r="G338" s="1">
        <f t="shared" si="27"/>
        <v>120</v>
      </c>
      <c r="H338" s="1">
        <f t="shared" si="28"/>
        <v>60</v>
      </c>
      <c r="I338" s="1" t="str">
        <f t="shared" si="29"/>
        <v>ETC</v>
      </c>
      <c r="J338" s="1" t="s">
        <v>9</v>
      </c>
      <c r="K338" s="2">
        <v>4380.4959748328993</v>
      </c>
      <c r="L338" s="2">
        <v>752.33364845077801</v>
      </c>
      <c r="M338" s="3">
        <v>0.60910207440555719</v>
      </c>
      <c r="N338" s="2">
        <v>695.30709833600577</v>
      </c>
    </row>
    <row r="339" spans="1:14" x14ac:dyDescent="0.3">
      <c r="A339" s="1">
        <v>337</v>
      </c>
      <c r="B339" s="1" t="str">
        <f t="shared" si="25"/>
        <v>SevillaSecadoETC0,3</v>
      </c>
      <c r="C339" s="1" t="str">
        <f t="shared" si="26"/>
        <v>SevillaSecadoETC0,3</v>
      </c>
      <c r="D339" s="1" t="s">
        <v>23</v>
      </c>
      <c r="E339" s="1" t="s">
        <v>11</v>
      </c>
      <c r="F339" s="1">
        <v>0.3</v>
      </c>
      <c r="G339" s="1">
        <f t="shared" si="27"/>
        <v>60</v>
      </c>
      <c r="H339" s="1">
        <f t="shared" si="28"/>
        <v>15</v>
      </c>
      <c r="I339" s="1" t="str">
        <f t="shared" si="29"/>
        <v>ETC</v>
      </c>
      <c r="J339" s="1" t="s">
        <v>9</v>
      </c>
      <c r="K339" s="2">
        <v>1508.8617904975599</v>
      </c>
      <c r="L339" s="2">
        <v>988.26931535815982</v>
      </c>
      <c r="M339" s="3">
        <v>0.29463999869274399</v>
      </c>
      <c r="N339" s="2">
        <v>976.36510009562255</v>
      </c>
    </row>
    <row r="340" spans="1:14" x14ac:dyDescent="0.3">
      <c r="A340" s="1">
        <v>338</v>
      </c>
      <c r="B340" s="1" t="str">
        <f t="shared" si="25"/>
        <v>SevillaSecadoETC0,45</v>
      </c>
      <c r="C340" s="1" t="str">
        <f t="shared" si="26"/>
        <v>SevillaSecadoETC0,45</v>
      </c>
      <c r="D340" s="1" t="s">
        <v>23</v>
      </c>
      <c r="E340" s="1" t="s">
        <v>11</v>
      </c>
      <c r="F340" s="1">
        <v>0.45</v>
      </c>
      <c r="G340" s="1">
        <f t="shared" si="27"/>
        <v>60</v>
      </c>
      <c r="H340" s="1">
        <f t="shared" si="28"/>
        <v>15</v>
      </c>
      <c r="I340" s="1" t="str">
        <f t="shared" si="29"/>
        <v>ETC</v>
      </c>
      <c r="J340" s="1" t="s">
        <v>9</v>
      </c>
      <c r="K340" s="2">
        <v>2274.6120007354502</v>
      </c>
      <c r="L340" s="2">
        <v>979.75433889061696</v>
      </c>
      <c r="M340" s="3">
        <v>0.43819034990715833</v>
      </c>
      <c r="N340" s="2">
        <v>963.21999017887811</v>
      </c>
    </row>
    <row r="341" spans="1:14" x14ac:dyDescent="0.3">
      <c r="A341" s="1">
        <v>339</v>
      </c>
      <c r="B341" s="1" t="str">
        <f t="shared" si="25"/>
        <v>SevillaSecadoETC0,6</v>
      </c>
      <c r="C341" s="1" t="str">
        <f t="shared" si="26"/>
        <v>SevillaSecadoETC0,6</v>
      </c>
      <c r="D341" s="1" t="s">
        <v>23</v>
      </c>
      <c r="E341" s="1" t="s">
        <v>11</v>
      </c>
      <c r="F341" s="1">
        <v>0.6</v>
      </c>
      <c r="G341" s="1">
        <f t="shared" si="27"/>
        <v>60</v>
      </c>
      <c r="H341" s="1">
        <f t="shared" si="28"/>
        <v>15</v>
      </c>
      <c r="I341" s="1" t="str">
        <f t="shared" si="29"/>
        <v>ETC</v>
      </c>
      <c r="J341" s="1" t="s">
        <v>9</v>
      </c>
      <c r="K341" s="2">
        <v>3048.1324194924496</v>
      </c>
      <c r="L341" s="2">
        <v>964.97303003624313</v>
      </c>
      <c r="M341" s="3">
        <v>0.57471211137941913</v>
      </c>
      <c r="N341" s="2">
        <v>942.7282547930995</v>
      </c>
    </row>
    <row r="342" spans="1:14" x14ac:dyDescent="0.3">
      <c r="A342" s="1">
        <v>340</v>
      </c>
      <c r="B342" s="1" t="str">
        <f t="shared" si="25"/>
        <v>SevillaSecadoETC0,75</v>
      </c>
      <c r="C342" s="1" t="str">
        <f t="shared" si="26"/>
        <v>SevillaSecadoETC0,75</v>
      </c>
      <c r="D342" s="1" t="s">
        <v>23</v>
      </c>
      <c r="E342" s="1" t="s">
        <v>11</v>
      </c>
      <c r="F342" s="1">
        <v>0.75</v>
      </c>
      <c r="G342" s="1">
        <f t="shared" si="27"/>
        <v>60</v>
      </c>
      <c r="H342" s="1">
        <f t="shared" si="28"/>
        <v>15</v>
      </c>
      <c r="I342" s="1" t="str">
        <f t="shared" si="29"/>
        <v>ETC</v>
      </c>
      <c r="J342" s="1" t="s">
        <v>9</v>
      </c>
      <c r="K342" s="2">
        <v>3829.5966783804492</v>
      </c>
      <c r="L342" s="2">
        <v>943.93320141084519</v>
      </c>
      <c r="M342" s="3">
        <v>0.70121993580304343</v>
      </c>
      <c r="N342" s="2">
        <v>915.52713578579937</v>
      </c>
    </row>
    <row r="343" spans="1:14" x14ac:dyDescent="0.3">
      <c r="A343" s="1">
        <v>341</v>
      </c>
      <c r="B343" s="1" t="str">
        <f t="shared" si="25"/>
        <v>SevillaBebidasPLANO10,3</v>
      </c>
      <c r="C343" s="1" t="str">
        <f t="shared" si="26"/>
        <v>SevillaBebidasFPC10,3</v>
      </c>
      <c r="D343" s="1" t="s">
        <v>23</v>
      </c>
      <c r="E343" s="1" t="s">
        <v>13</v>
      </c>
      <c r="F343" s="1">
        <v>0.3</v>
      </c>
      <c r="G343" s="1">
        <f t="shared" si="27"/>
        <v>60</v>
      </c>
      <c r="H343" s="1">
        <f t="shared" si="28"/>
        <v>15</v>
      </c>
      <c r="I343" s="1" t="str">
        <f t="shared" si="29"/>
        <v>FPC1</v>
      </c>
      <c r="J343" s="1" t="s">
        <v>17</v>
      </c>
      <c r="K343" s="2">
        <v>1468.0690887365199</v>
      </c>
      <c r="L343" s="2">
        <v>1100.9158803108769</v>
      </c>
      <c r="M343" s="3">
        <v>0.3194667269535032</v>
      </c>
      <c r="N343" s="2">
        <v>1088.0177785350213</v>
      </c>
    </row>
    <row r="344" spans="1:14" x14ac:dyDescent="0.3">
      <c r="A344" s="1">
        <v>342</v>
      </c>
      <c r="B344" s="1" t="str">
        <f t="shared" ref="B344:B407" si="30">_xlfn.CONCAT(D344,E344,J344,F344)</f>
        <v>SevillaBebidasPLANO10,45</v>
      </c>
      <c r="C344" s="1" t="str">
        <f t="shared" si="26"/>
        <v>SevillaBebidasFPC10,45</v>
      </c>
      <c r="D344" s="1" t="s">
        <v>23</v>
      </c>
      <c r="E344" s="1" t="s">
        <v>13</v>
      </c>
      <c r="F344" s="1">
        <v>0.45</v>
      </c>
      <c r="G344" s="1">
        <f t="shared" si="27"/>
        <v>60</v>
      </c>
      <c r="H344" s="1">
        <f t="shared" si="28"/>
        <v>15</v>
      </c>
      <c r="I344" s="1" t="str">
        <f t="shared" si="29"/>
        <v>FPC1</v>
      </c>
      <c r="J344" s="1" t="s">
        <v>17</v>
      </c>
      <c r="K344" s="2">
        <v>2243.5765078067407</v>
      </c>
      <c r="L344" s="2">
        <v>1075.3105017854232</v>
      </c>
      <c r="M344" s="3">
        <v>0.4745921566976134</v>
      </c>
      <c r="N344" s="2">
        <v>1057.63673478445</v>
      </c>
    </row>
    <row r="345" spans="1:14" x14ac:dyDescent="0.3">
      <c r="A345" s="1">
        <v>343</v>
      </c>
      <c r="B345" s="1" t="str">
        <f t="shared" si="30"/>
        <v>SevillaBebidasPLANO10,6</v>
      </c>
      <c r="C345" s="1" t="str">
        <f t="shared" si="26"/>
        <v>SevillaBebidasFPC10,6</v>
      </c>
      <c r="D345" s="1" t="s">
        <v>23</v>
      </c>
      <c r="E345" s="1" t="s">
        <v>13</v>
      </c>
      <c r="F345" s="1">
        <v>0.6</v>
      </c>
      <c r="G345" s="1">
        <f t="shared" si="27"/>
        <v>60</v>
      </c>
      <c r="H345" s="1">
        <f t="shared" si="28"/>
        <v>15</v>
      </c>
      <c r="I345" s="1" t="str">
        <f t="shared" si="29"/>
        <v>FPC1</v>
      </c>
      <c r="J345" s="1" t="s">
        <v>17</v>
      </c>
      <c r="K345" s="2">
        <v>3048.9647875093401</v>
      </c>
      <c r="L345" s="2">
        <v>1031.9225283211863</v>
      </c>
      <c r="M345" s="3">
        <v>0.61509415381529886</v>
      </c>
      <c r="N345" s="2">
        <v>1008.6628939271561</v>
      </c>
    </row>
    <row r="346" spans="1:14" x14ac:dyDescent="0.3">
      <c r="A346" s="1">
        <v>344</v>
      </c>
      <c r="B346" s="1" t="str">
        <f t="shared" si="30"/>
        <v>SevillaBebidasPLANO10,75</v>
      </c>
      <c r="C346" s="1" t="str">
        <f t="shared" si="26"/>
        <v>SevillaBebidasFPC10,75</v>
      </c>
      <c r="D346" s="1" t="s">
        <v>23</v>
      </c>
      <c r="E346" s="1" t="s">
        <v>13</v>
      </c>
      <c r="F346" s="1">
        <v>0.75</v>
      </c>
      <c r="G346" s="1">
        <f t="shared" si="27"/>
        <v>60</v>
      </c>
      <c r="H346" s="1">
        <f t="shared" si="28"/>
        <v>15</v>
      </c>
      <c r="I346" s="1" t="str">
        <f t="shared" si="29"/>
        <v>FPC1</v>
      </c>
      <c r="J346" s="1" t="s">
        <v>17</v>
      </c>
      <c r="K346" s="2">
        <v>3886.080181538719</v>
      </c>
      <c r="L346" s="2">
        <v>972.90069090285078</v>
      </c>
      <c r="M346" s="3">
        <v>0.73362364057756158</v>
      </c>
      <c r="N346" s="2">
        <v>943.88354423388478</v>
      </c>
    </row>
    <row r="347" spans="1:14" x14ac:dyDescent="0.3">
      <c r="A347" s="1">
        <v>345</v>
      </c>
      <c r="B347" s="1" t="str">
        <f t="shared" si="30"/>
        <v>SevillaCarnicaPLANO10,3</v>
      </c>
      <c r="C347" s="1" t="str">
        <f t="shared" si="26"/>
        <v>SevillaCarnicaFPC10,3</v>
      </c>
      <c r="D347" s="1" t="s">
        <v>23</v>
      </c>
      <c r="E347" s="1" t="s">
        <v>12</v>
      </c>
      <c r="F347" s="1">
        <v>0.3</v>
      </c>
      <c r="G347" s="1">
        <f t="shared" si="27"/>
        <v>120</v>
      </c>
      <c r="H347" s="1">
        <f t="shared" si="28"/>
        <v>60</v>
      </c>
      <c r="I347" s="1" t="str">
        <f t="shared" si="29"/>
        <v>FPC1</v>
      </c>
      <c r="J347" s="1" t="s">
        <v>17</v>
      </c>
      <c r="K347" s="2">
        <v>2623.0846575606106</v>
      </c>
      <c r="L347" s="2">
        <v>587.9949307434606</v>
      </c>
      <c r="M347" s="3">
        <v>0.27086811264827615</v>
      </c>
      <c r="N347" s="2">
        <v>516.29773302246929</v>
      </c>
    </row>
    <row r="348" spans="1:14" x14ac:dyDescent="0.3">
      <c r="A348" s="1">
        <v>346</v>
      </c>
      <c r="B348" s="1" t="str">
        <f t="shared" si="30"/>
        <v>SevillaCarnicaPLANO10,45</v>
      </c>
      <c r="C348" s="1" t="str">
        <f t="shared" si="26"/>
        <v>SevillaCarnicaFPC10,45</v>
      </c>
      <c r="D348" s="1" t="s">
        <v>23</v>
      </c>
      <c r="E348" s="1" t="s">
        <v>12</v>
      </c>
      <c r="F348" s="1">
        <v>0.45</v>
      </c>
      <c r="G348" s="1">
        <f t="shared" si="27"/>
        <v>120</v>
      </c>
      <c r="H348" s="1">
        <f t="shared" si="28"/>
        <v>60</v>
      </c>
      <c r="I348" s="1" t="str">
        <f t="shared" si="29"/>
        <v>FPC1</v>
      </c>
      <c r="J348" s="1" t="s">
        <v>17</v>
      </c>
      <c r="K348" s="2">
        <v>4075.0941562802905</v>
      </c>
      <c r="L348" s="2">
        <v>562.05948184035151</v>
      </c>
      <c r="M348" s="3">
        <v>0.40133299324968813</v>
      </c>
      <c r="N348" s="2">
        <v>492.40432650927715</v>
      </c>
    </row>
    <row r="349" spans="1:14" x14ac:dyDescent="0.3">
      <c r="A349" s="1">
        <v>347</v>
      </c>
      <c r="B349" s="1" t="str">
        <f t="shared" si="30"/>
        <v>SevillaCarnicaPLANO10,6</v>
      </c>
      <c r="C349" s="1" t="str">
        <f t="shared" si="26"/>
        <v>SevillaCarnicaFPC10,6</v>
      </c>
      <c r="D349" s="1" t="s">
        <v>23</v>
      </c>
      <c r="E349" s="1" t="s">
        <v>12</v>
      </c>
      <c r="F349" s="1">
        <v>0.6</v>
      </c>
      <c r="G349" s="1">
        <f t="shared" si="27"/>
        <v>120</v>
      </c>
      <c r="H349" s="1">
        <f t="shared" si="28"/>
        <v>60</v>
      </c>
      <c r="I349" s="1" t="str">
        <f t="shared" si="29"/>
        <v>FPC1</v>
      </c>
      <c r="J349" s="1" t="s">
        <v>17</v>
      </c>
      <c r="K349" s="2">
        <v>5634.9898911549099</v>
      </c>
      <c r="L349" s="2">
        <v>525.52341234088931</v>
      </c>
      <c r="M349" s="3">
        <v>0.51375236123540247</v>
      </c>
      <c r="N349" s="2">
        <v>455.84304541773281</v>
      </c>
    </row>
    <row r="350" spans="1:14" x14ac:dyDescent="0.3">
      <c r="A350" s="1">
        <v>348</v>
      </c>
      <c r="B350" s="1" t="str">
        <f t="shared" si="30"/>
        <v>SevillaCarnicaPLANO10,75</v>
      </c>
      <c r="C350" s="1" t="str">
        <f t="shared" si="26"/>
        <v>SevillaCarnicaFPC10,75</v>
      </c>
      <c r="D350" s="1" t="s">
        <v>23</v>
      </c>
      <c r="E350" s="1" t="s">
        <v>12</v>
      </c>
      <c r="F350" s="1">
        <v>0.75</v>
      </c>
      <c r="G350" s="1">
        <f t="shared" si="27"/>
        <v>120</v>
      </c>
      <c r="H350" s="1">
        <f t="shared" si="28"/>
        <v>60</v>
      </c>
      <c r="I350" s="1" t="str">
        <f t="shared" si="29"/>
        <v>FPC1</v>
      </c>
      <c r="J350" s="1" t="s">
        <v>17</v>
      </c>
      <c r="K350" s="2">
        <v>7315.5623172767382</v>
      </c>
      <c r="L350" s="2">
        <v>487.07279635555159</v>
      </c>
      <c r="M350" s="3">
        <v>0.61019192901545227</v>
      </c>
      <c r="N350" s="2">
        <v>417.03584835236904</v>
      </c>
    </row>
    <row r="351" spans="1:14" x14ac:dyDescent="0.3">
      <c r="A351" s="1">
        <v>349</v>
      </c>
      <c r="B351" s="1" t="str">
        <f t="shared" si="30"/>
        <v>SevillaFarmaceuticaPLANO10,3</v>
      </c>
      <c r="C351" s="1" t="str">
        <f t="shared" si="26"/>
        <v>SevillaFarmaceuticaFPC10,3</v>
      </c>
      <c r="D351" s="1" t="s">
        <v>23</v>
      </c>
      <c r="E351" s="1" t="s">
        <v>15</v>
      </c>
      <c r="F351" s="1">
        <v>0.3</v>
      </c>
      <c r="G351" s="1">
        <f t="shared" si="27"/>
        <v>120</v>
      </c>
      <c r="H351" s="1">
        <f t="shared" si="28"/>
        <v>60</v>
      </c>
      <c r="I351" s="1" t="str">
        <f t="shared" si="29"/>
        <v>FPC1</v>
      </c>
      <c r="J351" s="1" t="s">
        <v>17</v>
      </c>
      <c r="K351" s="2">
        <v>2623.0846575606106</v>
      </c>
      <c r="L351" s="2">
        <v>588.09442081066936</v>
      </c>
      <c r="M351" s="3">
        <v>0.27094900093007529</v>
      </c>
      <c r="N351" s="2">
        <v>516.44234789091524</v>
      </c>
    </row>
    <row r="352" spans="1:14" x14ac:dyDescent="0.3">
      <c r="A352" s="1">
        <v>350</v>
      </c>
      <c r="B352" s="1" t="str">
        <f t="shared" si="30"/>
        <v>SevillaFarmaceuticaPLANO10,45</v>
      </c>
      <c r="C352" s="1" t="str">
        <f t="shared" si="26"/>
        <v>SevillaFarmaceuticaFPC10,45</v>
      </c>
      <c r="D352" s="1" t="s">
        <v>23</v>
      </c>
      <c r="E352" s="1" t="s">
        <v>15</v>
      </c>
      <c r="F352" s="1">
        <v>0.45</v>
      </c>
      <c r="G352" s="1">
        <f t="shared" si="27"/>
        <v>120</v>
      </c>
      <c r="H352" s="1">
        <f t="shared" si="28"/>
        <v>60</v>
      </c>
      <c r="I352" s="1" t="str">
        <f t="shared" si="29"/>
        <v>FPC1</v>
      </c>
      <c r="J352" s="1" t="s">
        <v>17</v>
      </c>
      <c r="K352" s="2">
        <v>4075.0941562802905</v>
      </c>
      <c r="L352" s="2">
        <v>562.18404074100863</v>
      </c>
      <c r="M352" s="3">
        <v>0.40146298073559944</v>
      </c>
      <c r="N352" s="2">
        <v>492.55468835947772</v>
      </c>
    </row>
    <row r="353" spans="1:14" x14ac:dyDescent="0.3">
      <c r="A353" s="1">
        <v>351</v>
      </c>
      <c r="B353" s="1" t="str">
        <f t="shared" si="30"/>
        <v>SevillaFarmaceuticaPLANO10,6</v>
      </c>
      <c r="C353" s="1" t="str">
        <f t="shared" si="26"/>
        <v>SevillaFarmaceuticaFPC10,6</v>
      </c>
      <c r="D353" s="1" t="s">
        <v>23</v>
      </c>
      <c r="E353" s="1" t="s">
        <v>15</v>
      </c>
      <c r="F353" s="1">
        <v>0.6</v>
      </c>
      <c r="G353" s="1">
        <f t="shared" si="27"/>
        <v>120</v>
      </c>
      <c r="H353" s="1">
        <f t="shared" si="28"/>
        <v>60</v>
      </c>
      <c r="I353" s="1" t="str">
        <f t="shared" si="29"/>
        <v>FPC1</v>
      </c>
      <c r="J353" s="1" t="s">
        <v>17</v>
      </c>
      <c r="K353" s="2">
        <v>5634.9898911549099</v>
      </c>
      <c r="L353" s="2">
        <v>525.65527638550793</v>
      </c>
      <c r="M353" s="3">
        <v>0.51391595819341507</v>
      </c>
      <c r="N353" s="2">
        <v>455.97975673517283</v>
      </c>
    </row>
    <row r="354" spans="1:14" x14ac:dyDescent="0.3">
      <c r="A354" s="1">
        <v>352</v>
      </c>
      <c r="B354" s="1" t="str">
        <f t="shared" si="30"/>
        <v>SevillaFarmaceuticaPLANO10,75</v>
      </c>
      <c r="C354" s="1" t="str">
        <f t="shared" si="26"/>
        <v>SevillaFarmaceuticaFPC10,75</v>
      </c>
      <c r="D354" s="1" t="s">
        <v>23</v>
      </c>
      <c r="E354" s="1" t="s">
        <v>15</v>
      </c>
      <c r="F354" s="1">
        <v>0.75</v>
      </c>
      <c r="G354" s="1">
        <f t="shared" si="27"/>
        <v>120</v>
      </c>
      <c r="H354" s="1">
        <f t="shared" si="28"/>
        <v>60</v>
      </c>
      <c r="I354" s="1" t="str">
        <f t="shared" si="29"/>
        <v>FPC1</v>
      </c>
      <c r="J354" s="1" t="s">
        <v>17</v>
      </c>
      <c r="K354" s="2">
        <v>7315.5623172767382</v>
      </c>
      <c r="L354" s="2">
        <v>487.18443337296446</v>
      </c>
      <c r="M354" s="3">
        <v>0.61035668313157987</v>
      </c>
      <c r="N354" s="2">
        <v>417.14072368084055</v>
      </c>
    </row>
    <row r="355" spans="1:14" x14ac:dyDescent="0.3">
      <c r="A355" s="1">
        <v>353</v>
      </c>
      <c r="B355" s="1" t="str">
        <f t="shared" si="30"/>
        <v>SevillaLacteosPLANO10,3</v>
      </c>
      <c r="C355" s="1" t="str">
        <f t="shared" si="26"/>
        <v>SevillaLacteosFPC10,3</v>
      </c>
      <c r="D355" s="1" t="s">
        <v>23</v>
      </c>
      <c r="E355" s="1" t="s">
        <v>14</v>
      </c>
      <c r="F355" s="1">
        <v>0.3</v>
      </c>
      <c r="G355" s="1">
        <f t="shared" si="27"/>
        <v>120</v>
      </c>
      <c r="H355" s="1">
        <f t="shared" si="28"/>
        <v>60</v>
      </c>
      <c r="I355" s="1" t="str">
        <f t="shared" si="29"/>
        <v>FPC1</v>
      </c>
      <c r="J355" s="1" t="s">
        <v>17</v>
      </c>
      <c r="K355" s="2">
        <v>2623.0846575606106</v>
      </c>
      <c r="L355" s="2">
        <v>580.23827612522825</v>
      </c>
      <c r="M355" s="3">
        <v>0.27763007483309521</v>
      </c>
      <c r="N355" s="2">
        <v>529.25390737476926</v>
      </c>
    </row>
    <row r="356" spans="1:14" x14ac:dyDescent="0.3">
      <c r="A356" s="1">
        <v>354</v>
      </c>
      <c r="B356" s="1" t="str">
        <f t="shared" si="30"/>
        <v>SevillaLacteosPLANO10,45</v>
      </c>
      <c r="C356" s="1" t="str">
        <f t="shared" si="26"/>
        <v>SevillaLacteosFPC10,45</v>
      </c>
      <c r="D356" s="1" t="s">
        <v>23</v>
      </c>
      <c r="E356" s="1" t="s">
        <v>14</v>
      </c>
      <c r="F356" s="1">
        <v>0.45</v>
      </c>
      <c r="G356" s="1">
        <f t="shared" si="27"/>
        <v>120</v>
      </c>
      <c r="H356" s="1">
        <f t="shared" si="28"/>
        <v>60</v>
      </c>
      <c r="I356" s="1" t="str">
        <f t="shared" si="29"/>
        <v>FPC1</v>
      </c>
      <c r="J356" s="1" t="s">
        <v>17</v>
      </c>
      <c r="K356" s="2">
        <v>4075.0941562802905</v>
      </c>
      <c r="L356" s="2">
        <v>551.87738927315263</v>
      </c>
      <c r="M356" s="3">
        <v>0.40949227147195078</v>
      </c>
      <c r="N356" s="2">
        <v>502.47901836443799</v>
      </c>
    </row>
    <row r="357" spans="1:14" x14ac:dyDescent="0.3">
      <c r="A357" s="1">
        <v>355</v>
      </c>
      <c r="B357" s="1" t="str">
        <f t="shared" si="30"/>
        <v>SevillaLacteosPLANO10,6</v>
      </c>
      <c r="C357" s="1" t="str">
        <f t="shared" si="26"/>
        <v>SevillaLacteosFPC10,6</v>
      </c>
      <c r="D357" s="1" t="s">
        <v>23</v>
      </c>
      <c r="E357" s="1" t="s">
        <v>14</v>
      </c>
      <c r="F357" s="1">
        <v>0.6</v>
      </c>
      <c r="G357" s="1">
        <f t="shared" si="27"/>
        <v>120</v>
      </c>
      <c r="H357" s="1">
        <f t="shared" si="28"/>
        <v>60</v>
      </c>
      <c r="I357" s="1" t="str">
        <f t="shared" si="29"/>
        <v>FPC1</v>
      </c>
      <c r="J357" s="1" t="s">
        <v>17</v>
      </c>
      <c r="K357" s="2">
        <v>5634.9898911549099</v>
      </c>
      <c r="L357" s="2">
        <v>514.5219942963671</v>
      </c>
      <c r="M357" s="3">
        <v>0.52435353409261498</v>
      </c>
      <c r="N357" s="2">
        <v>465.30843810551124</v>
      </c>
    </row>
    <row r="358" spans="1:14" x14ac:dyDescent="0.3">
      <c r="A358" s="1">
        <v>356</v>
      </c>
      <c r="B358" s="1" t="str">
        <f t="shared" si="30"/>
        <v>SevillaLacteosPLANO10,75</v>
      </c>
      <c r="C358" s="1" t="str">
        <f t="shared" si="26"/>
        <v>SevillaLacteosFPC10,75</v>
      </c>
      <c r="D358" s="1" t="s">
        <v>23</v>
      </c>
      <c r="E358" s="1" t="s">
        <v>14</v>
      </c>
      <c r="F358" s="1">
        <v>0.75</v>
      </c>
      <c r="G358" s="1">
        <f t="shared" si="27"/>
        <v>120</v>
      </c>
      <c r="H358" s="1">
        <f t="shared" si="28"/>
        <v>60</v>
      </c>
      <c r="I358" s="1" t="str">
        <f t="shared" si="29"/>
        <v>FPC1</v>
      </c>
      <c r="J358" s="1" t="s">
        <v>17</v>
      </c>
      <c r="K358" s="2">
        <v>7315.5623172767382</v>
      </c>
      <c r="L358" s="2">
        <v>475.01007436612718</v>
      </c>
      <c r="M358" s="3">
        <v>0.62257952124010485</v>
      </c>
      <c r="N358" s="2">
        <v>425.55626358428481</v>
      </c>
    </row>
    <row r="359" spans="1:14" x14ac:dyDescent="0.3">
      <c r="A359" s="1">
        <v>357</v>
      </c>
      <c r="B359" s="1" t="str">
        <f t="shared" si="30"/>
        <v>SevillaSecadoPLANO10,3</v>
      </c>
      <c r="C359" s="1" t="str">
        <f t="shared" si="26"/>
        <v>SevillaSecadoFPC10,3</v>
      </c>
      <c r="D359" s="1" t="s">
        <v>23</v>
      </c>
      <c r="E359" s="1" t="s">
        <v>11</v>
      </c>
      <c r="F359" s="1">
        <v>0.3</v>
      </c>
      <c r="G359" s="1">
        <f t="shared" si="27"/>
        <v>60</v>
      </c>
      <c r="H359" s="1">
        <f t="shared" si="28"/>
        <v>15</v>
      </c>
      <c r="I359" s="1" t="str">
        <f t="shared" si="29"/>
        <v>FPC1</v>
      </c>
      <c r="J359" s="1" t="s">
        <v>17</v>
      </c>
      <c r="K359" s="2">
        <v>1468.0690887365199</v>
      </c>
      <c r="L359" s="2">
        <v>1100.8061479732264</v>
      </c>
      <c r="M359" s="3">
        <v>0.31938570592056914</v>
      </c>
      <c r="N359" s="2">
        <v>1087.7747794508618</v>
      </c>
    </row>
    <row r="360" spans="1:14" x14ac:dyDescent="0.3">
      <c r="A360" s="1">
        <v>358</v>
      </c>
      <c r="B360" s="1" t="str">
        <f t="shared" si="30"/>
        <v>SevillaSecadoPLANO10,45</v>
      </c>
      <c r="C360" s="1" t="str">
        <f t="shared" si="26"/>
        <v>SevillaSecadoFPC10,45</v>
      </c>
      <c r="D360" s="1" t="s">
        <v>23</v>
      </c>
      <c r="E360" s="1" t="s">
        <v>11</v>
      </c>
      <c r="F360" s="1">
        <v>0.45</v>
      </c>
      <c r="G360" s="1">
        <f t="shared" si="27"/>
        <v>60</v>
      </c>
      <c r="H360" s="1">
        <f t="shared" si="28"/>
        <v>15</v>
      </c>
      <c r="I360" s="1" t="str">
        <f t="shared" si="29"/>
        <v>FPC1</v>
      </c>
      <c r="J360" s="1" t="s">
        <v>17</v>
      </c>
      <c r="K360" s="2">
        <v>2243.5765078067407</v>
      </c>
      <c r="L360" s="2">
        <v>1075.5121685365375</v>
      </c>
      <c r="M360" s="3">
        <v>0.47464897608997503</v>
      </c>
      <c r="N360" s="2">
        <v>1057.7953867949188</v>
      </c>
    </row>
    <row r="361" spans="1:14" x14ac:dyDescent="0.3">
      <c r="A361" s="1">
        <v>359</v>
      </c>
      <c r="B361" s="1" t="str">
        <f t="shared" si="30"/>
        <v>SevillaSecadoPLANO10,6</v>
      </c>
      <c r="C361" s="1" t="str">
        <f t="shared" si="26"/>
        <v>SevillaSecadoFPC10,6</v>
      </c>
      <c r="D361" s="1" t="s">
        <v>23</v>
      </c>
      <c r="E361" s="1" t="s">
        <v>11</v>
      </c>
      <c r="F361" s="1">
        <v>0.6</v>
      </c>
      <c r="G361" s="1">
        <f t="shared" si="27"/>
        <v>60</v>
      </c>
      <c r="H361" s="1">
        <f t="shared" si="28"/>
        <v>15</v>
      </c>
      <c r="I361" s="1" t="str">
        <f t="shared" si="29"/>
        <v>FPC1</v>
      </c>
      <c r="J361" s="1" t="s">
        <v>17</v>
      </c>
      <c r="K361" s="2">
        <v>3048.9647875093401</v>
      </c>
      <c r="L361" s="2">
        <v>1032.0947535788409</v>
      </c>
      <c r="M361" s="3">
        <v>0.61516053725791919</v>
      </c>
      <c r="N361" s="2">
        <v>1008.8022984558166</v>
      </c>
    </row>
    <row r="362" spans="1:14" x14ac:dyDescent="0.3">
      <c r="A362" s="1">
        <v>360</v>
      </c>
      <c r="B362" s="1" t="str">
        <f t="shared" si="30"/>
        <v>SevillaSecadoPLANO10,75</v>
      </c>
      <c r="C362" s="1" t="str">
        <f t="shared" si="26"/>
        <v>SevillaSecadoFPC10,75</v>
      </c>
      <c r="D362" s="1" t="s">
        <v>23</v>
      </c>
      <c r="E362" s="1" t="s">
        <v>11</v>
      </c>
      <c r="F362" s="1">
        <v>0.75</v>
      </c>
      <c r="G362" s="1">
        <f t="shared" si="27"/>
        <v>60</v>
      </c>
      <c r="H362" s="1">
        <f t="shared" si="28"/>
        <v>15</v>
      </c>
      <c r="I362" s="1" t="str">
        <f t="shared" si="29"/>
        <v>FPC1</v>
      </c>
      <c r="J362" s="1" t="s">
        <v>17</v>
      </c>
      <c r="K362" s="2">
        <v>3886.080181538719</v>
      </c>
      <c r="L362" s="2">
        <v>972.90021959096759</v>
      </c>
      <c r="M362" s="3">
        <v>0.73356111456986917</v>
      </c>
      <c r="N362" s="2">
        <v>943.83167629738182</v>
      </c>
    </row>
    <row r="363" spans="1:14" x14ac:dyDescent="0.3">
      <c r="A363" s="1">
        <v>361</v>
      </c>
      <c r="B363" s="1" t="str">
        <f t="shared" si="30"/>
        <v>SevillaBebidasPLANO20,3</v>
      </c>
      <c r="C363" s="1" t="str">
        <f t="shared" si="26"/>
        <v>SevillaBebidasFPC20,3</v>
      </c>
      <c r="D363" s="1" t="s">
        <v>23</v>
      </c>
      <c r="E363" s="1" t="s">
        <v>13</v>
      </c>
      <c r="F363" s="1">
        <v>0.3</v>
      </c>
      <c r="G363" s="1">
        <f t="shared" si="27"/>
        <v>60</v>
      </c>
      <c r="H363" s="1">
        <f t="shared" si="28"/>
        <v>15</v>
      </c>
      <c r="I363" s="1" t="str">
        <f t="shared" si="29"/>
        <v>FPC2</v>
      </c>
      <c r="J363" s="1" t="s">
        <v>18</v>
      </c>
      <c r="K363" s="2">
        <v>1314.7886712515101</v>
      </c>
      <c r="L363" s="2">
        <v>1171.7710703030759</v>
      </c>
      <c r="M363" s="3">
        <v>0.30466668516652218</v>
      </c>
      <c r="N363" s="2">
        <v>1158.5795753403038</v>
      </c>
    </row>
    <row r="364" spans="1:14" x14ac:dyDescent="0.3">
      <c r="A364" s="1">
        <v>362</v>
      </c>
      <c r="B364" s="1" t="str">
        <f t="shared" si="30"/>
        <v>SevillaBebidasPLANO20,45</v>
      </c>
      <c r="C364" s="1" t="str">
        <f t="shared" si="26"/>
        <v>SevillaBebidasFPC20,45</v>
      </c>
      <c r="D364" s="1" t="s">
        <v>23</v>
      </c>
      <c r="E364" s="1" t="s">
        <v>13</v>
      </c>
      <c r="F364" s="1">
        <v>0.45</v>
      </c>
      <c r="G364" s="1">
        <f t="shared" si="27"/>
        <v>60</v>
      </c>
      <c r="H364" s="1">
        <f t="shared" si="28"/>
        <v>15</v>
      </c>
      <c r="I364" s="1" t="str">
        <f t="shared" si="29"/>
        <v>FPC2</v>
      </c>
      <c r="J364" s="1" t="s">
        <v>18</v>
      </c>
      <c r="K364" s="2">
        <v>2007.0950069155299</v>
      </c>
      <c r="L364" s="2">
        <v>1151.2006260081569</v>
      </c>
      <c r="M364" s="3">
        <v>0.45509330440556306</v>
      </c>
      <c r="N364" s="2">
        <v>1133.6770878862981</v>
      </c>
    </row>
    <row r="365" spans="1:14" x14ac:dyDescent="0.3">
      <c r="A365" s="1">
        <v>363</v>
      </c>
      <c r="B365" s="1" t="str">
        <f t="shared" si="30"/>
        <v>SevillaBebidasPLANO20,6</v>
      </c>
      <c r="C365" s="1" t="str">
        <f t="shared" si="26"/>
        <v>SevillaBebidasFPC20,6</v>
      </c>
      <c r="D365" s="1" t="s">
        <v>23</v>
      </c>
      <c r="E365" s="1" t="s">
        <v>13</v>
      </c>
      <c r="F365" s="1">
        <v>0.6</v>
      </c>
      <c r="G365" s="1">
        <f t="shared" si="27"/>
        <v>60</v>
      </c>
      <c r="H365" s="1">
        <f t="shared" si="28"/>
        <v>15</v>
      </c>
      <c r="I365" s="1" t="str">
        <f t="shared" si="29"/>
        <v>FPC2</v>
      </c>
      <c r="J365" s="1" t="s">
        <v>18</v>
      </c>
      <c r="K365" s="2">
        <v>2725.0878388393799</v>
      </c>
      <c r="L365" s="2">
        <v>1114.4750199571608</v>
      </c>
      <c r="M365" s="3">
        <v>0.59491226324356106</v>
      </c>
      <c r="N365" s="2">
        <v>1091.5138977407755</v>
      </c>
    </row>
    <row r="366" spans="1:14" x14ac:dyDescent="0.3">
      <c r="A366" s="1">
        <v>364</v>
      </c>
      <c r="B366" s="1" t="str">
        <f t="shared" si="30"/>
        <v>SevillaBebidasPLANO20,75</v>
      </c>
      <c r="C366" s="1" t="str">
        <f t="shared" si="26"/>
        <v>SevillaBebidasFPC20,75</v>
      </c>
      <c r="D366" s="1" t="s">
        <v>23</v>
      </c>
      <c r="E366" s="1" t="s">
        <v>13</v>
      </c>
      <c r="F366" s="1">
        <v>0.75</v>
      </c>
      <c r="G366" s="1">
        <f t="shared" si="27"/>
        <v>60</v>
      </c>
      <c r="H366" s="1">
        <f t="shared" si="28"/>
        <v>15</v>
      </c>
      <c r="I366" s="1" t="str">
        <f t="shared" si="29"/>
        <v>FPC2</v>
      </c>
      <c r="J366" s="1" t="s">
        <v>18</v>
      </c>
      <c r="K366" s="2">
        <v>3470.7950487194098</v>
      </c>
      <c r="L366" s="2">
        <v>1060.6151945681013</v>
      </c>
      <c r="M366" s="3">
        <v>0.71623060368689573</v>
      </c>
      <c r="N366" s="2">
        <v>1031.7649222873313</v>
      </c>
    </row>
    <row r="367" spans="1:14" x14ac:dyDescent="0.3">
      <c r="A367" s="1">
        <v>365</v>
      </c>
      <c r="B367" s="1" t="str">
        <f t="shared" si="30"/>
        <v>SevillaCarnicaPLANO20,3</v>
      </c>
      <c r="C367" s="1" t="str">
        <f t="shared" si="26"/>
        <v>SevillaCarnicaFPC20,3</v>
      </c>
      <c r="D367" s="1" t="s">
        <v>23</v>
      </c>
      <c r="E367" s="1" t="s">
        <v>12</v>
      </c>
      <c r="F367" s="1">
        <v>0.3</v>
      </c>
      <c r="G367" s="1">
        <f t="shared" si="27"/>
        <v>120</v>
      </c>
      <c r="H367" s="1">
        <f t="shared" si="28"/>
        <v>60</v>
      </c>
      <c r="I367" s="1" t="str">
        <f t="shared" si="29"/>
        <v>FPC2</v>
      </c>
      <c r="J367" s="1" t="s">
        <v>18</v>
      </c>
      <c r="K367" s="2">
        <v>2497.7601775281905</v>
      </c>
      <c r="L367" s="2">
        <v>623.2995644901622</v>
      </c>
      <c r="M367" s="3">
        <v>0.27496752110130646</v>
      </c>
      <c r="N367" s="2">
        <v>550.40871894284055</v>
      </c>
    </row>
    <row r="368" spans="1:14" x14ac:dyDescent="0.3">
      <c r="A368" s="1">
        <v>366</v>
      </c>
      <c r="B368" s="1" t="str">
        <f t="shared" si="30"/>
        <v>SevillaCarnicaPLANO20,45</v>
      </c>
      <c r="C368" s="1" t="str">
        <f t="shared" si="26"/>
        <v>SevillaCarnicaFPC20,45</v>
      </c>
      <c r="D368" s="1" t="s">
        <v>23</v>
      </c>
      <c r="E368" s="1" t="s">
        <v>12</v>
      </c>
      <c r="F368" s="1">
        <v>0.45</v>
      </c>
      <c r="G368" s="1">
        <f t="shared" si="27"/>
        <v>120</v>
      </c>
      <c r="H368" s="1">
        <f t="shared" si="28"/>
        <v>60</v>
      </c>
      <c r="I368" s="1" t="str">
        <f t="shared" si="29"/>
        <v>FPC2</v>
      </c>
      <c r="J368" s="1" t="s">
        <v>18</v>
      </c>
      <c r="K368" s="2">
        <v>3921.4181279673207</v>
      </c>
      <c r="L368" s="2">
        <v>594.36972789888421</v>
      </c>
      <c r="M368" s="3">
        <v>0.41070479467862842</v>
      </c>
      <c r="N368" s="2">
        <v>523.65018885670963</v>
      </c>
    </row>
    <row r="369" spans="1:14" x14ac:dyDescent="0.3">
      <c r="A369" s="1">
        <v>367</v>
      </c>
      <c r="B369" s="1" t="str">
        <f t="shared" si="30"/>
        <v>SevillaCarnicaPLANO20,6</v>
      </c>
      <c r="C369" s="1" t="str">
        <f t="shared" si="26"/>
        <v>SevillaCarnicaFPC20,6</v>
      </c>
      <c r="D369" s="1" t="s">
        <v>23</v>
      </c>
      <c r="E369" s="1" t="s">
        <v>12</v>
      </c>
      <c r="F369" s="1">
        <v>0.6</v>
      </c>
      <c r="G369" s="1">
        <f t="shared" si="27"/>
        <v>120</v>
      </c>
      <c r="H369" s="1">
        <f t="shared" si="28"/>
        <v>60</v>
      </c>
      <c r="I369" s="1" t="str">
        <f t="shared" si="29"/>
        <v>FPC2</v>
      </c>
      <c r="J369" s="1" t="s">
        <v>18</v>
      </c>
      <c r="K369" s="2">
        <v>5487.3762517147197</v>
      </c>
      <c r="L369" s="2">
        <v>551.34568128957562</v>
      </c>
      <c r="M369" s="3">
        <v>0.52747581009111877</v>
      </c>
      <c r="N369" s="2">
        <v>480.60961182432385</v>
      </c>
    </row>
    <row r="370" spans="1:14" x14ac:dyDescent="0.3">
      <c r="A370" s="1">
        <v>368</v>
      </c>
      <c r="B370" s="1" t="str">
        <f t="shared" si="30"/>
        <v>SevillaCarnicaPLANO20,75</v>
      </c>
      <c r="C370" s="1" t="str">
        <f t="shared" si="26"/>
        <v>SevillaCarnicaFPC20,75</v>
      </c>
      <c r="D370" s="1" t="s">
        <v>23</v>
      </c>
      <c r="E370" s="1" t="s">
        <v>12</v>
      </c>
      <c r="F370" s="1">
        <v>0.75</v>
      </c>
      <c r="G370" s="1">
        <f t="shared" si="27"/>
        <v>120</v>
      </c>
      <c r="H370" s="1">
        <f t="shared" si="28"/>
        <v>60</v>
      </c>
      <c r="I370" s="1" t="str">
        <f t="shared" si="29"/>
        <v>FPC2</v>
      </c>
      <c r="J370" s="1" t="s">
        <v>18</v>
      </c>
      <c r="K370" s="2">
        <v>7220.5630202701186</v>
      </c>
      <c r="L370" s="2">
        <v>504.30347289177524</v>
      </c>
      <c r="M370" s="3">
        <v>0.625757977698991</v>
      </c>
      <c r="N370" s="2">
        <v>433.30128399329658</v>
      </c>
    </row>
    <row r="371" spans="1:14" x14ac:dyDescent="0.3">
      <c r="A371" s="1">
        <v>369</v>
      </c>
      <c r="B371" s="1" t="str">
        <f t="shared" si="30"/>
        <v>SevillaFarmaceuticaPLANO20,3</v>
      </c>
      <c r="C371" s="1" t="str">
        <f t="shared" si="26"/>
        <v>SevillaFarmaceuticaFPC20,3</v>
      </c>
      <c r="D371" s="1" t="s">
        <v>23</v>
      </c>
      <c r="E371" s="1" t="s">
        <v>15</v>
      </c>
      <c r="F371" s="1">
        <v>0.3</v>
      </c>
      <c r="G371" s="1">
        <f t="shared" si="27"/>
        <v>120</v>
      </c>
      <c r="H371" s="1">
        <f t="shared" si="28"/>
        <v>60</v>
      </c>
      <c r="I371" s="1" t="str">
        <f t="shared" si="29"/>
        <v>FPC2</v>
      </c>
      <c r="J371" s="1" t="s">
        <v>18</v>
      </c>
      <c r="K371" s="2">
        <v>2497.7601775281905</v>
      </c>
      <c r="L371" s="2">
        <v>623.40003188357389</v>
      </c>
      <c r="M371" s="3">
        <v>0.27504690985818209</v>
      </c>
      <c r="N371" s="2">
        <v>550.55743626863705</v>
      </c>
    </row>
    <row r="372" spans="1:14" x14ac:dyDescent="0.3">
      <c r="A372" s="1">
        <v>370</v>
      </c>
      <c r="B372" s="1" t="str">
        <f t="shared" si="30"/>
        <v>SevillaFarmaceuticaPLANO20,45</v>
      </c>
      <c r="C372" s="1" t="str">
        <f t="shared" si="26"/>
        <v>SevillaFarmaceuticaFPC20,45</v>
      </c>
      <c r="D372" s="1" t="s">
        <v>23</v>
      </c>
      <c r="E372" s="1" t="s">
        <v>15</v>
      </c>
      <c r="F372" s="1">
        <v>0.45</v>
      </c>
      <c r="G372" s="1">
        <f t="shared" si="27"/>
        <v>120</v>
      </c>
      <c r="H372" s="1">
        <f t="shared" si="28"/>
        <v>60</v>
      </c>
      <c r="I372" s="1" t="str">
        <f t="shared" si="29"/>
        <v>FPC2</v>
      </c>
      <c r="J372" s="1" t="s">
        <v>18</v>
      </c>
      <c r="K372" s="2">
        <v>3921.4181279673207</v>
      </c>
      <c r="L372" s="2">
        <v>594.50256776135609</v>
      </c>
      <c r="M372" s="3">
        <v>0.41083907645732198</v>
      </c>
      <c r="N372" s="2">
        <v>523.81169705299658</v>
      </c>
    </row>
    <row r="373" spans="1:14" x14ac:dyDescent="0.3">
      <c r="A373" s="1">
        <v>371</v>
      </c>
      <c r="B373" s="1" t="str">
        <f t="shared" si="30"/>
        <v>SevillaFarmaceuticaPLANO20,6</v>
      </c>
      <c r="C373" s="1" t="str">
        <f t="shared" si="26"/>
        <v>SevillaFarmaceuticaFPC20,6</v>
      </c>
      <c r="D373" s="1" t="s">
        <v>23</v>
      </c>
      <c r="E373" s="1" t="s">
        <v>15</v>
      </c>
      <c r="F373" s="1">
        <v>0.6</v>
      </c>
      <c r="G373" s="1">
        <f t="shared" si="27"/>
        <v>120</v>
      </c>
      <c r="H373" s="1">
        <f t="shared" si="28"/>
        <v>60</v>
      </c>
      <c r="I373" s="1" t="str">
        <f t="shared" si="29"/>
        <v>FPC2</v>
      </c>
      <c r="J373" s="1" t="s">
        <v>18</v>
      </c>
      <c r="K373" s="2">
        <v>5487.3762517147197</v>
      </c>
      <c r="L373" s="2">
        <v>551.47855974217191</v>
      </c>
      <c r="M373" s="3">
        <v>0.52763748660458731</v>
      </c>
      <c r="N373" s="2">
        <v>480.74801938942818</v>
      </c>
    </row>
    <row r="374" spans="1:14" x14ac:dyDescent="0.3">
      <c r="A374" s="1">
        <v>372</v>
      </c>
      <c r="B374" s="1" t="str">
        <f t="shared" si="30"/>
        <v>SevillaFarmaceuticaPLANO20,75</v>
      </c>
      <c r="C374" s="1" t="str">
        <f t="shared" si="26"/>
        <v>SevillaFarmaceuticaFPC20,75</v>
      </c>
      <c r="D374" s="1" t="s">
        <v>23</v>
      </c>
      <c r="E374" s="1" t="s">
        <v>15</v>
      </c>
      <c r="F374" s="1">
        <v>0.75</v>
      </c>
      <c r="G374" s="1">
        <f t="shared" si="27"/>
        <v>120</v>
      </c>
      <c r="H374" s="1">
        <f t="shared" si="28"/>
        <v>60</v>
      </c>
      <c r="I374" s="1" t="str">
        <f t="shared" si="29"/>
        <v>FPC2</v>
      </c>
      <c r="J374" s="1" t="s">
        <v>18</v>
      </c>
      <c r="K374" s="2">
        <v>7220.5630202701186</v>
      </c>
      <c r="L374" s="2">
        <v>504.41870030283553</v>
      </c>
      <c r="M374" s="3">
        <v>0.62592982087005544</v>
      </c>
      <c r="N374" s="2">
        <v>433.41224818495522</v>
      </c>
    </row>
    <row r="375" spans="1:14" x14ac:dyDescent="0.3">
      <c r="A375" s="1">
        <v>373</v>
      </c>
      <c r="B375" s="1" t="str">
        <f t="shared" si="30"/>
        <v>SevillaLacteosPLANO20,3</v>
      </c>
      <c r="C375" s="1" t="str">
        <f t="shared" si="26"/>
        <v>SevillaLacteosFPC20,3</v>
      </c>
      <c r="D375" s="1" t="s">
        <v>23</v>
      </c>
      <c r="E375" s="1" t="s">
        <v>14</v>
      </c>
      <c r="F375" s="1">
        <v>0.3</v>
      </c>
      <c r="G375" s="1">
        <f t="shared" si="27"/>
        <v>120</v>
      </c>
      <c r="H375" s="1">
        <f t="shared" si="28"/>
        <v>60</v>
      </c>
      <c r="I375" s="1" t="str">
        <f t="shared" si="29"/>
        <v>FPC2</v>
      </c>
      <c r="J375" s="1" t="s">
        <v>18</v>
      </c>
      <c r="K375" s="2">
        <v>2497.7601775281905</v>
      </c>
      <c r="L375" s="2">
        <v>615.08902428552096</v>
      </c>
      <c r="M375" s="3">
        <v>0.28136324425271764</v>
      </c>
      <c r="N375" s="2">
        <v>563.28280738999013</v>
      </c>
    </row>
    <row r="376" spans="1:14" x14ac:dyDescent="0.3">
      <c r="A376" s="1">
        <v>374</v>
      </c>
      <c r="B376" s="1" t="str">
        <f t="shared" si="30"/>
        <v>SevillaLacteosPLANO20,45</v>
      </c>
      <c r="C376" s="1" t="str">
        <f t="shared" si="26"/>
        <v>SevillaLacteosFPC20,45</v>
      </c>
      <c r="D376" s="1" t="s">
        <v>23</v>
      </c>
      <c r="E376" s="1" t="s">
        <v>14</v>
      </c>
      <c r="F376" s="1">
        <v>0.45</v>
      </c>
      <c r="G376" s="1">
        <f t="shared" si="27"/>
        <v>120</v>
      </c>
      <c r="H376" s="1">
        <f t="shared" si="28"/>
        <v>60</v>
      </c>
      <c r="I376" s="1" t="str">
        <f t="shared" si="29"/>
        <v>FPC2</v>
      </c>
      <c r="J376" s="1" t="s">
        <v>18</v>
      </c>
      <c r="K376" s="2">
        <v>3921.4181279673207</v>
      </c>
      <c r="L376" s="2">
        <v>583.0731814689351</v>
      </c>
      <c r="M376" s="3">
        <v>0.41793250376835378</v>
      </c>
      <c r="N376" s="2">
        <v>532.93331103206629</v>
      </c>
    </row>
    <row r="377" spans="1:14" x14ac:dyDescent="0.3">
      <c r="A377" s="1">
        <v>375</v>
      </c>
      <c r="B377" s="1" t="str">
        <f t="shared" si="30"/>
        <v>SevillaLacteosPLANO20,6</v>
      </c>
      <c r="C377" s="1" t="str">
        <f t="shared" si="26"/>
        <v>SevillaLacteosFPC20,6</v>
      </c>
      <c r="D377" s="1" t="s">
        <v>23</v>
      </c>
      <c r="E377" s="1" t="s">
        <v>14</v>
      </c>
      <c r="F377" s="1">
        <v>0.6</v>
      </c>
      <c r="G377" s="1">
        <f t="shared" si="27"/>
        <v>120</v>
      </c>
      <c r="H377" s="1">
        <f t="shared" si="28"/>
        <v>60</v>
      </c>
      <c r="I377" s="1" t="str">
        <f t="shared" si="29"/>
        <v>FPC2</v>
      </c>
      <c r="J377" s="1" t="s">
        <v>18</v>
      </c>
      <c r="K377" s="2">
        <v>5487.3762517147197</v>
      </c>
      <c r="L377" s="2">
        <v>538.99653058562967</v>
      </c>
      <c r="M377" s="3">
        <v>0.53667944516609134</v>
      </c>
      <c r="N377" s="2">
        <v>489.05769073656109</v>
      </c>
    </row>
    <row r="378" spans="1:14" x14ac:dyDescent="0.3">
      <c r="A378" s="1">
        <v>376</v>
      </c>
      <c r="B378" s="1" t="str">
        <f t="shared" si="30"/>
        <v>SevillaLacteosPLANO20,75</v>
      </c>
      <c r="C378" s="1" t="str">
        <f t="shared" si="26"/>
        <v>SevillaLacteosFPC20,75</v>
      </c>
      <c r="D378" s="1" t="s">
        <v>23</v>
      </c>
      <c r="E378" s="1" t="s">
        <v>14</v>
      </c>
      <c r="F378" s="1">
        <v>0.75</v>
      </c>
      <c r="G378" s="1">
        <f t="shared" si="27"/>
        <v>120</v>
      </c>
      <c r="H378" s="1">
        <f t="shared" si="28"/>
        <v>60</v>
      </c>
      <c r="I378" s="1" t="str">
        <f t="shared" si="29"/>
        <v>FPC2</v>
      </c>
      <c r="J378" s="1" t="s">
        <v>18</v>
      </c>
      <c r="K378" s="2">
        <v>7220.5630202701186</v>
      </c>
      <c r="L378" s="2">
        <v>490.56182233920731</v>
      </c>
      <c r="M378" s="3">
        <v>0.63605957499458299</v>
      </c>
      <c r="N378" s="2">
        <v>440.4905563250901</v>
      </c>
    </row>
    <row r="379" spans="1:14" x14ac:dyDescent="0.3">
      <c r="A379" s="1">
        <v>377</v>
      </c>
      <c r="B379" s="1" t="str">
        <f t="shared" si="30"/>
        <v>SevillaSecadoPLANO20,3</v>
      </c>
      <c r="C379" s="1" t="str">
        <f t="shared" si="26"/>
        <v>SevillaSecadoFPC20,3</v>
      </c>
      <c r="D379" s="1" t="s">
        <v>23</v>
      </c>
      <c r="E379" s="1" t="s">
        <v>11</v>
      </c>
      <c r="F379" s="1">
        <v>0.3</v>
      </c>
      <c r="G379" s="1">
        <f t="shared" si="27"/>
        <v>60</v>
      </c>
      <c r="H379" s="1">
        <f t="shared" si="28"/>
        <v>15</v>
      </c>
      <c r="I379" s="1" t="str">
        <f t="shared" si="29"/>
        <v>FPC2</v>
      </c>
      <c r="J379" s="1" t="s">
        <v>18</v>
      </c>
      <c r="K379" s="2">
        <v>1314.7886712515101</v>
      </c>
      <c r="L379" s="2">
        <v>1171.5722989064968</v>
      </c>
      <c r="M379" s="3">
        <v>0.30455558217340217</v>
      </c>
      <c r="N379" s="2">
        <v>1158.1921443325909</v>
      </c>
    </row>
    <row r="380" spans="1:14" x14ac:dyDescent="0.3">
      <c r="A380" s="1">
        <v>378</v>
      </c>
      <c r="B380" s="1" t="str">
        <f t="shared" si="30"/>
        <v>SevillaSecadoPLANO20,45</v>
      </c>
      <c r="C380" s="1" t="str">
        <f t="shared" si="26"/>
        <v>SevillaSecadoFPC20,45</v>
      </c>
      <c r="D380" s="1" t="s">
        <v>23</v>
      </c>
      <c r="E380" s="1" t="s">
        <v>11</v>
      </c>
      <c r="F380" s="1">
        <v>0.45</v>
      </c>
      <c r="G380" s="1">
        <f t="shared" si="27"/>
        <v>60</v>
      </c>
      <c r="H380" s="1">
        <f t="shared" si="28"/>
        <v>15</v>
      </c>
      <c r="I380" s="1" t="str">
        <f t="shared" si="29"/>
        <v>FPC2</v>
      </c>
      <c r="J380" s="1" t="s">
        <v>18</v>
      </c>
      <c r="K380" s="2">
        <v>2007.0950069155299</v>
      </c>
      <c r="L380" s="2">
        <v>1151.3585113580039</v>
      </c>
      <c r="M380" s="3">
        <v>0.45511966163909578</v>
      </c>
      <c r="N380" s="2">
        <v>1133.7770757277708</v>
      </c>
    </row>
    <row r="381" spans="1:14" x14ac:dyDescent="0.3">
      <c r="A381" s="1">
        <v>379</v>
      </c>
      <c r="B381" s="1" t="str">
        <f t="shared" si="30"/>
        <v>SevillaSecadoPLANO20,6</v>
      </c>
      <c r="C381" s="1" t="str">
        <f t="shared" si="26"/>
        <v>SevillaSecadoFPC20,6</v>
      </c>
      <c r="D381" s="1" t="s">
        <v>23</v>
      </c>
      <c r="E381" s="1" t="s">
        <v>11</v>
      </c>
      <c r="F381" s="1">
        <v>0.6</v>
      </c>
      <c r="G381" s="1">
        <f t="shared" si="27"/>
        <v>60</v>
      </c>
      <c r="H381" s="1">
        <f t="shared" si="28"/>
        <v>15</v>
      </c>
      <c r="I381" s="1" t="str">
        <f t="shared" si="29"/>
        <v>FPC2</v>
      </c>
      <c r="J381" s="1" t="s">
        <v>18</v>
      </c>
      <c r="K381" s="2">
        <v>2725.0878388393799</v>
      </c>
      <c r="L381" s="2">
        <v>1114.7301522221985</v>
      </c>
      <c r="M381" s="3">
        <v>0.59500757684500805</v>
      </c>
      <c r="N381" s="2">
        <v>1091.7218304335513</v>
      </c>
    </row>
    <row r="382" spans="1:14" x14ac:dyDescent="0.3">
      <c r="A382" s="1">
        <v>380</v>
      </c>
      <c r="B382" s="1" t="str">
        <f t="shared" si="30"/>
        <v>SevillaSecadoPLANO20,75</v>
      </c>
      <c r="C382" s="1" t="str">
        <f t="shared" si="26"/>
        <v>SevillaSecadoFPC20,75</v>
      </c>
      <c r="D382" s="1" t="s">
        <v>23</v>
      </c>
      <c r="E382" s="1" t="s">
        <v>11</v>
      </c>
      <c r="F382" s="1">
        <v>0.75</v>
      </c>
      <c r="G382" s="1">
        <f t="shared" si="27"/>
        <v>60</v>
      </c>
      <c r="H382" s="1">
        <f t="shared" si="28"/>
        <v>15</v>
      </c>
      <c r="I382" s="1" t="str">
        <f t="shared" si="29"/>
        <v>FPC2</v>
      </c>
      <c r="J382" s="1" t="s">
        <v>18</v>
      </c>
      <c r="K382" s="2">
        <v>3470.7950487194098</v>
      </c>
      <c r="L382" s="2">
        <v>1060.6850097525862</v>
      </c>
      <c r="M382" s="3">
        <v>0.71621013820062762</v>
      </c>
      <c r="N382" s="2">
        <v>1031.7666816609183</v>
      </c>
    </row>
    <row r="383" spans="1:14" x14ac:dyDescent="0.3">
      <c r="A383" s="1">
        <v>381</v>
      </c>
      <c r="B383" s="1" t="str">
        <f t="shared" si="30"/>
        <v>SevillaBebidasWESSUN0,3</v>
      </c>
      <c r="C383" s="1" t="str">
        <f t="shared" si="26"/>
        <v>SevillaBebidasWeSSun0,3</v>
      </c>
      <c r="D383" s="1" t="s">
        <v>23</v>
      </c>
      <c r="E383" s="1" t="s">
        <v>13</v>
      </c>
      <c r="F383" s="1">
        <v>0.3</v>
      </c>
      <c r="G383" s="1">
        <f t="shared" si="27"/>
        <v>60</v>
      </c>
      <c r="H383" s="1">
        <f t="shared" si="28"/>
        <v>15</v>
      </c>
      <c r="I383" s="1" t="str">
        <f t="shared" si="29"/>
        <v>WeSSun</v>
      </c>
      <c r="J383" s="1" t="s">
        <v>19</v>
      </c>
      <c r="K383" s="2">
        <v>1497.2186678372</v>
      </c>
      <c r="L383" s="2">
        <v>1036.1741319539694</v>
      </c>
      <c r="M383" s="3">
        <v>0.30648651749578748</v>
      </c>
      <c r="N383" s="2">
        <v>1023.4885654643392</v>
      </c>
    </row>
    <row r="384" spans="1:14" x14ac:dyDescent="0.3">
      <c r="A384" s="1">
        <v>382</v>
      </c>
      <c r="B384" s="1" t="str">
        <f t="shared" si="30"/>
        <v>SevillaBebidasWESSUN0,45</v>
      </c>
      <c r="C384" s="1" t="str">
        <f t="shared" si="26"/>
        <v>SevillaBebidasWeSSun0,45</v>
      </c>
      <c r="D384" s="1" t="s">
        <v>23</v>
      </c>
      <c r="E384" s="1" t="s">
        <v>13</v>
      </c>
      <c r="F384" s="1">
        <v>0.45</v>
      </c>
      <c r="G384" s="1">
        <f t="shared" si="27"/>
        <v>60</v>
      </c>
      <c r="H384" s="1">
        <f t="shared" si="28"/>
        <v>15</v>
      </c>
      <c r="I384" s="1" t="str">
        <f t="shared" si="29"/>
        <v>WeSSun</v>
      </c>
      <c r="J384" s="1" t="s">
        <v>19</v>
      </c>
      <c r="K384" s="2">
        <v>2251.81331629436</v>
      </c>
      <c r="L384" s="2">
        <v>1031.2118622671921</v>
      </c>
      <c r="M384" s="3">
        <v>0.45631565954763154</v>
      </c>
      <c r="N384" s="2">
        <v>1013.1875483158789</v>
      </c>
    </row>
    <row r="385" spans="1:14" x14ac:dyDescent="0.3">
      <c r="A385" s="1">
        <v>383</v>
      </c>
      <c r="B385" s="1" t="str">
        <f t="shared" si="30"/>
        <v>SevillaBebidasWESSUN0,6</v>
      </c>
      <c r="C385" s="1" t="str">
        <f t="shared" si="26"/>
        <v>SevillaBebidasWeSSun0,6</v>
      </c>
      <c r="D385" s="1" t="s">
        <v>23</v>
      </c>
      <c r="E385" s="1" t="s">
        <v>13</v>
      </c>
      <c r="F385" s="1">
        <v>0.6</v>
      </c>
      <c r="G385" s="1">
        <f t="shared" si="27"/>
        <v>60</v>
      </c>
      <c r="H385" s="1">
        <f t="shared" si="28"/>
        <v>15</v>
      </c>
      <c r="I385" s="1" t="str">
        <f t="shared" si="29"/>
        <v>WeSSun</v>
      </c>
      <c r="J385" s="1" t="s">
        <v>19</v>
      </c>
      <c r="K385" s="2">
        <v>3010.7231782486601</v>
      </c>
      <c r="L385" s="2">
        <v>1022.3280069434134</v>
      </c>
      <c r="M385" s="3">
        <v>0.60069403544091859</v>
      </c>
      <c r="N385" s="2">
        <v>997.56073756739704</v>
      </c>
    </row>
    <row r="386" spans="1:14" x14ac:dyDescent="0.3">
      <c r="A386" s="1">
        <v>384</v>
      </c>
      <c r="B386" s="1" t="str">
        <f t="shared" si="30"/>
        <v>SevillaBebidasWESSUN0,75</v>
      </c>
      <c r="C386" s="1" t="str">
        <f t="shared" si="26"/>
        <v>SevillaBebidasWeSSun0,75</v>
      </c>
      <c r="D386" s="1" t="s">
        <v>23</v>
      </c>
      <c r="E386" s="1" t="s">
        <v>13</v>
      </c>
      <c r="F386" s="1">
        <v>0.75</v>
      </c>
      <c r="G386" s="1">
        <f t="shared" si="27"/>
        <v>60</v>
      </c>
      <c r="H386" s="1">
        <f t="shared" si="28"/>
        <v>15</v>
      </c>
      <c r="I386" s="1" t="str">
        <f t="shared" si="29"/>
        <v>WeSSun</v>
      </c>
      <c r="J386" s="1" t="s">
        <v>19</v>
      </c>
      <c r="K386" s="2">
        <v>3774.1983171649485</v>
      </c>
      <c r="L386" s="2">
        <v>1007.2042825069207</v>
      </c>
      <c r="M386" s="3">
        <v>0.73536043606675494</v>
      </c>
      <c r="N386" s="2">
        <v>974.16472067929305</v>
      </c>
    </row>
    <row r="387" spans="1:14" x14ac:dyDescent="0.3">
      <c r="A387" s="1">
        <v>385</v>
      </c>
      <c r="B387" s="1" t="str">
        <f t="shared" si="30"/>
        <v>SevillaCarnicaWESSUN0,3</v>
      </c>
      <c r="C387" s="1" t="str">
        <f t="shared" si="26"/>
        <v>SevillaCarnicaWeSSun0,3</v>
      </c>
      <c r="D387" s="1" t="s">
        <v>23</v>
      </c>
      <c r="E387" s="1" t="s">
        <v>12</v>
      </c>
      <c r="F387" s="1">
        <v>0.3</v>
      </c>
      <c r="G387" s="1">
        <f t="shared" si="27"/>
        <v>120</v>
      </c>
      <c r="H387" s="1">
        <f t="shared" si="28"/>
        <v>60</v>
      </c>
      <c r="I387" s="1" t="str">
        <f t="shared" si="29"/>
        <v>WeSSun</v>
      </c>
      <c r="J387" s="1" t="s">
        <v>19</v>
      </c>
      <c r="K387" s="2">
        <v>1638.6785837939203</v>
      </c>
      <c r="L387" s="2">
        <v>931.47487206846836</v>
      </c>
      <c r="M387" s="3">
        <v>0.27729895886170547</v>
      </c>
      <c r="N387" s="2">
        <v>846.07547188070816</v>
      </c>
    </row>
    <row r="388" spans="1:14" x14ac:dyDescent="0.3">
      <c r="A388" s="1">
        <v>386</v>
      </c>
      <c r="B388" s="1" t="str">
        <f t="shared" si="30"/>
        <v>SevillaCarnicaWESSUN0,45</v>
      </c>
      <c r="C388" s="1" t="str">
        <f t="shared" ref="C388:C451" si="31">_xlfn.CONCAT(D388,E388,I388,F388)</f>
        <v>SevillaCarnicaWeSSun0,45</v>
      </c>
      <c r="D388" s="1" t="s">
        <v>23</v>
      </c>
      <c r="E388" s="1" t="s">
        <v>12</v>
      </c>
      <c r="F388" s="1">
        <v>0.45</v>
      </c>
      <c r="G388" s="1">
        <f t="shared" ref="G388:G451" si="32">IF(OR($E388="Secado",$E388="Bebidas"),60,120)</f>
        <v>120</v>
      </c>
      <c r="H388" s="1">
        <f t="shared" ref="H388:H451" si="33">IF(OR($E388="Secado",$E388="Bebidas"),15,60)</f>
        <v>60</v>
      </c>
      <c r="I388" s="1" t="str">
        <f t="shared" ref="I388:I451" si="34">IF(J388="AIRE","Aire",IF(J388="ETC","ETC",IF(J388="PLANO1","FPC1",IF(J388="PLANO2","FPC2",IF(J388="WESSUN","WeSSun")))))</f>
        <v>WeSSun</v>
      </c>
      <c r="J388" s="1" t="s">
        <v>19</v>
      </c>
      <c r="K388" s="2">
        <v>2471.0934383079107</v>
      </c>
      <c r="L388" s="2">
        <v>923.68020261962351</v>
      </c>
      <c r="M388" s="3">
        <v>0.4154270164888752</v>
      </c>
      <c r="N388" s="2">
        <v>840.54353633823575</v>
      </c>
    </row>
    <row r="389" spans="1:14" x14ac:dyDescent="0.3">
      <c r="A389" s="1">
        <v>387</v>
      </c>
      <c r="B389" s="1" t="str">
        <f t="shared" si="30"/>
        <v>SevillaCarnicaWESSUN0,6</v>
      </c>
      <c r="C389" s="1" t="str">
        <f t="shared" si="31"/>
        <v>SevillaCarnicaWeSSun0,6</v>
      </c>
      <c r="D389" s="1" t="s">
        <v>23</v>
      </c>
      <c r="E389" s="1" t="s">
        <v>12</v>
      </c>
      <c r="F389" s="1">
        <v>0.6</v>
      </c>
      <c r="G389" s="1">
        <f t="shared" si="32"/>
        <v>120</v>
      </c>
      <c r="H389" s="1">
        <f t="shared" si="33"/>
        <v>60</v>
      </c>
      <c r="I389" s="1" t="str">
        <f t="shared" si="34"/>
        <v>WeSSun</v>
      </c>
      <c r="J389" s="1" t="s">
        <v>19</v>
      </c>
      <c r="K389" s="2">
        <v>3312.7536515575198</v>
      </c>
      <c r="L389" s="2">
        <v>906.32059783475825</v>
      </c>
      <c r="M389" s="3">
        <v>0.54430698587040816</v>
      </c>
      <c r="N389" s="2">
        <v>821.50348590483202</v>
      </c>
    </row>
    <row r="390" spans="1:14" x14ac:dyDescent="0.3">
      <c r="A390" s="1">
        <v>388</v>
      </c>
      <c r="B390" s="1" t="str">
        <f t="shared" si="30"/>
        <v>SevillaCarnicaWESSUN0,75</v>
      </c>
      <c r="C390" s="1" t="str">
        <f t="shared" si="31"/>
        <v>SevillaCarnicaWeSSun0,75</v>
      </c>
      <c r="D390" s="1" t="s">
        <v>23</v>
      </c>
      <c r="E390" s="1" t="s">
        <v>12</v>
      </c>
      <c r="F390" s="1">
        <v>0.75</v>
      </c>
      <c r="G390" s="1">
        <f t="shared" si="32"/>
        <v>120</v>
      </c>
      <c r="H390" s="1">
        <f t="shared" si="33"/>
        <v>60</v>
      </c>
      <c r="I390" s="1" t="str">
        <f t="shared" si="34"/>
        <v>WeSSun</v>
      </c>
      <c r="J390" s="1" t="s">
        <v>19</v>
      </c>
      <c r="K390" s="2">
        <v>4164.0733128786205</v>
      </c>
      <c r="L390" s="2">
        <v>879.72379758888735</v>
      </c>
      <c r="M390" s="3">
        <v>0.65954993095731196</v>
      </c>
      <c r="N390" s="2">
        <v>791.92482228253505</v>
      </c>
    </row>
    <row r="391" spans="1:14" x14ac:dyDescent="0.3">
      <c r="A391" s="1">
        <v>389</v>
      </c>
      <c r="B391" s="1" t="str">
        <f t="shared" si="30"/>
        <v>SevillaFarmaceuticaWESSUN0,3</v>
      </c>
      <c r="C391" s="1" t="str">
        <f t="shared" si="31"/>
        <v>SevillaFarmaceuticaWeSSun0,3</v>
      </c>
      <c r="D391" s="1" t="s">
        <v>23</v>
      </c>
      <c r="E391" s="1" t="s">
        <v>15</v>
      </c>
      <c r="F391" s="1">
        <v>0.3</v>
      </c>
      <c r="G391" s="1">
        <f t="shared" si="32"/>
        <v>120</v>
      </c>
      <c r="H391" s="1">
        <f t="shared" si="33"/>
        <v>60</v>
      </c>
      <c r="I391" s="1" t="str">
        <f t="shared" si="34"/>
        <v>WeSSun</v>
      </c>
      <c r="J391" s="1" t="s">
        <v>19</v>
      </c>
      <c r="K391" s="2">
        <v>1638.6785837939203</v>
      </c>
      <c r="L391" s="2">
        <v>931.55498442701844</v>
      </c>
      <c r="M391" s="3">
        <v>0.27733902250059705</v>
      </c>
      <c r="N391" s="2">
        <v>846.18203904345467</v>
      </c>
    </row>
    <row r="392" spans="1:14" x14ac:dyDescent="0.3">
      <c r="A392" s="1">
        <v>390</v>
      </c>
      <c r="B392" s="1" t="str">
        <f t="shared" si="30"/>
        <v>SevillaFarmaceuticaWESSUN0,45</v>
      </c>
      <c r="C392" s="1" t="str">
        <f t="shared" si="31"/>
        <v>SevillaFarmaceuticaWeSSun0,45</v>
      </c>
      <c r="D392" s="1" t="s">
        <v>23</v>
      </c>
      <c r="E392" s="1" t="s">
        <v>15</v>
      </c>
      <c r="F392" s="1">
        <v>0.45</v>
      </c>
      <c r="G392" s="1">
        <f t="shared" si="32"/>
        <v>120</v>
      </c>
      <c r="H392" s="1">
        <f t="shared" si="33"/>
        <v>60</v>
      </c>
      <c r="I392" s="1" t="str">
        <f t="shared" si="34"/>
        <v>WeSSun</v>
      </c>
      <c r="J392" s="1" t="s">
        <v>19</v>
      </c>
      <c r="K392" s="2">
        <v>2471.0934383079107</v>
      </c>
      <c r="L392" s="2">
        <v>923.74382898644069</v>
      </c>
      <c r="M392" s="3">
        <v>0.41548395374230473</v>
      </c>
      <c r="N392" s="2">
        <v>840.64316919614691</v>
      </c>
    </row>
    <row r="393" spans="1:14" x14ac:dyDescent="0.3">
      <c r="A393" s="1">
        <v>391</v>
      </c>
      <c r="B393" s="1" t="str">
        <f t="shared" si="30"/>
        <v>SevillaFarmaceuticaWESSUN0,6</v>
      </c>
      <c r="C393" s="1" t="str">
        <f t="shared" si="31"/>
        <v>SevillaFarmaceuticaWeSSun0,6</v>
      </c>
      <c r="D393" s="1" t="s">
        <v>23</v>
      </c>
      <c r="E393" s="1" t="s">
        <v>15</v>
      </c>
      <c r="F393" s="1">
        <v>0.6</v>
      </c>
      <c r="G393" s="1">
        <f t="shared" si="32"/>
        <v>120</v>
      </c>
      <c r="H393" s="1">
        <f t="shared" si="33"/>
        <v>60</v>
      </c>
      <c r="I393" s="1" t="str">
        <f t="shared" si="34"/>
        <v>WeSSun</v>
      </c>
      <c r="J393" s="1" t="s">
        <v>19</v>
      </c>
      <c r="K393" s="2">
        <v>3312.7536515575198</v>
      </c>
      <c r="L393" s="2">
        <v>906.26594331931062</v>
      </c>
      <c r="M393" s="3">
        <v>0.54430377944000308</v>
      </c>
      <c r="N393" s="2">
        <v>821.4834317467886</v>
      </c>
    </row>
    <row r="394" spans="1:14" x14ac:dyDescent="0.3">
      <c r="A394" s="1">
        <v>392</v>
      </c>
      <c r="B394" s="1" t="str">
        <f t="shared" si="30"/>
        <v>SevillaFarmaceuticaWESSUN0,75</v>
      </c>
      <c r="C394" s="1" t="str">
        <f t="shared" si="31"/>
        <v>SevillaFarmaceuticaWeSSun0,75</v>
      </c>
      <c r="D394" s="1" t="s">
        <v>23</v>
      </c>
      <c r="E394" s="1" t="s">
        <v>15</v>
      </c>
      <c r="F394" s="1">
        <v>0.75</v>
      </c>
      <c r="G394" s="1">
        <f t="shared" si="32"/>
        <v>120</v>
      </c>
      <c r="H394" s="1">
        <f t="shared" si="33"/>
        <v>60</v>
      </c>
      <c r="I394" s="1" t="str">
        <f t="shared" si="34"/>
        <v>WeSSun</v>
      </c>
      <c r="J394" s="1" t="s">
        <v>19</v>
      </c>
      <c r="K394" s="2">
        <v>4164.0733128786205</v>
      </c>
      <c r="L394" s="2">
        <v>878.91202672465397</v>
      </c>
      <c r="M394" s="3">
        <v>0.65892672391385321</v>
      </c>
      <c r="N394" s="2">
        <v>791.16188132737443</v>
      </c>
    </row>
    <row r="395" spans="1:14" x14ac:dyDescent="0.3">
      <c r="A395" s="1">
        <v>393</v>
      </c>
      <c r="B395" s="1" t="str">
        <f t="shared" si="30"/>
        <v>SevillaLacteosWESSUN0,3</v>
      </c>
      <c r="C395" s="1" t="str">
        <f t="shared" si="31"/>
        <v>SevillaLacteosWeSSun0,3</v>
      </c>
      <c r="D395" s="1" t="s">
        <v>23</v>
      </c>
      <c r="E395" s="1" t="s">
        <v>14</v>
      </c>
      <c r="F395" s="1">
        <v>0.3</v>
      </c>
      <c r="G395" s="1">
        <f t="shared" si="32"/>
        <v>120</v>
      </c>
      <c r="H395" s="1">
        <f t="shared" si="33"/>
        <v>60</v>
      </c>
      <c r="I395" s="1" t="str">
        <f t="shared" si="34"/>
        <v>WeSSun</v>
      </c>
      <c r="J395" s="1" t="s">
        <v>19</v>
      </c>
      <c r="K395" s="2">
        <v>1638.6785837939203</v>
      </c>
      <c r="L395" s="2">
        <v>928.32209163446782</v>
      </c>
      <c r="M395" s="3">
        <v>0.28443463809787367</v>
      </c>
      <c r="N395" s="2">
        <v>867.95773010328583</v>
      </c>
    </row>
    <row r="396" spans="1:14" x14ac:dyDescent="0.3">
      <c r="A396" s="1">
        <v>394</v>
      </c>
      <c r="B396" s="1" t="str">
        <f t="shared" si="30"/>
        <v>SevillaLacteosWESSUN0,45</v>
      </c>
      <c r="C396" s="1" t="str">
        <f t="shared" si="31"/>
        <v>SevillaLacteosWeSSun0,45</v>
      </c>
      <c r="D396" s="1" t="s">
        <v>23</v>
      </c>
      <c r="E396" s="1" t="s">
        <v>14</v>
      </c>
      <c r="F396" s="1">
        <v>0.45</v>
      </c>
      <c r="G396" s="1">
        <f t="shared" si="32"/>
        <v>120</v>
      </c>
      <c r="H396" s="1">
        <f t="shared" si="33"/>
        <v>60</v>
      </c>
      <c r="I396" s="1" t="str">
        <f t="shared" si="34"/>
        <v>WeSSun</v>
      </c>
      <c r="J396" s="1" t="s">
        <v>19</v>
      </c>
      <c r="K396" s="2">
        <v>2471.0934383079107</v>
      </c>
      <c r="L396" s="2">
        <v>913.87026886009187</v>
      </c>
      <c r="M396" s="3">
        <v>0.42246080991034929</v>
      </c>
      <c r="N396" s="2">
        <v>854.88388391153478</v>
      </c>
    </row>
    <row r="397" spans="1:14" x14ac:dyDescent="0.3">
      <c r="A397" s="1">
        <v>395</v>
      </c>
      <c r="B397" s="1" t="str">
        <f t="shared" si="30"/>
        <v>SevillaLacteosWESSUN0,6</v>
      </c>
      <c r="C397" s="1" t="str">
        <f t="shared" si="31"/>
        <v>SevillaLacteosWeSSun0,6</v>
      </c>
      <c r="D397" s="1" t="s">
        <v>23</v>
      </c>
      <c r="E397" s="1" t="s">
        <v>14</v>
      </c>
      <c r="F397" s="1">
        <v>0.6</v>
      </c>
      <c r="G397" s="1">
        <f t="shared" si="32"/>
        <v>120</v>
      </c>
      <c r="H397" s="1">
        <f t="shared" si="33"/>
        <v>60</v>
      </c>
      <c r="I397" s="1" t="str">
        <f t="shared" si="34"/>
        <v>WeSSun</v>
      </c>
      <c r="J397" s="1" t="s">
        <v>19</v>
      </c>
      <c r="K397" s="2">
        <v>3312.7536515575198</v>
      </c>
      <c r="L397" s="2">
        <v>886.65507165246595</v>
      </c>
      <c r="M397" s="3">
        <v>0.54794237545290181</v>
      </c>
      <c r="N397" s="2">
        <v>827.09542184542329</v>
      </c>
    </row>
    <row r="398" spans="1:14" x14ac:dyDescent="0.3">
      <c r="A398" s="1">
        <v>396</v>
      </c>
      <c r="B398" s="1" t="str">
        <f t="shared" si="30"/>
        <v>SevillaLacteosWESSUN0,75</v>
      </c>
      <c r="C398" s="1" t="str">
        <f t="shared" si="31"/>
        <v>SevillaLacteosWeSSun0,75</v>
      </c>
      <c r="D398" s="1" t="s">
        <v>23</v>
      </c>
      <c r="E398" s="1" t="s">
        <v>14</v>
      </c>
      <c r="F398" s="1">
        <v>0.75</v>
      </c>
      <c r="G398" s="1">
        <f t="shared" si="32"/>
        <v>120</v>
      </c>
      <c r="H398" s="1">
        <f t="shared" si="33"/>
        <v>60</v>
      </c>
      <c r="I398" s="1" t="str">
        <f t="shared" si="34"/>
        <v>WeSSun</v>
      </c>
      <c r="J398" s="1" t="s">
        <v>19</v>
      </c>
      <c r="K398" s="2">
        <v>4164.0733128786205</v>
      </c>
      <c r="L398" s="2">
        <v>855.06571282881782</v>
      </c>
      <c r="M398" s="3">
        <v>0.66117255631211636</v>
      </c>
      <c r="N398" s="2">
        <v>793.97407457278985</v>
      </c>
    </row>
    <row r="399" spans="1:14" x14ac:dyDescent="0.3">
      <c r="A399" s="1">
        <v>397</v>
      </c>
      <c r="B399" s="1" t="str">
        <f t="shared" si="30"/>
        <v>SevillaSecadoWESSUN0,3</v>
      </c>
      <c r="C399" s="1" t="str">
        <f t="shared" si="31"/>
        <v>SevillaSecadoWeSSun0,3</v>
      </c>
      <c r="D399" s="1" t="s">
        <v>23</v>
      </c>
      <c r="E399" s="1" t="s">
        <v>11</v>
      </c>
      <c r="F399" s="1">
        <v>0.3</v>
      </c>
      <c r="G399" s="1">
        <f t="shared" si="32"/>
        <v>60</v>
      </c>
      <c r="H399" s="1">
        <f t="shared" si="33"/>
        <v>15</v>
      </c>
      <c r="I399" s="1" t="str">
        <f t="shared" si="34"/>
        <v>WeSSun</v>
      </c>
      <c r="J399" s="1" t="s">
        <v>19</v>
      </c>
      <c r="K399" s="2">
        <v>1497.2186678372</v>
      </c>
      <c r="L399" s="2">
        <v>1036.202010874196</v>
      </c>
      <c r="M399" s="3">
        <v>0.30645093242402971</v>
      </c>
      <c r="N399" s="2">
        <v>1023.4007193920813</v>
      </c>
    </row>
    <row r="400" spans="1:14" x14ac:dyDescent="0.3">
      <c r="A400" s="1">
        <v>398</v>
      </c>
      <c r="B400" s="1" t="str">
        <f t="shared" si="30"/>
        <v>SevillaSecadoWESSUN0,45</v>
      </c>
      <c r="C400" s="1" t="str">
        <f t="shared" si="31"/>
        <v>SevillaSecadoWeSSun0,45</v>
      </c>
      <c r="D400" s="1" t="s">
        <v>23</v>
      </c>
      <c r="E400" s="1" t="s">
        <v>11</v>
      </c>
      <c r="F400" s="1">
        <v>0.45</v>
      </c>
      <c r="G400" s="1">
        <f t="shared" si="32"/>
        <v>60</v>
      </c>
      <c r="H400" s="1">
        <f t="shared" si="33"/>
        <v>15</v>
      </c>
      <c r="I400" s="1" t="str">
        <f t="shared" si="34"/>
        <v>WeSSun</v>
      </c>
      <c r="J400" s="1" t="s">
        <v>19</v>
      </c>
      <c r="K400" s="2">
        <v>2251.81331629436</v>
      </c>
      <c r="L400" s="2">
        <v>1031.3279464814966</v>
      </c>
      <c r="M400" s="3">
        <v>0.45633989467050123</v>
      </c>
      <c r="N400" s="2">
        <v>1013.2720400458779</v>
      </c>
    </row>
    <row r="401" spans="1:14" x14ac:dyDescent="0.3">
      <c r="A401" s="1">
        <v>399</v>
      </c>
      <c r="B401" s="1" t="str">
        <f t="shared" si="30"/>
        <v>SevillaSecadoWESSUN0,6</v>
      </c>
      <c r="C401" s="1" t="str">
        <f t="shared" si="31"/>
        <v>SevillaSecadoWeSSun0,6</v>
      </c>
      <c r="D401" s="1" t="s">
        <v>23</v>
      </c>
      <c r="E401" s="1" t="s">
        <v>11</v>
      </c>
      <c r="F401" s="1">
        <v>0.6</v>
      </c>
      <c r="G401" s="1">
        <f t="shared" si="32"/>
        <v>60</v>
      </c>
      <c r="H401" s="1">
        <f t="shared" si="33"/>
        <v>15</v>
      </c>
      <c r="I401" s="1" t="str">
        <f t="shared" si="34"/>
        <v>WeSSun</v>
      </c>
      <c r="J401" s="1" t="s">
        <v>19</v>
      </c>
      <c r="K401" s="2">
        <v>3010.7231782486601</v>
      </c>
      <c r="L401" s="2">
        <v>1022.5727056681764</v>
      </c>
      <c r="M401" s="3">
        <v>0.60080462794042888</v>
      </c>
      <c r="N401" s="2">
        <v>997.77460800216033</v>
      </c>
    </row>
    <row r="402" spans="1:14" x14ac:dyDescent="0.3">
      <c r="A402" s="1">
        <v>400</v>
      </c>
      <c r="B402" s="1" t="str">
        <f t="shared" si="30"/>
        <v>SevillaSecadoWESSUN0,75</v>
      </c>
      <c r="C402" s="1" t="str">
        <f t="shared" si="31"/>
        <v>SevillaSecadoWeSSun0,75</v>
      </c>
      <c r="D402" s="1" t="s">
        <v>23</v>
      </c>
      <c r="E402" s="1" t="s">
        <v>11</v>
      </c>
      <c r="F402" s="1">
        <v>0.75</v>
      </c>
      <c r="G402" s="1">
        <f t="shared" si="32"/>
        <v>60</v>
      </c>
      <c r="H402" s="1">
        <f t="shared" si="33"/>
        <v>15</v>
      </c>
      <c r="I402" s="1" t="str">
        <f t="shared" si="34"/>
        <v>WeSSun</v>
      </c>
      <c r="J402" s="1" t="s">
        <v>19</v>
      </c>
      <c r="K402" s="2">
        <v>3774.1983171649485</v>
      </c>
      <c r="L402" s="2">
        <v>1007.5529062917586</v>
      </c>
      <c r="M402" s="3">
        <v>0.73555194828127279</v>
      </c>
      <c r="N402" s="2">
        <v>974.44793078201542</v>
      </c>
    </row>
    <row r="403" spans="1:14" x14ac:dyDescent="0.3">
      <c r="A403" s="1">
        <v>401</v>
      </c>
      <c r="B403" s="1" t="str">
        <f t="shared" si="30"/>
        <v>ValenciaBebidasAIRE0,3</v>
      </c>
      <c r="C403" s="1" t="str">
        <f t="shared" si="31"/>
        <v>ValenciaBebidasAire0,3</v>
      </c>
      <c r="D403" s="1" t="s">
        <v>24</v>
      </c>
      <c r="E403" s="1" t="s">
        <v>13</v>
      </c>
      <c r="F403" s="1">
        <v>0.3</v>
      </c>
      <c r="G403" s="1">
        <f t="shared" si="32"/>
        <v>60</v>
      </c>
      <c r="H403" s="1">
        <f t="shared" si="33"/>
        <v>15</v>
      </c>
      <c r="I403" s="1" t="str">
        <f t="shared" si="34"/>
        <v>Aire</v>
      </c>
      <c r="J403" s="1" t="s">
        <v>16</v>
      </c>
      <c r="K403" s="2">
        <v>2050.9141662806205</v>
      </c>
      <c r="L403" s="2">
        <v>829.96311896385578</v>
      </c>
      <c r="M403" s="3">
        <v>0.33514035065281128</v>
      </c>
      <c r="N403" s="2">
        <v>817.0263981688704</v>
      </c>
    </row>
    <row r="404" spans="1:14" x14ac:dyDescent="0.3">
      <c r="A404" s="1">
        <v>402</v>
      </c>
      <c r="B404" s="1" t="str">
        <f t="shared" si="30"/>
        <v>ValenciaBebidasAIRE0,45</v>
      </c>
      <c r="C404" s="1" t="str">
        <f t="shared" si="31"/>
        <v>ValenciaBebidasAire0,45</v>
      </c>
      <c r="D404" s="1" t="s">
        <v>24</v>
      </c>
      <c r="E404" s="1" t="s">
        <v>13</v>
      </c>
      <c r="F404" s="1">
        <v>0.45</v>
      </c>
      <c r="G404" s="1">
        <f t="shared" si="32"/>
        <v>60</v>
      </c>
      <c r="H404" s="1">
        <f t="shared" si="33"/>
        <v>15</v>
      </c>
      <c r="I404" s="1" t="str">
        <f t="shared" si="34"/>
        <v>Aire</v>
      </c>
      <c r="J404" s="1" t="s">
        <v>16</v>
      </c>
      <c r="K404" s="2">
        <v>3284.8948093840886</v>
      </c>
      <c r="L404" s="2">
        <v>779.33137387374154</v>
      </c>
      <c r="M404" s="3">
        <v>0.49983679297120648</v>
      </c>
      <c r="N404" s="2">
        <v>760.78792058669796</v>
      </c>
    </row>
    <row r="405" spans="1:14" x14ac:dyDescent="0.3">
      <c r="A405" s="1">
        <v>403</v>
      </c>
      <c r="B405" s="1" t="str">
        <f t="shared" si="30"/>
        <v>ValenciaBebidasAIRE0,6</v>
      </c>
      <c r="C405" s="1" t="str">
        <f t="shared" si="31"/>
        <v>ValenciaBebidasAire0,6</v>
      </c>
      <c r="D405" s="1" t="s">
        <v>24</v>
      </c>
      <c r="E405" s="1" t="s">
        <v>13</v>
      </c>
      <c r="F405" s="1">
        <v>0.6</v>
      </c>
      <c r="G405" s="1">
        <f t="shared" si="32"/>
        <v>60</v>
      </c>
      <c r="H405" s="1">
        <f t="shared" si="33"/>
        <v>15</v>
      </c>
      <c r="I405" s="1" t="str">
        <f t="shared" si="34"/>
        <v>Aire</v>
      </c>
      <c r="J405" s="1" t="s">
        <v>16</v>
      </c>
      <c r="K405" s="2">
        <v>4698.3229437692407</v>
      </c>
      <c r="L405" s="2">
        <v>699.33496114314426</v>
      </c>
      <c r="M405" s="3">
        <v>0.63480800809598459</v>
      </c>
      <c r="N405" s="2">
        <v>675.54826920905793</v>
      </c>
    </row>
    <row r="406" spans="1:14" x14ac:dyDescent="0.3">
      <c r="A406" s="1">
        <v>404</v>
      </c>
      <c r="B406" s="1" t="str">
        <f t="shared" si="30"/>
        <v>ValenciaBebidasAIRE0,75</v>
      </c>
      <c r="C406" s="1" t="str">
        <f t="shared" si="31"/>
        <v>ValenciaBebidasAire0,75</v>
      </c>
      <c r="D406" s="1" t="s">
        <v>24</v>
      </c>
      <c r="E406" s="1" t="s">
        <v>13</v>
      </c>
      <c r="F406" s="1">
        <v>0.75</v>
      </c>
      <c r="G406" s="1">
        <f t="shared" si="32"/>
        <v>60</v>
      </c>
      <c r="H406" s="1">
        <f t="shared" si="33"/>
        <v>15</v>
      </c>
      <c r="I406" s="1" t="str">
        <f t="shared" si="34"/>
        <v>Aire</v>
      </c>
      <c r="J406" s="1" t="s">
        <v>16</v>
      </c>
      <c r="K406" s="2">
        <v>6333.4112083093905</v>
      </c>
      <c r="L406" s="2">
        <v>610.46911495966481</v>
      </c>
      <c r="M406" s="3">
        <v>0.73800654069081506</v>
      </c>
      <c r="N406" s="2">
        <v>582.61193700761953</v>
      </c>
    </row>
    <row r="407" spans="1:14" x14ac:dyDescent="0.3">
      <c r="A407" s="1">
        <v>405</v>
      </c>
      <c r="B407" s="1" t="str">
        <f t="shared" si="30"/>
        <v>ValenciaCarnicaAIRE0,3</v>
      </c>
      <c r="C407" s="1" t="str">
        <f t="shared" si="31"/>
        <v>ValenciaCarnicaAire0,3</v>
      </c>
      <c r="D407" s="1" t="s">
        <v>24</v>
      </c>
      <c r="E407" s="1" t="s">
        <v>12</v>
      </c>
      <c r="F407" s="1">
        <v>0.3</v>
      </c>
      <c r="G407" s="1">
        <f t="shared" si="32"/>
        <v>120</v>
      </c>
      <c r="H407" s="1">
        <f t="shared" si="33"/>
        <v>60</v>
      </c>
      <c r="I407" s="1" t="str">
        <f t="shared" si="34"/>
        <v>Aire</v>
      </c>
      <c r="J407" s="1" t="s">
        <v>16</v>
      </c>
      <c r="K407" s="2">
        <v>3371.2986512108305</v>
      </c>
      <c r="L407" s="2">
        <v>56.939096507210415</v>
      </c>
      <c r="M407" s="3">
        <v>2.2065250699788787E-2</v>
      </c>
      <c r="N407" s="2">
        <v>32.723992394854221</v>
      </c>
    </row>
    <row r="408" spans="1:14" x14ac:dyDescent="0.3">
      <c r="A408" s="1">
        <v>406</v>
      </c>
      <c r="B408" s="1" t="str">
        <f t="shared" ref="B408:B471" si="35">_xlfn.CONCAT(D408,E408,J408,F408)</f>
        <v>ValenciaCarnicaAIRE0,45</v>
      </c>
      <c r="C408" s="1" t="str">
        <f t="shared" si="31"/>
        <v>ValenciaCarnicaAire0,45</v>
      </c>
      <c r="D408" s="1" t="s">
        <v>24</v>
      </c>
      <c r="E408" s="1" t="s">
        <v>12</v>
      </c>
      <c r="F408" s="1">
        <v>0.45</v>
      </c>
      <c r="G408" s="1">
        <f t="shared" si="32"/>
        <v>120</v>
      </c>
      <c r="H408" s="1">
        <f t="shared" si="33"/>
        <v>60</v>
      </c>
      <c r="I408" s="1" t="str">
        <f t="shared" si="34"/>
        <v>Aire</v>
      </c>
      <c r="J408" s="1" t="s">
        <v>16</v>
      </c>
      <c r="K408" s="2">
        <v>5056.94797681625</v>
      </c>
      <c r="L408" s="2">
        <v>62.342543549795252</v>
      </c>
      <c r="M408" s="3">
        <v>3.9556048807916321E-2</v>
      </c>
      <c r="N408" s="2">
        <v>39.109211673210233</v>
      </c>
    </row>
    <row r="409" spans="1:14" x14ac:dyDescent="0.3">
      <c r="A409" s="1">
        <v>407</v>
      </c>
      <c r="B409" s="1" t="str">
        <f t="shared" si="35"/>
        <v>ValenciaCarnicaAIRE0,6</v>
      </c>
      <c r="C409" s="1" t="str">
        <f t="shared" si="31"/>
        <v>ValenciaCarnicaAire0,6</v>
      </c>
      <c r="D409" s="1" t="s">
        <v>24</v>
      </c>
      <c r="E409" s="1" t="s">
        <v>12</v>
      </c>
      <c r="F409" s="1">
        <v>0.6</v>
      </c>
      <c r="G409" s="1">
        <f t="shared" si="32"/>
        <v>120</v>
      </c>
      <c r="H409" s="1">
        <f t="shared" si="33"/>
        <v>60</v>
      </c>
      <c r="I409" s="1" t="str">
        <f t="shared" si="34"/>
        <v>Aire</v>
      </c>
      <c r="J409" s="1" t="s">
        <v>16</v>
      </c>
      <c r="K409" s="2">
        <v>6742.5973024216701</v>
      </c>
      <c r="L409" s="2">
        <v>65.167593400988878</v>
      </c>
      <c r="M409" s="3">
        <v>5.7489230997612155E-2</v>
      </c>
      <c r="N409" s="2">
        <v>42.629861394910023</v>
      </c>
    </row>
    <row r="410" spans="1:14" x14ac:dyDescent="0.3">
      <c r="A410" s="1">
        <v>408</v>
      </c>
      <c r="B410" s="1" t="str">
        <f t="shared" si="35"/>
        <v>ValenciaCarnicaAIRE0,75</v>
      </c>
      <c r="C410" s="1" t="str">
        <f t="shared" si="31"/>
        <v>ValenciaCarnicaAire0,75</v>
      </c>
      <c r="D410" s="1" t="s">
        <v>24</v>
      </c>
      <c r="E410" s="1" t="s">
        <v>12</v>
      </c>
      <c r="F410" s="1">
        <v>0.75</v>
      </c>
      <c r="G410" s="1">
        <f t="shared" si="32"/>
        <v>120</v>
      </c>
      <c r="H410" s="1">
        <f t="shared" si="33"/>
        <v>60</v>
      </c>
      <c r="I410" s="1" t="str">
        <f t="shared" si="34"/>
        <v>Aire</v>
      </c>
      <c r="J410" s="1" t="s">
        <v>16</v>
      </c>
      <c r="K410" s="2">
        <v>8428.2466280270783</v>
      </c>
      <c r="L410" s="2">
        <v>68.903791866211463</v>
      </c>
      <c r="M410" s="3">
        <v>7.8156632265660608E-2</v>
      </c>
      <c r="N410" s="2">
        <v>46.364250733727246</v>
      </c>
    </row>
    <row r="411" spans="1:14" x14ac:dyDescent="0.3">
      <c r="A411" s="1">
        <v>409</v>
      </c>
      <c r="B411" s="1" t="str">
        <f t="shared" si="35"/>
        <v>ValenciaFarmaceuticaAIRE0,3</v>
      </c>
      <c r="C411" s="1" t="str">
        <f t="shared" si="31"/>
        <v>ValenciaFarmaceuticaAire0,3</v>
      </c>
      <c r="D411" s="1" t="s">
        <v>24</v>
      </c>
      <c r="E411" s="1" t="s">
        <v>15</v>
      </c>
      <c r="F411" s="1">
        <v>0.3</v>
      </c>
      <c r="G411" s="1">
        <f t="shared" si="32"/>
        <v>120</v>
      </c>
      <c r="H411" s="1">
        <f t="shared" si="33"/>
        <v>60</v>
      </c>
      <c r="I411" s="1" t="str">
        <f t="shared" si="34"/>
        <v>Aire</v>
      </c>
      <c r="J411" s="1" t="s">
        <v>16</v>
      </c>
      <c r="K411" s="2">
        <v>3371.2986512108305</v>
      </c>
      <c r="L411" s="2">
        <v>56.927519610648851</v>
      </c>
      <c r="M411" s="3">
        <v>2.2059656711658836E-2</v>
      </c>
      <c r="N411" s="2">
        <v>32.715090279165501</v>
      </c>
    </row>
    <row r="412" spans="1:14" x14ac:dyDescent="0.3">
      <c r="A412" s="1">
        <v>410</v>
      </c>
      <c r="B412" s="1" t="str">
        <f t="shared" si="35"/>
        <v>ValenciaFarmaceuticaAIRE0,45</v>
      </c>
      <c r="C412" s="1" t="str">
        <f t="shared" si="31"/>
        <v>ValenciaFarmaceuticaAire0,45</v>
      </c>
      <c r="D412" s="1" t="s">
        <v>24</v>
      </c>
      <c r="E412" s="1" t="s">
        <v>15</v>
      </c>
      <c r="F412" s="1">
        <v>0.45</v>
      </c>
      <c r="G412" s="1">
        <f t="shared" si="32"/>
        <v>120</v>
      </c>
      <c r="H412" s="1">
        <f t="shared" si="33"/>
        <v>60</v>
      </c>
      <c r="I412" s="1" t="str">
        <f t="shared" si="34"/>
        <v>Aire</v>
      </c>
      <c r="J412" s="1" t="s">
        <v>16</v>
      </c>
      <c r="K412" s="2">
        <v>5056.94797681625</v>
      </c>
      <c r="L412" s="2">
        <v>62.338959443510433</v>
      </c>
      <c r="M412" s="3">
        <v>3.9558831278529855E-2</v>
      </c>
      <c r="N412" s="2">
        <v>39.111238327699255</v>
      </c>
    </row>
    <row r="413" spans="1:14" x14ac:dyDescent="0.3">
      <c r="A413" s="1">
        <v>411</v>
      </c>
      <c r="B413" s="1" t="str">
        <f t="shared" si="35"/>
        <v>ValenciaFarmaceuticaAIRE0,6</v>
      </c>
      <c r="C413" s="1" t="str">
        <f t="shared" si="31"/>
        <v>ValenciaFarmaceuticaAire0,6</v>
      </c>
      <c r="D413" s="1" t="s">
        <v>24</v>
      </c>
      <c r="E413" s="1" t="s">
        <v>15</v>
      </c>
      <c r="F413" s="1">
        <v>0.6</v>
      </c>
      <c r="G413" s="1">
        <f t="shared" si="32"/>
        <v>120</v>
      </c>
      <c r="H413" s="1">
        <f t="shared" si="33"/>
        <v>60</v>
      </c>
      <c r="I413" s="1" t="str">
        <f t="shared" si="34"/>
        <v>Aire</v>
      </c>
      <c r="J413" s="1" t="s">
        <v>16</v>
      </c>
      <c r="K413" s="2">
        <v>6742.5973024216701</v>
      </c>
      <c r="L413" s="2">
        <v>65.168387481897497</v>
      </c>
      <c r="M413" s="3">
        <v>5.7499680765712449E-2</v>
      </c>
      <c r="N413" s="2">
        <v>42.636820505898541</v>
      </c>
    </row>
    <row r="414" spans="1:14" x14ac:dyDescent="0.3">
      <c r="A414" s="1">
        <v>412</v>
      </c>
      <c r="B414" s="1" t="str">
        <f t="shared" si="35"/>
        <v>ValenciaFarmaceuticaAIRE0,75</v>
      </c>
      <c r="C414" s="1" t="str">
        <f t="shared" si="31"/>
        <v>ValenciaFarmaceuticaAire0,75</v>
      </c>
      <c r="D414" s="1" t="s">
        <v>24</v>
      </c>
      <c r="E414" s="1" t="s">
        <v>15</v>
      </c>
      <c r="F414" s="1">
        <v>0.75</v>
      </c>
      <c r="G414" s="1">
        <f t="shared" si="32"/>
        <v>120</v>
      </c>
      <c r="H414" s="1">
        <f t="shared" si="33"/>
        <v>60</v>
      </c>
      <c r="I414" s="1" t="str">
        <f t="shared" si="34"/>
        <v>Aire</v>
      </c>
      <c r="J414" s="1" t="s">
        <v>16</v>
      </c>
      <c r="K414" s="2">
        <v>8428.2466280270783</v>
      </c>
      <c r="L414" s="2">
        <v>68.905421624224971</v>
      </c>
      <c r="M414" s="3">
        <v>7.817157154747717E-2</v>
      </c>
      <c r="N414" s="2">
        <v>46.37225418087931</v>
      </c>
    </row>
    <row r="415" spans="1:14" x14ac:dyDescent="0.3">
      <c r="A415" s="1">
        <v>413</v>
      </c>
      <c r="B415" s="1" t="str">
        <f t="shared" si="35"/>
        <v>ValenciaLacteosAIRE0,3</v>
      </c>
      <c r="C415" s="1" t="str">
        <f t="shared" si="31"/>
        <v>ValenciaLacteosAire0,3</v>
      </c>
      <c r="D415" s="1" t="s">
        <v>24</v>
      </c>
      <c r="E415" s="1" t="s">
        <v>14</v>
      </c>
      <c r="F415" s="1">
        <v>0.3</v>
      </c>
      <c r="G415" s="1">
        <f t="shared" si="32"/>
        <v>120</v>
      </c>
      <c r="H415" s="1">
        <f t="shared" si="33"/>
        <v>60</v>
      </c>
      <c r="I415" s="1" t="str">
        <f t="shared" si="34"/>
        <v>Aire</v>
      </c>
      <c r="J415" s="1" t="s">
        <v>16</v>
      </c>
      <c r="K415" s="2">
        <v>3371.2986512108305</v>
      </c>
      <c r="L415" s="2">
        <v>54.639263605231299</v>
      </c>
      <c r="M415" s="3">
        <v>2.540226632632922E-2</v>
      </c>
      <c r="N415" s="2">
        <v>37.677762854088165</v>
      </c>
    </row>
    <row r="416" spans="1:14" x14ac:dyDescent="0.3">
      <c r="A416" s="1">
        <v>414</v>
      </c>
      <c r="B416" s="1" t="str">
        <f t="shared" si="35"/>
        <v>ValenciaLacteosAIRE0,45</v>
      </c>
      <c r="C416" s="1" t="str">
        <f t="shared" si="31"/>
        <v>ValenciaLacteosAire0,45</v>
      </c>
      <c r="D416" s="1" t="s">
        <v>24</v>
      </c>
      <c r="E416" s="1" t="s">
        <v>14</v>
      </c>
      <c r="F416" s="1">
        <v>0.45</v>
      </c>
      <c r="G416" s="1">
        <f t="shared" si="32"/>
        <v>120</v>
      </c>
      <c r="H416" s="1">
        <f t="shared" si="33"/>
        <v>60</v>
      </c>
      <c r="I416" s="1" t="str">
        <f t="shared" si="34"/>
        <v>Aire</v>
      </c>
      <c r="J416" s="1" t="s">
        <v>16</v>
      </c>
      <c r="K416" s="2">
        <v>5056.94797681625</v>
      </c>
      <c r="L416" s="2">
        <v>59.896749563831463</v>
      </c>
      <c r="M416" s="3">
        <v>4.4182753782096518E-2</v>
      </c>
      <c r="N416" s="2">
        <v>43.689207302918057</v>
      </c>
    </row>
    <row r="417" spans="1:14" x14ac:dyDescent="0.3">
      <c r="A417" s="1">
        <v>415</v>
      </c>
      <c r="B417" s="1" t="str">
        <f t="shared" si="35"/>
        <v>ValenciaLacteosAIRE0,6</v>
      </c>
      <c r="C417" s="1" t="str">
        <f t="shared" si="31"/>
        <v>ValenciaLacteosAire0,6</v>
      </c>
      <c r="D417" s="1" t="s">
        <v>24</v>
      </c>
      <c r="E417" s="1" t="s">
        <v>14</v>
      </c>
      <c r="F417" s="1">
        <v>0.6</v>
      </c>
      <c r="G417" s="1">
        <f t="shared" si="32"/>
        <v>120</v>
      </c>
      <c r="H417" s="1">
        <f t="shared" si="33"/>
        <v>60</v>
      </c>
      <c r="I417" s="1" t="str">
        <f t="shared" si="34"/>
        <v>Aire</v>
      </c>
      <c r="J417" s="1" t="s">
        <v>16</v>
      </c>
      <c r="K417" s="2">
        <v>6742.5973024216701</v>
      </c>
      <c r="L417" s="2">
        <v>62.413332975547853</v>
      </c>
      <c r="M417" s="3">
        <v>6.29711222548478E-2</v>
      </c>
      <c r="N417" s="2">
        <v>46.700774263490729</v>
      </c>
    </row>
    <row r="418" spans="1:14" x14ac:dyDescent="0.3">
      <c r="A418" s="1">
        <v>416</v>
      </c>
      <c r="B418" s="1" t="str">
        <f t="shared" si="35"/>
        <v>ValenciaLacteosAIRE0,75</v>
      </c>
      <c r="C418" s="1" t="str">
        <f t="shared" si="31"/>
        <v>ValenciaLacteosAire0,75</v>
      </c>
      <c r="D418" s="1" t="s">
        <v>24</v>
      </c>
      <c r="E418" s="1" t="s">
        <v>14</v>
      </c>
      <c r="F418" s="1">
        <v>0.75</v>
      </c>
      <c r="G418" s="1">
        <f t="shared" si="32"/>
        <v>120</v>
      </c>
      <c r="H418" s="1">
        <f t="shared" si="33"/>
        <v>60</v>
      </c>
      <c r="I418" s="1" t="str">
        <f t="shared" si="34"/>
        <v>Aire</v>
      </c>
      <c r="J418" s="1" t="s">
        <v>16</v>
      </c>
      <c r="K418" s="2">
        <v>8428.2466280270783</v>
      </c>
      <c r="L418" s="2">
        <v>65.530645599178555</v>
      </c>
      <c r="M418" s="3">
        <v>8.3932645550661072E-2</v>
      </c>
      <c r="N418" s="2">
        <v>49.797042108738957</v>
      </c>
    </row>
    <row r="419" spans="1:14" x14ac:dyDescent="0.3">
      <c r="A419" s="1">
        <v>417</v>
      </c>
      <c r="B419" s="1" t="str">
        <f t="shared" si="35"/>
        <v>ValenciaSecadoAIRE0,3</v>
      </c>
      <c r="C419" s="1" t="str">
        <f t="shared" si="31"/>
        <v>ValenciaSecadoAire0,3</v>
      </c>
      <c r="D419" s="1" t="s">
        <v>24</v>
      </c>
      <c r="E419" s="1" t="s">
        <v>11</v>
      </c>
      <c r="F419" s="1">
        <v>0.3</v>
      </c>
      <c r="G419" s="1">
        <f t="shared" si="32"/>
        <v>60</v>
      </c>
      <c r="H419" s="1">
        <f t="shared" si="33"/>
        <v>15</v>
      </c>
      <c r="I419" s="1" t="str">
        <f t="shared" si="34"/>
        <v>Aire</v>
      </c>
      <c r="J419" s="1" t="s">
        <v>16</v>
      </c>
      <c r="K419" s="2">
        <v>2050.9141662806205</v>
      </c>
      <c r="L419" s="2">
        <v>590.99909390649145</v>
      </c>
      <c r="M419" s="3">
        <v>0.24121851458011936</v>
      </c>
      <c r="N419" s="2">
        <v>588.07559694122551</v>
      </c>
    </row>
    <row r="420" spans="1:14" x14ac:dyDescent="0.3">
      <c r="A420" s="1">
        <v>418</v>
      </c>
      <c r="B420" s="1" t="str">
        <f t="shared" si="35"/>
        <v>ValenciaSecadoAIRE0,45</v>
      </c>
      <c r="C420" s="1" t="str">
        <f t="shared" si="31"/>
        <v>ValenciaSecadoAire0,45</v>
      </c>
      <c r="D420" s="1" t="s">
        <v>24</v>
      </c>
      <c r="E420" s="1" t="s">
        <v>11</v>
      </c>
      <c r="F420" s="1">
        <v>0.45</v>
      </c>
      <c r="G420" s="1">
        <f t="shared" si="32"/>
        <v>60</v>
      </c>
      <c r="H420" s="1">
        <f t="shared" si="33"/>
        <v>15</v>
      </c>
      <c r="I420" s="1" t="str">
        <f t="shared" si="34"/>
        <v>Aire</v>
      </c>
      <c r="J420" s="1" t="s">
        <v>16</v>
      </c>
      <c r="K420" s="2">
        <v>3284.8948093840886</v>
      </c>
      <c r="L420" s="2">
        <v>489.64449948892855</v>
      </c>
      <c r="M420" s="3">
        <v>0.31976851598768824</v>
      </c>
      <c r="N420" s="2">
        <v>486.72565556335439</v>
      </c>
    </row>
    <row r="421" spans="1:14" x14ac:dyDescent="0.3">
      <c r="A421" s="1">
        <v>419</v>
      </c>
      <c r="B421" s="1" t="str">
        <f t="shared" si="35"/>
        <v>ValenciaSecadoAIRE0,6</v>
      </c>
      <c r="C421" s="1" t="str">
        <f t="shared" si="31"/>
        <v>ValenciaSecadoAire0,6</v>
      </c>
      <c r="D421" s="1" t="s">
        <v>24</v>
      </c>
      <c r="E421" s="1" t="s">
        <v>11</v>
      </c>
      <c r="F421" s="1">
        <v>0.6</v>
      </c>
      <c r="G421" s="1">
        <f t="shared" si="32"/>
        <v>60</v>
      </c>
      <c r="H421" s="1">
        <f t="shared" si="33"/>
        <v>15</v>
      </c>
      <c r="I421" s="1" t="str">
        <f t="shared" si="34"/>
        <v>Aire</v>
      </c>
      <c r="J421" s="1" t="s">
        <v>16</v>
      </c>
      <c r="K421" s="2">
        <v>4698.3229437692407</v>
      </c>
      <c r="L421" s="2">
        <v>395.41960005884982</v>
      </c>
      <c r="M421" s="3">
        <v>0.36892480281913614</v>
      </c>
      <c r="N421" s="2">
        <v>392.61328685346598</v>
      </c>
    </row>
    <row r="422" spans="1:14" x14ac:dyDescent="0.3">
      <c r="A422" s="1">
        <v>420</v>
      </c>
      <c r="B422" s="1" t="str">
        <f t="shared" si="35"/>
        <v>ValenciaSecadoAIRE0,75</v>
      </c>
      <c r="C422" s="1" t="str">
        <f t="shared" si="31"/>
        <v>ValenciaSecadoAire0,75</v>
      </c>
      <c r="D422" s="1" t="s">
        <v>24</v>
      </c>
      <c r="E422" s="1" t="s">
        <v>11</v>
      </c>
      <c r="F422" s="1">
        <v>0.75</v>
      </c>
      <c r="G422" s="1">
        <f t="shared" si="32"/>
        <v>60</v>
      </c>
      <c r="H422" s="1">
        <f t="shared" si="33"/>
        <v>15</v>
      </c>
      <c r="I422" s="1" t="str">
        <f t="shared" si="34"/>
        <v>Aire</v>
      </c>
      <c r="J422" s="1" t="s">
        <v>16</v>
      </c>
      <c r="K422" s="2">
        <v>6333.4112083093905</v>
      </c>
      <c r="L422" s="2">
        <v>327.22749230843942</v>
      </c>
      <c r="M422" s="3">
        <v>0.41105638980709164</v>
      </c>
      <c r="N422" s="2">
        <v>324.51421215867379</v>
      </c>
    </row>
    <row r="423" spans="1:14" x14ac:dyDescent="0.3">
      <c r="A423" s="1">
        <v>421</v>
      </c>
      <c r="B423" s="1" t="str">
        <f t="shared" si="35"/>
        <v>ValenciaBebidasETC0,3</v>
      </c>
      <c r="C423" s="1" t="str">
        <f t="shared" si="31"/>
        <v>ValenciaBebidasETC0,3</v>
      </c>
      <c r="D423" s="1" t="s">
        <v>24</v>
      </c>
      <c r="E423" s="1" t="s">
        <v>13</v>
      </c>
      <c r="F423" s="1">
        <v>0.3</v>
      </c>
      <c r="G423" s="1">
        <f t="shared" si="32"/>
        <v>60</v>
      </c>
      <c r="H423" s="1">
        <f t="shared" si="33"/>
        <v>15</v>
      </c>
      <c r="I423" s="1" t="str">
        <f t="shared" si="34"/>
        <v>ETC</v>
      </c>
      <c r="J423" s="1" t="s">
        <v>9</v>
      </c>
      <c r="K423" s="2">
        <v>1733.9249422440905</v>
      </c>
      <c r="L423" s="2">
        <v>896.54986708023648</v>
      </c>
      <c r="M423" s="3">
        <v>0.30606678243086988</v>
      </c>
      <c r="N423" s="2">
        <v>882.55698817756604</v>
      </c>
    </row>
    <row r="424" spans="1:14" x14ac:dyDescent="0.3">
      <c r="A424" s="1">
        <v>422</v>
      </c>
      <c r="B424" s="1" t="str">
        <f t="shared" si="35"/>
        <v>ValenciaBebidasETC0,45</v>
      </c>
      <c r="C424" s="1" t="str">
        <f t="shared" si="31"/>
        <v>ValenciaBebidasETC0,45</v>
      </c>
      <c r="D424" s="1" t="s">
        <v>24</v>
      </c>
      <c r="E424" s="1" t="s">
        <v>13</v>
      </c>
      <c r="F424" s="1">
        <v>0.45</v>
      </c>
      <c r="G424" s="1">
        <f t="shared" si="32"/>
        <v>60</v>
      </c>
      <c r="H424" s="1">
        <f t="shared" si="33"/>
        <v>15</v>
      </c>
      <c r="I424" s="1" t="str">
        <f t="shared" si="34"/>
        <v>ETC</v>
      </c>
      <c r="J424" s="1" t="s">
        <v>9</v>
      </c>
      <c r="K424" s="2">
        <v>2614.4992781579303</v>
      </c>
      <c r="L424" s="2">
        <v>885.7994783027558</v>
      </c>
      <c r="M424" s="3">
        <v>0.45292733544293406</v>
      </c>
      <c r="N424" s="2">
        <v>866.15747978073841</v>
      </c>
    </row>
    <row r="425" spans="1:14" x14ac:dyDescent="0.3">
      <c r="A425" s="1">
        <v>423</v>
      </c>
      <c r="B425" s="1" t="str">
        <f t="shared" si="35"/>
        <v>ValenciaBebidasETC0,6</v>
      </c>
      <c r="C425" s="1" t="str">
        <f t="shared" si="31"/>
        <v>ValenciaBebidasETC0,6</v>
      </c>
      <c r="D425" s="1" t="s">
        <v>24</v>
      </c>
      <c r="E425" s="1" t="s">
        <v>13</v>
      </c>
      <c r="F425" s="1">
        <v>0.6</v>
      </c>
      <c r="G425" s="1">
        <f t="shared" si="32"/>
        <v>60</v>
      </c>
      <c r="H425" s="1">
        <f t="shared" si="33"/>
        <v>15</v>
      </c>
      <c r="I425" s="1" t="str">
        <f t="shared" si="34"/>
        <v>ETC</v>
      </c>
      <c r="J425" s="1" t="s">
        <v>9</v>
      </c>
      <c r="K425" s="2">
        <v>3504.4259001667692</v>
      </c>
      <c r="L425" s="2">
        <v>868.58824634248572</v>
      </c>
      <c r="M425" s="3">
        <v>0.59071302064660058</v>
      </c>
      <c r="N425" s="2">
        <v>842.78445473260308</v>
      </c>
    </row>
    <row r="426" spans="1:14" x14ac:dyDescent="0.3">
      <c r="A426" s="1">
        <v>424</v>
      </c>
      <c r="B426" s="1" t="str">
        <f t="shared" si="35"/>
        <v>ValenciaBebidasETC0,75</v>
      </c>
      <c r="C426" s="1" t="str">
        <f t="shared" si="31"/>
        <v>ValenciaBebidasETC0,75</v>
      </c>
      <c r="D426" s="1" t="s">
        <v>24</v>
      </c>
      <c r="E426" s="1" t="s">
        <v>13</v>
      </c>
      <c r="F426" s="1">
        <v>0.75</v>
      </c>
      <c r="G426" s="1">
        <f t="shared" si="32"/>
        <v>60</v>
      </c>
      <c r="H426" s="1">
        <f t="shared" si="33"/>
        <v>15</v>
      </c>
      <c r="I426" s="1" t="str">
        <f t="shared" si="34"/>
        <v>ETC</v>
      </c>
      <c r="J426" s="1" t="s">
        <v>9</v>
      </c>
      <c r="K426" s="2">
        <v>4403.9203442463795</v>
      </c>
      <c r="L426" s="2">
        <v>845.45194310402144</v>
      </c>
      <c r="M426" s="3">
        <v>0.7163560254430229</v>
      </c>
      <c r="N426" s="2">
        <v>813.29165687314128</v>
      </c>
    </row>
    <row r="427" spans="1:14" x14ac:dyDescent="0.3">
      <c r="A427" s="1">
        <v>425</v>
      </c>
      <c r="B427" s="1" t="str">
        <f t="shared" si="35"/>
        <v>ValenciaCarnicaETC0,3</v>
      </c>
      <c r="C427" s="1" t="str">
        <f t="shared" si="31"/>
        <v>ValenciaCarnicaETC0,3</v>
      </c>
      <c r="D427" s="1" t="s">
        <v>24</v>
      </c>
      <c r="E427" s="1" t="s">
        <v>12</v>
      </c>
      <c r="F427" s="1">
        <v>0.3</v>
      </c>
      <c r="G427" s="1">
        <f t="shared" si="32"/>
        <v>120</v>
      </c>
      <c r="H427" s="1">
        <f t="shared" si="33"/>
        <v>60</v>
      </c>
      <c r="I427" s="1" t="str">
        <f t="shared" si="34"/>
        <v>ETC</v>
      </c>
      <c r="J427" s="1" t="s">
        <v>9</v>
      </c>
      <c r="K427" s="2">
        <v>1988.1323210017906</v>
      </c>
      <c r="L427" s="2">
        <v>722.53774831289309</v>
      </c>
      <c r="M427" s="3">
        <v>0.25503997281892582</v>
      </c>
      <c r="N427" s="2">
        <v>641.38324632458011</v>
      </c>
    </row>
    <row r="428" spans="1:14" x14ac:dyDescent="0.3">
      <c r="A428" s="1">
        <v>426</v>
      </c>
      <c r="B428" s="1" t="str">
        <f t="shared" si="35"/>
        <v>ValenciaCarnicaETC0,45</v>
      </c>
      <c r="C428" s="1" t="str">
        <f t="shared" si="31"/>
        <v>ValenciaCarnicaETC0,45</v>
      </c>
      <c r="D428" s="1" t="s">
        <v>24</v>
      </c>
      <c r="E428" s="1" t="s">
        <v>12</v>
      </c>
      <c r="F428" s="1">
        <v>0.45</v>
      </c>
      <c r="G428" s="1">
        <f t="shared" si="32"/>
        <v>120</v>
      </c>
      <c r="H428" s="1">
        <f t="shared" si="33"/>
        <v>60</v>
      </c>
      <c r="I428" s="1" t="str">
        <f t="shared" si="34"/>
        <v>ETC</v>
      </c>
      <c r="J428" s="1" t="s">
        <v>9</v>
      </c>
      <c r="K428" s="2">
        <v>3002.0870269816592</v>
      </c>
      <c r="L428" s="2">
        <v>712.3475687480269</v>
      </c>
      <c r="M428" s="3">
        <v>0.38007635899386161</v>
      </c>
      <c r="N428" s="2">
        <v>632.997832576051</v>
      </c>
    </row>
    <row r="429" spans="1:14" x14ac:dyDescent="0.3">
      <c r="A429" s="1">
        <v>427</v>
      </c>
      <c r="B429" s="1" t="str">
        <f t="shared" si="35"/>
        <v>ValenciaCarnicaETC0,6</v>
      </c>
      <c r="C429" s="1" t="str">
        <f t="shared" si="31"/>
        <v>ValenciaCarnicaETC0,6</v>
      </c>
      <c r="D429" s="1" t="s">
        <v>24</v>
      </c>
      <c r="E429" s="1" t="s">
        <v>12</v>
      </c>
      <c r="F429" s="1">
        <v>0.6</v>
      </c>
      <c r="G429" s="1">
        <f t="shared" si="32"/>
        <v>120</v>
      </c>
      <c r="H429" s="1">
        <f t="shared" si="33"/>
        <v>60</v>
      </c>
      <c r="I429" s="1" t="str">
        <f t="shared" si="34"/>
        <v>ETC</v>
      </c>
      <c r="J429" s="1" t="s">
        <v>9</v>
      </c>
      <c r="K429" s="2">
        <v>4029.7715373483097</v>
      </c>
      <c r="L429" s="2">
        <v>696.40802292395745</v>
      </c>
      <c r="M429" s="3">
        <v>0.49634502995918145</v>
      </c>
      <c r="N429" s="2">
        <v>615.82582333972744</v>
      </c>
    </row>
    <row r="430" spans="1:14" x14ac:dyDescent="0.3">
      <c r="A430" s="1">
        <v>428</v>
      </c>
      <c r="B430" s="1" t="str">
        <f t="shared" si="35"/>
        <v>ValenciaCarnicaETC0,75</v>
      </c>
      <c r="C430" s="1" t="str">
        <f t="shared" si="31"/>
        <v>ValenciaCarnicaETC0,75</v>
      </c>
      <c r="D430" s="1" t="s">
        <v>24</v>
      </c>
      <c r="E430" s="1" t="s">
        <v>12</v>
      </c>
      <c r="F430" s="1">
        <v>0.75</v>
      </c>
      <c r="G430" s="1">
        <f t="shared" si="32"/>
        <v>120</v>
      </c>
      <c r="H430" s="1">
        <f t="shared" si="33"/>
        <v>60</v>
      </c>
      <c r="I430" s="1" t="str">
        <f t="shared" si="34"/>
        <v>ETC</v>
      </c>
      <c r="J430" s="1" t="s">
        <v>9</v>
      </c>
      <c r="K430" s="2">
        <v>5071.5538173999603</v>
      </c>
      <c r="L430" s="2">
        <v>677.18109554561386</v>
      </c>
      <c r="M430" s="3">
        <v>0.60297507651213356</v>
      </c>
      <c r="N430" s="2">
        <v>594.44676314920014</v>
      </c>
    </row>
    <row r="431" spans="1:14" x14ac:dyDescent="0.3">
      <c r="A431" s="1">
        <v>429</v>
      </c>
      <c r="B431" s="1" t="str">
        <f t="shared" si="35"/>
        <v>ValenciaFarmaceuticaETC0,3</v>
      </c>
      <c r="C431" s="1" t="str">
        <f t="shared" si="31"/>
        <v>ValenciaFarmaceuticaETC0,3</v>
      </c>
      <c r="D431" s="1" t="s">
        <v>24</v>
      </c>
      <c r="E431" s="1" t="s">
        <v>15</v>
      </c>
      <c r="F431" s="1">
        <v>0.3</v>
      </c>
      <c r="G431" s="1">
        <f t="shared" si="32"/>
        <v>120</v>
      </c>
      <c r="H431" s="1">
        <f t="shared" si="33"/>
        <v>60</v>
      </c>
      <c r="I431" s="1" t="str">
        <f t="shared" si="34"/>
        <v>ETC</v>
      </c>
      <c r="J431" s="1" t="s">
        <v>9</v>
      </c>
      <c r="K431" s="2">
        <v>1988.1323210017906</v>
      </c>
      <c r="L431" s="2">
        <v>722.62100333291096</v>
      </c>
      <c r="M431" s="3">
        <v>0.25510207176791355</v>
      </c>
      <c r="N431" s="2">
        <v>641.52753306785394</v>
      </c>
    </row>
    <row r="432" spans="1:14" x14ac:dyDescent="0.3">
      <c r="A432" s="1">
        <v>430</v>
      </c>
      <c r="B432" s="1" t="str">
        <f t="shared" si="35"/>
        <v>ValenciaFarmaceuticaETC0,45</v>
      </c>
      <c r="C432" s="1" t="str">
        <f t="shared" si="31"/>
        <v>ValenciaFarmaceuticaETC0,45</v>
      </c>
      <c r="D432" s="1" t="s">
        <v>24</v>
      </c>
      <c r="E432" s="1" t="s">
        <v>15</v>
      </c>
      <c r="F432" s="1">
        <v>0.45</v>
      </c>
      <c r="G432" s="1">
        <f t="shared" si="32"/>
        <v>120</v>
      </c>
      <c r="H432" s="1">
        <f t="shared" si="33"/>
        <v>60</v>
      </c>
      <c r="I432" s="1" t="str">
        <f t="shared" si="34"/>
        <v>ETC</v>
      </c>
      <c r="J432" s="1" t="s">
        <v>9</v>
      </c>
      <c r="K432" s="2">
        <v>3002.0870269816592</v>
      </c>
      <c r="L432" s="2">
        <v>712.42347276471799</v>
      </c>
      <c r="M432" s="3">
        <v>0.38016676429095503</v>
      </c>
      <c r="N432" s="2">
        <v>633.13667158810949</v>
      </c>
    </row>
    <row r="433" spans="1:14" x14ac:dyDescent="0.3">
      <c r="A433" s="1">
        <v>431</v>
      </c>
      <c r="B433" s="1" t="str">
        <f t="shared" si="35"/>
        <v>ValenciaFarmaceuticaETC0,6</v>
      </c>
      <c r="C433" s="1" t="str">
        <f t="shared" si="31"/>
        <v>ValenciaFarmaceuticaETC0,6</v>
      </c>
      <c r="D433" s="1" t="s">
        <v>24</v>
      </c>
      <c r="E433" s="1" t="s">
        <v>15</v>
      </c>
      <c r="F433" s="1">
        <v>0.6</v>
      </c>
      <c r="G433" s="1">
        <f t="shared" si="32"/>
        <v>120</v>
      </c>
      <c r="H433" s="1">
        <f t="shared" si="33"/>
        <v>60</v>
      </c>
      <c r="I433" s="1" t="str">
        <f t="shared" si="34"/>
        <v>ETC</v>
      </c>
      <c r="J433" s="1" t="s">
        <v>9</v>
      </c>
      <c r="K433" s="2">
        <v>4029.7715373483097</v>
      </c>
      <c r="L433" s="2">
        <v>696.45677425184317</v>
      </c>
      <c r="M433" s="3">
        <v>0.49643778101125963</v>
      </c>
      <c r="N433" s="2">
        <v>615.92949382772099</v>
      </c>
    </row>
    <row r="434" spans="1:14" x14ac:dyDescent="0.3">
      <c r="A434" s="1">
        <v>432</v>
      </c>
      <c r="B434" s="1" t="str">
        <f t="shared" si="35"/>
        <v>ValenciaFarmaceuticaETC0,75</v>
      </c>
      <c r="C434" s="1" t="str">
        <f t="shared" si="31"/>
        <v>ValenciaFarmaceuticaETC0,75</v>
      </c>
      <c r="D434" s="1" t="s">
        <v>24</v>
      </c>
      <c r="E434" s="1" t="s">
        <v>15</v>
      </c>
      <c r="F434" s="1">
        <v>0.75</v>
      </c>
      <c r="G434" s="1">
        <f t="shared" si="32"/>
        <v>120</v>
      </c>
      <c r="H434" s="1">
        <f t="shared" si="33"/>
        <v>60</v>
      </c>
      <c r="I434" s="1" t="str">
        <f t="shared" si="34"/>
        <v>ETC</v>
      </c>
      <c r="J434" s="1" t="s">
        <v>9</v>
      </c>
      <c r="K434" s="2">
        <v>5071.5538173999603</v>
      </c>
      <c r="L434" s="2">
        <v>677.27911031678866</v>
      </c>
      <c r="M434" s="3">
        <v>0.60312149487271682</v>
      </c>
      <c r="N434" s="2">
        <v>594.58009831106597</v>
      </c>
    </row>
    <row r="435" spans="1:14" x14ac:dyDescent="0.3">
      <c r="A435" s="1">
        <v>433</v>
      </c>
      <c r="B435" s="1" t="str">
        <f t="shared" si="35"/>
        <v>ValenciaLacteosETC0,3</v>
      </c>
      <c r="C435" s="1" t="str">
        <f t="shared" si="31"/>
        <v>ValenciaLacteosETC0,3</v>
      </c>
      <c r="D435" s="1" t="s">
        <v>24</v>
      </c>
      <c r="E435" s="1" t="s">
        <v>14</v>
      </c>
      <c r="F435" s="1">
        <v>0.3</v>
      </c>
      <c r="G435" s="1">
        <f t="shared" si="32"/>
        <v>120</v>
      </c>
      <c r="H435" s="1">
        <f t="shared" si="33"/>
        <v>60</v>
      </c>
      <c r="I435" s="1" t="str">
        <f t="shared" si="34"/>
        <v>ETC</v>
      </c>
      <c r="J435" s="1" t="s">
        <v>9</v>
      </c>
      <c r="K435" s="2">
        <v>1988.1323210017906</v>
      </c>
      <c r="L435" s="2">
        <v>718.26843784730352</v>
      </c>
      <c r="M435" s="3">
        <v>0.26278875833842352</v>
      </c>
      <c r="N435" s="2">
        <v>660.95420107394909</v>
      </c>
    </row>
    <row r="436" spans="1:14" x14ac:dyDescent="0.3">
      <c r="A436" s="1">
        <v>434</v>
      </c>
      <c r="B436" s="1" t="str">
        <f t="shared" si="35"/>
        <v>ValenciaLacteosETC0,45</v>
      </c>
      <c r="C436" s="1" t="str">
        <f t="shared" si="31"/>
        <v>ValenciaLacteosETC0,45</v>
      </c>
      <c r="D436" s="1" t="s">
        <v>24</v>
      </c>
      <c r="E436" s="1" t="s">
        <v>14</v>
      </c>
      <c r="F436" s="1">
        <v>0.45</v>
      </c>
      <c r="G436" s="1">
        <f t="shared" si="32"/>
        <v>120</v>
      </c>
      <c r="H436" s="1">
        <f t="shared" si="33"/>
        <v>60</v>
      </c>
      <c r="I436" s="1" t="str">
        <f t="shared" si="34"/>
        <v>ETC</v>
      </c>
      <c r="J436" s="1" t="s">
        <v>9</v>
      </c>
      <c r="K436" s="2">
        <v>3002.0870269816592</v>
      </c>
      <c r="L436" s="2">
        <v>706.32024621669905</v>
      </c>
      <c r="M436" s="3">
        <v>0.39032144164854515</v>
      </c>
      <c r="N436" s="2">
        <v>650.14316555693256</v>
      </c>
    </row>
    <row r="437" spans="1:14" x14ac:dyDescent="0.3">
      <c r="A437" s="1">
        <v>435</v>
      </c>
      <c r="B437" s="1" t="str">
        <f t="shared" si="35"/>
        <v>ValenciaLacteosETC0,6</v>
      </c>
      <c r="C437" s="1" t="str">
        <f t="shared" si="31"/>
        <v>ValenciaLacteosETC0,6</v>
      </c>
      <c r="D437" s="1" t="s">
        <v>24</v>
      </c>
      <c r="E437" s="1" t="s">
        <v>14</v>
      </c>
      <c r="F437" s="1">
        <v>0.6</v>
      </c>
      <c r="G437" s="1">
        <f t="shared" si="32"/>
        <v>120</v>
      </c>
      <c r="H437" s="1">
        <f t="shared" si="33"/>
        <v>60</v>
      </c>
      <c r="I437" s="1" t="str">
        <f t="shared" si="34"/>
        <v>ETC</v>
      </c>
      <c r="J437" s="1" t="s">
        <v>9</v>
      </c>
      <c r="K437" s="2">
        <v>4029.7715373483097</v>
      </c>
      <c r="L437" s="2">
        <v>689.56073573222841</v>
      </c>
      <c r="M437" s="3">
        <v>0.50977903248037271</v>
      </c>
      <c r="N437" s="2">
        <v>632.57411089303889</v>
      </c>
    </row>
    <row r="438" spans="1:14" x14ac:dyDescent="0.3">
      <c r="A438" s="1">
        <v>436</v>
      </c>
      <c r="B438" s="1" t="str">
        <f t="shared" si="35"/>
        <v>ValenciaLacteosETC0,75</v>
      </c>
      <c r="C438" s="1" t="str">
        <f t="shared" si="31"/>
        <v>ValenciaLacteosETC0,75</v>
      </c>
      <c r="D438" s="1" t="s">
        <v>24</v>
      </c>
      <c r="E438" s="1" t="s">
        <v>14</v>
      </c>
      <c r="F438" s="1">
        <v>0.75</v>
      </c>
      <c r="G438" s="1">
        <f t="shared" si="32"/>
        <v>120</v>
      </c>
      <c r="H438" s="1">
        <f t="shared" si="33"/>
        <v>60</v>
      </c>
      <c r="I438" s="1" t="str">
        <f t="shared" si="34"/>
        <v>ETC</v>
      </c>
      <c r="J438" s="1" t="s">
        <v>9</v>
      </c>
      <c r="K438" s="2">
        <v>5071.5538173999603</v>
      </c>
      <c r="L438" s="2">
        <v>668.24325250146433</v>
      </c>
      <c r="M438" s="3">
        <v>0.61847157834688937</v>
      </c>
      <c r="N438" s="2">
        <v>609.80162631129042</v>
      </c>
    </row>
    <row r="439" spans="1:14" x14ac:dyDescent="0.3">
      <c r="A439" s="1">
        <v>437</v>
      </c>
      <c r="B439" s="1" t="str">
        <f t="shared" si="35"/>
        <v>ValenciaSecadoETC0,3</v>
      </c>
      <c r="C439" s="1" t="str">
        <f t="shared" si="31"/>
        <v>ValenciaSecadoETC0,3</v>
      </c>
      <c r="D439" s="1" t="s">
        <v>24</v>
      </c>
      <c r="E439" s="1" t="s">
        <v>11</v>
      </c>
      <c r="F439" s="1">
        <v>0.3</v>
      </c>
      <c r="G439" s="1">
        <f t="shared" si="32"/>
        <v>60</v>
      </c>
      <c r="H439" s="1">
        <f t="shared" si="33"/>
        <v>15</v>
      </c>
      <c r="I439" s="1" t="str">
        <f t="shared" si="34"/>
        <v>ETC</v>
      </c>
      <c r="J439" s="1" t="s">
        <v>9</v>
      </c>
      <c r="K439" s="2">
        <v>1733.9249422440905</v>
      </c>
      <c r="L439" s="2">
        <v>896.5553602500222</v>
      </c>
      <c r="M439" s="3">
        <v>0.30603469684034978</v>
      </c>
      <c r="N439" s="2">
        <v>882.49118895167123</v>
      </c>
    </row>
    <row r="440" spans="1:14" x14ac:dyDescent="0.3">
      <c r="A440" s="1">
        <v>438</v>
      </c>
      <c r="B440" s="1" t="str">
        <f t="shared" si="35"/>
        <v>ValenciaSecadoETC0,45</v>
      </c>
      <c r="C440" s="1" t="str">
        <f t="shared" si="31"/>
        <v>ValenciaSecadoETC0,45</v>
      </c>
      <c r="D440" s="1" t="s">
        <v>24</v>
      </c>
      <c r="E440" s="1" t="s">
        <v>11</v>
      </c>
      <c r="F440" s="1">
        <v>0.45</v>
      </c>
      <c r="G440" s="1">
        <f t="shared" si="32"/>
        <v>60</v>
      </c>
      <c r="H440" s="1">
        <f t="shared" si="33"/>
        <v>15</v>
      </c>
      <c r="I440" s="1" t="str">
        <f t="shared" si="34"/>
        <v>ETC</v>
      </c>
      <c r="J440" s="1" t="s">
        <v>9</v>
      </c>
      <c r="K440" s="2">
        <v>2614.4992781579303</v>
      </c>
      <c r="L440" s="2">
        <v>885.93377309982441</v>
      </c>
      <c r="M440" s="3">
        <v>0.45298341477928661</v>
      </c>
      <c r="N440" s="2">
        <v>866.29095378744557</v>
      </c>
    </row>
    <row r="441" spans="1:14" x14ac:dyDescent="0.3">
      <c r="A441" s="1">
        <v>439</v>
      </c>
      <c r="B441" s="1" t="str">
        <f t="shared" si="35"/>
        <v>ValenciaSecadoETC0,6</v>
      </c>
      <c r="C441" s="1" t="str">
        <f t="shared" si="31"/>
        <v>ValenciaSecadoETC0,6</v>
      </c>
      <c r="D441" s="1" t="s">
        <v>24</v>
      </c>
      <c r="E441" s="1" t="s">
        <v>11</v>
      </c>
      <c r="F441" s="1">
        <v>0.6</v>
      </c>
      <c r="G441" s="1">
        <f t="shared" si="32"/>
        <v>60</v>
      </c>
      <c r="H441" s="1">
        <f t="shared" si="33"/>
        <v>15</v>
      </c>
      <c r="I441" s="1" t="str">
        <f t="shared" si="34"/>
        <v>ETC</v>
      </c>
      <c r="J441" s="1" t="s">
        <v>9</v>
      </c>
      <c r="K441" s="2">
        <v>3504.4259001667692</v>
      </c>
      <c r="L441" s="2">
        <v>868.74082911213156</v>
      </c>
      <c r="M441" s="3">
        <v>0.59079525301911617</v>
      </c>
      <c r="N441" s="2">
        <v>842.92730065856608</v>
      </c>
    </row>
    <row r="442" spans="1:14" x14ac:dyDescent="0.3">
      <c r="A442" s="1">
        <v>440</v>
      </c>
      <c r="B442" s="1" t="str">
        <f t="shared" si="35"/>
        <v>ValenciaSecadoETC0,75</v>
      </c>
      <c r="C442" s="1" t="str">
        <f t="shared" si="31"/>
        <v>ValenciaSecadoETC0,75</v>
      </c>
      <c r="D442" s="1" t="s">
        <v>24</v>
      </c>
      <c r="E442" s="1" t="s">
        <v>11</v>
      </c>
      <c r="F442" s="1">
        <v>0.75</v>
      </c>
      <c r="G442" s="1">
        <f t="shared" si="32"/>
        <v>60</v>
      </c>
      <c r="H442" s="1">
        <f t="shared" si="33"/>
        <v>15</v>
      </c>
      <c r="I442" s="1" t="str">
        <f t="shared" si="34"/>
        <v>ETC</v>
      </c>
      <c r="J442" s="1" t="s">
        <v>9</v>
      </c>
      <c r="K442" s="2">
        <v>4403.9203442463795</v>
      </c>
      <c r="L442" s="2">
        <v>845.58578215924797</v>
      </c>
      <c r="M442" s="3">
        <v>0.71642076737653415</v>
      </c>
      <c r="N442" s="2">
        <v>813.38978819214674</v>
      </c>
    </row>
    <row r="443" spans="1:14" x14ac:dyDescent="0.3">
      <c r="A443" s="1">
        <v>441</v>
      </c>
      <c r="B443" s="1" t="str">
        <f t="shared" si="35"/>
        <v>ValenciaBebidasPLANO10,3</v>
      </c>
      <c r="C443" s="1" t="str">
        <f t="shared" si="31"/>
        <v>ValenciaBebidasFPC10,3</v>
      </c>
      <c r="D443" s="1" t="s">
        <v>24</v>
      </c>
      <c r="E443" s="1" t="s">
        <v>13</v>
      </c>
      <c r="F443" s="1">
        <v>0.3</v>
      </c>
      <c r="G443" s="1">
        <f t="shared" si="32"/>
        <v>60</v>
      </c>
      <c r="H443" s="1">
        <f t="shared" si="33"/>
        <v>15</v>
      </c>
      <c r="I443" s="1" t="str">
        <f t="shared" si="34"/>
        <v>FPC1</v>
      </c>
      <c r="J443" s="1" t="s">
        <v>17</v>
      </c>
      <c r="K443" s="2">
        <v>1657.5259727994005</v>
      </c>
      <c r="L443" s="2">
        <v>977.99927493999257</v>
      </c>
      <c r="M443" s="3">
        <v>0.31942583888714787</v>
      </c>
      <c r="N443" s="2">
        <v>963.53291636465622</v>
      </c>
    </row>
    <row r="444" spans="1:14" x14ac:dyDescent="0.3">
      <c r="A444" s="1">
        <v>442</v>
      </c>
      <c r="B444" s="1" t="str">
        <f t="shared" si="35"/>
        <v>ValenciaBebidasPLANO10,45</v>
      </c>
      <c r="C444" s="1" t="str">
        <f t="shared" si="31"/>
        <v>ValenciaBebidasFPC10,45</v>
      </c>
      <c r="D444" s="1" t="s">
        <v>24</v>
      </c>
      <c r="E444" s="1" t="s">
        <v>13</v>
      </c>
      <c r="F444" s="1">
        <v>0.45</v>
      </c>
      <c r="G444" s="1">
        <f t="shared" si="32"/>
        <v>60</v>
      </c>
      <c r="H444" s="1">
        <f t="shared" si="33"/>
        <v>15</v>
      </c>
      <c r="I444" s="1" t="str">
        <f t="shared" si="34"/>
        <v>FPC1</v>
      </c>
      <c r="J444" s="1" t="s">
        <v>17</v>
      </c>
      <c r="K444" s="2">
        <v>2536.0031127885895</v>
      </c>
      <c r="L444" s="2">
        <v>949.81124570331394</v>
      </c>
      <c r="M444" s="3">
        <v>0.47166188147766586</v>
      </c>
      <c r="N444" s="2">
        <v>929.90343253010042</v>
      </c>
    </row>
    <row r="445" spans="1:14" x14ac:dyDescent="0.3">
      <c r="A445" s="1">
        <v>443</v>
      </c>
      <c r="B445" s="1" t="str">
        <f t="shared" si="35"/>
        <v>ValenciaBebidasPLANO10,6</v>
      </c>
      <c r="C445" s="1" t="str">
        <f t="shared" si="31"/>
        <v>ValenciaBebidasFPC10,6</v>
      </c>
      <c r="D445" s="1" t="s">
        <v>24</v>
      </c>
      <c r="E445" s="1" t="s">
        <v>13</v>
      </c>
      <c r="F445" s="1">
        <v>0.6</v>
      </c>
      <c r="G445" s="1">
        <f t="shared" si="32"/>
        <v>60</v>
      </c>
      <c r="H445" s="1">
        <f t="shared" si="33"/>
        <v>15</v>
      </c>
      <c r="I445" s="1" t="str">
        <f t="shared" si="34"/>
        <v>FPC1</v>
      </c>
      <c r="J445" s="1" t="s">
        <v>17</v>
      </c>
      <c r="K445" s="2">
        <v>3450.459417558171</v>
      </c>
      <c r="L445" s="2">
        <v>905.058260876438</v>
      </c>
      <c r="M445" s="3">
        <v>0.60686791842110033</v>
      </c>
      <c r="N445" s="2">
        <v>879.37498962085454</v>
      </c>
    </row>
    <row r="446" spans="1:14" x14ac:dyDescent="0.3">
      <c r="A446" s="1">
        <v>444</v>
      </c>
      <c r="B446" s="1" t="str">
        <f t="shared" si="35"/>
        <v>ValenciaBebidasPLANO10,75</v>
      </c>
      <c r="C446" s="1" t="str">
        <f t="shared" si="31"/>
        <v>ValenciaBebidasFPC10,75</v>
      </c>
      <c r="D446" s="1" t="s">
        <v>24</v>
      </c>
      <c r="E446" s="1" t="s">
        <v>13</v>
      </c>
      <c r="F446" s="1">
        <v>0.75</v>
      </c>
      <c r="G446" s="1">
        <f t="shared" si="32"/>
        <v>60</v>
      </c>
      <c r="H446" s="1">
        <f t="shared" si="33"/>
        <v>15</v>
      </c>
      <c r="I446" s="1" t="str">
        <f t="shared" si="34"/>
        <v>FPC1</v>
      </c>
      <c r="J446" s="1" t="s">
        <v>17</v>
      </c>
      <c r="K446" s="2">
        <v>4403.2542493304409</v>
      </c>
      <c r="L446" s="2">
        <v>849.19190707441635</v>
      </c>
      <c r="M446" s="3">
        <v>0.72051363139130686</v>
      </c>
      <c r="N446" s="2">
        <v>818.13560376446867</v>
      </c>
    </row>
    <row r="447" spans="1:14" x14ac:dyDescent="0.3">
      <c r="A447" s="1">
        <v>445</v>
      </c>
      <c r="B447" s="1" t="str">
        <f t="shared" si="35"/>
        <v>ValenciaCarnicaPLANO10,3</v>
      </c>
      <c r="C447" s="1" t="str">
        <f t="shared" si="31"/>
        <v>ValenciaCarnicaFPC10,3</v>
      </c>
      <c r="D447" s="1" t="s">
        <v>24</v>
      </c>
      <c r="E447" s="1" t="s">
        <v>12</v>
      </c>
      <c r="F447" s="1">
        <v>0.3</v>
      </c>
      <c r="G447" s="1">
        <f t="shared" si="32"/>
        <v>120</v>
      </c>
      <c r="H447" s="1">
        <f t="shared" si="33"/>
        <v>60</v>
      </c>
      <c r="I447" s="1" t="str">
        <f t="shared" si="34"/>
        <v>FPC1</v>
      </c>
      <c r="J447" s="1" t="s">
        <v>17</v>
      </c>
      <c r="K447" s="2">
        <v>3109.5294643570091</v>
      </c>
      <c r="L447" s="2">
        <v>466.83717980687328</v>
      </c>
      <c r="M447" s="3">
        <v>0.2482483551633346</v>
      </c>
      <c r="N447" s="2">
        <v>399.15938702734292</v>
      </c>
    </row>
    <row r="448" spans="1:14" x14ac:dyDescent="0.3">
      <c r="A448" s="1">
        <v>446</v>
      </c>
      <c r="B448" s="1" t="str">
        <f t="shared" si="35"/>
        <v>ValenciaCarnicaPLANO10,45</v>
      </c>
      <c r="C448" s="1" t="str">
        <f t="shared" si="31"/>
        <v>ValenciaCarnicaFPC10,45</v>
      </c>
      <c r="D448" s="1" t="s">
        <v>24</v>
      </c>
      <c r="E448" s="1" t="s">
        <v>12</v>
      </c>
      <c r="F448" s="1">
        <v>0.45</v>
      </c>
      <c r="G448" s="1">
        <f t="shared" si="32"/>
        <v>120</v>
      </c>
      <c r="H448" s="1">
        <f t="shared" si="33"/>
        <v>60</v>
      </c>
      <c r="I448" s="1" t="str">
        <f t="shared" si="34"/>
        <v>FPC1</v>
      </c>
      <c r="J448" s="1" t="s">
        <v>17</v>
      </c>
      <c r="K448" s="2">
        <v>4850.4493903248804</v>
      </c>
      <c r="L448" s="2">
        <v>438.35173940256101</v>
      </c>
      <c r="M448" s="3">
        <v>0.36145698104572183</v>
      </c>
      <c r="N448" s="2">
        <v>372.5883601315598</v>
      </c>
    </row>
    <row r="449" spans="1:14" x14ac:dyDescent="0.3">
      <c r="A449" s="1">
        <v>447</v>
      </c>
      <c r="B449" s="1" t="str">
        <f t="shared" si="35"/>
        <v>ValenciaCarnicaPLANO10,6</v>
      </c>
      <c r="C449" s="1" t="str">
        <f t="shared" si="31"/>
        <v>ValenciaCarnicaFPC10,6</v>
      </c>
      <c r="D449" s="1" t="s">
        <v>24</v>
      </c>
      <c r="E449" s="1" t="s">
        <v>12</v>
      </c>
      <c r="F449" s="1">
        <v>0.6</v>
      </c>
      <c r="G449" s="1">
        <f t="shared" si="32"/>
        <v>120</v>
      </c>
      <c r="H449" s="1">
        <f t="shared" si="33"/>
        <v>60</v>
      </c>
      <c r="I449" s="1" t="str">
        <f t="shared" si="34"/>
        <v>FPC1</v>
      </c>
      <c r="J449" s="1" t="s">
        <v>17</v>
      </c>
      <c r="K449" s="2">
        <v>6736.6098532315091</v>
      </c>
      <c r="L449" s="2">
        <v>404.99324450863355</v>
      </c>
      <c r="M449" s="3">
        <v>0.45774998248531401</v>
      </c>
      <c r="N449" s="2">
        <v>339.73601152502965</v>
      </c>
    </row>
    <row r="450" spans="1:14" x14ac:dyDescent="0.3">
      <c r="A450" s="1">
        <v>448</v>
      </c>
      <c r="B450" s="1" t="str">
        <f t="shared" si="35"/>
        <v>ValenciaCarnicaPLANO10,75</v>
      </c>
      <c r="C450" s="1" t="str">
        <f t="shared" si="31"/>
        <v>ValenciaCarnicaFPC10,75</v>
      </c>
      <c r="D450" s="1" t="s">
        <v>24</v>
      </c>
      <c r="E450" s="1" t="s">
        <v>12</v>
      </c>
      <c r="F450" s="1">
        <v>0.75</v>
      </c>
      <c r="G450" s="1">
        <f t="shared" si="32"/>
        <v>120</v>
      </c>
      <c r="H450" s="1">
        <f t="shared" si="33"/>
        <v>60</v>
      </c>
      <c r="I450" s="1" t="str">
        <f t="shared" si="34"/>
        <v>FPC1</v>
      </c>
      <c r="J450" s="1" t="s">
        <v>17</v>
      </c>
      <c r="K450" s="2">
        <v>8787.3869492975318</v>
      </c>
      <c r="L450" s="2">
        <v>373.46784957127238</v>
      </c>
      <c r="M450" s="3">
        <v>0.54201522855711093</v>
      </c>
      <c r="N450" s="2">
        <v>308.39432780741492</v>
      </c>
    </row>
    <row r="451" spans="1:14" x14ac:dyDescent="0.3">
      <c r="A451" s="1">
        <v>449</v>
      </c>
      <c r="B451" s="1" t="str">
        <f t="shared" si="35"/>
        <v>ValenciaFarmaceuticaPLANO10,3</v>
      </c>
      <c r="C451" s="1" t="str">
        <f t="shared" si="31"/>
        <v>ValenciaFarmaceuticaFPC10,3</v>
      </c>
      <c r="D451" s="1" t="s">
        <v>24</v>
      </c>
      <c r="E451" s="1" t="s">
        <v>15</v>
      </c>
      <c r="F451" s="1">
        <v>0.3</v>
      </c>
      <c r="G451" s="1">
        <f t="shared" si="32"/>
        <v>120</v>
      </c>
      <c r="H451" s="1">
        <f t="shared" si="33"/>
        <v>60</v>
      </c>
      <c r="I451" s="1" t="str">
        <f t="shared" si="34"/>
        <v>FPC1</v>
      </c>
      <c r="J451" s="1" t="s">
        <v>17</v>
      </c>
      <c r="K451" s="2">
        <v>3109.5294643570091</v>
      </c>
      <c r="L451" s="2">
        <v>466.96896871782968</v>
      </c>
      <c r="M451" s="3">
        <v>0.24835786123643641</v>
      </c>
      <c r="N451" s="2">
        <v>399.32806621152901</v>
      </c>
    </row>
    <row r="452" spans="1:14" x14ac:dyDescent="0.3">
      <c r="A452" s="1">
        <v>450</v>
      </c>
      <c r="B452" s="1" t="str">
        <f t="shared" si="35"/>
        <v>ValenciaFarmaceuticaPLANO10,45</v>
      </c>
      <c r="C452" s="1" t="str">
        <f t="shared" ref="C452:C502" si="36">_xlfn.CONCAT(D452,E452,I452,F452)</f>
        <v>ValenciaFarmaceuticaFPC10,45</v>
      </c>
      <c r="D452" s="1" t="s">
        <v>24</v>
      </c>
      <c r="E452" s="1" t="s">
        <v>15</v>
      </c>
      <c r="F452" s="1">
        <v>0.45</v>
      </c>
      <c r="G452" s="1">
        <f t="shared" ref="G452:G502" si="37">IF(OR($E452="Secado",$E452="Bebidas"),60,120)</f>
        <v>120</v>
      </c>
      <c r="H452" s="1">
        <f t="shared" ref="H452:H502" si="38">IF(OR($E452="Secado",$E452="Bebidas"),15,60)</f>
        <v>60</v>
      </c>
      <c r="I452" s="1" t="str">
        <f t="shared" ref="I452:I502" si="39">IF(J452="AIRE","Aire",IF(J452="ETC","ETC",IF(J452="PLANO1","FPC1",IF(J452="PLANO2","FPC2",IF(J452="WESSUN","WeSSun")))))</f>
        <v>FPC1</v>
      </c>
      <c r="J452" s="1" t="s">
        <v>17</v>
      </c>
      <c r="K452" s="2">
        <v>4850.4493903248804</v>
      </c>
      <c r="L452" s="2">
        <v>438.48540992388416</v>
      </c>
      <c r="M452" s="3">
        <v>0.36161846249695073</v>
      </c>
      <c r="N452" s="2">
        <v>372.74791082911696</v>
      </c>
    </row>
    <row r="453" spans="1:14" x14ac:dyDescent="0.3">
      <c r="A453" s="1">
        <v>451</v>
      </c>
      <c r="B453" s="1" t="str">
        <f t="shared" si="35"/>
        <v>ValenciaFarmaceuticaPLANO10,6</v>
      </c>
      <c r="C453" s="1" t="str">
        <f t="shared" si="36"/>
        <v>ValenciaFarmaceuticaFPC10,6</v>
      </c>
      <c r="D453" s="1" t="s">
        <v>24</v>
      </c>
      <c r="E453" s="1" t="s">
        <v>15</v>
      </c>
      <c r="F453" s="1">
        <v>0.6</v>
      </c>
      <c r="G453" s="1">
        <f t="shared" si="37"/>
        <v>120</v>
      </c>
      <c r="H453" s="1">
        <f t="shared" si="38"/>
        <v>60</v>
      </c>
      <c r="I453" s="1" t="str">
        <f t="shared" si="39"/>
        <v>FPC1</v>
      </c>
      <c r="J453" s="1" t="s">
        <v>17</v>
      </c>
      <c r="K453" s="2">
        <v>6736.6098532315091</v>
      </c>
      <c r="L453" s="2">
        <v>405.15011145339417</v>
      </c>
      <c r="M453" s="3">
        <v>0.45798553719613011</v>
      </c>
      <c r="N453" s="2">
        <v>339.90454171311757</v>
      </c>
    </row>
    <row r="454" spans="1:14" x14ac:dyDescent="0.3">
      <c r="A454" s="1">
        <v>452</v>
      </c>
      <c r="B454" s="1" t="str">
        <f t="shared" si="35"/>
        <v>ValenciaFarmaceuticaPLANO10,75</v>
      </c>
      <c r="C454" s="1" t="str">
        <f t="shared" si="36"/>
        <v>ValenciaFarmaceuticaFPC10,75</v>
      </c>
      <c r="D454" s="1" t="s">
        <v>24</v>
      </c>
      <c r="E454" s="1" t="s">
        <v>15</v>
      </c>
      <c r="F454" s="1">
        <v>0.75</v>
      </c>
      <c r="G454" s="1">
        <f t="shared" si="37"/>
        <v>120</v>
      </c>
      <c r="H454" s="1">
        <f t="shared" si="38"/>
        <v>60</v>
      </c>
      <c r="I454" s="1" t="str">
        <f t="shared" si="39"/>
        <v>FPC1</v>
      </c>
      <c r="J454" s="1" t="s">
        <v>17</v>
      </c>
      <c r="K454" s="2">
        <v>8787.3869492975318</v>
      </c>
      <c r="L454" s="2">
        <v>373.6020800091772</v>
      </c>
      <c r="M454" s="3">
        <v>0.54227455365922306</v>
      </c>
      <c r="N454" s="2">
        <v>308.5361634481377</v>
      </c>
    </row>
    <row r="455" spans="1:14" x14ac:dyDescent="0.3">
      <c r="A455" s="1">
        <v>453</v>
      </c>
      <c r="B455" s="1" t="str">
        <f t="shared" si="35"/>
        <v>ValenciaLacteosPLANO10,3</v>
      </c>
      <c r="C455" s="1" t="str">
        <f t="shared" si="36"/>
        <v>ValenciaLacteosFPC10,3</v>
      </c>
      <c r="D455" s="1" t="s">
        <v>24</v>
      </c>
      <c r="E455" s="1" t="s">
        <v>14</v>
      </c>
      <c r="F455" s="1">
        <v>0.3</v>
      </c>
      <c r="G455" s="1">
        <f t="shared" si="37"/>
        <v>120</v>
      </c>
      <c r="H455" s="1">
        <f t="shared" si="38"/>
        <v>60</v>
      </c>
      <c r="I455" s="1" t="str">
        <f t="shared" si="39"/>
        <v>FPC1</v>
      </c>
      <c r="J455" s="1" t="s">
        <v>17</v>
      </c>
      <c r="K455" s="2">
        <v>3109.5294643570091</v>
      </c>
      <c r="L455" s="2">
        <v>459.68186940439318</v>
      </c>
      <c r="M455" s="3">
        <v>0.25584556043370416</v>
      </c>
      <c r="N455" s="2">
        <v>411.42727480785805</v>
      </c>
    </row>
    <row r="456" spans="1:14" x14ac:dyDescent="0.3">
      <c r="A456" s="1">
        <v>454</v>
      </c>
      <c r="B456" s="1" t="str">
        <f t="shared" si="35"/>
        <v>ValenciaLacteosPLANO10,45</v>
      </c>
      <c r="C456" s="1" t="str">
        <f t="shared" si="36"/>
        <v>ValenciaLacteosFPC10,45</v>
      </c>
      <c r="D456" s="1" t="s">
        <v>24</v>
      </c>
      <c r="E456" s="1" t="s">
        <v>14</v>
      </c>
      <c r="F456" s="1">
        <v>0.45</v>
      </c>
      <c r="G456" s="1">
        <f t="shared" si="37"/>
        <v>120</v>
      </c>
      <c r="H456" s="1">
        <f t="shared" si="38"/>
        <v>60</v>
      </c>
      <c r="I456" s="1" t="str">
        <f t="shared" si="39"/>
        <v>FPC1</v>
      </c>
      <c r="J456" s="1" t="s">
        <v>17</v>
      </c>
      <c r="K456" s="2">
        <v>4850.4493903248804</v>
      </c>
      <c r="L456" s="2">
        <v>430.36859361088648</v>
      </c>
      <c r="M456" s="3">
        <v>0.37217662384195149</v>
      </c>
      <c r="N456" s="2">
        <v>383.68691143064126</v>
      </c>
    </row>
    <row r="457" spans="1:14" x14ac:dyDescent="0.3">
      <c r="A457" s="1">
        <v>455</v>
      </c>
      <c r="B457" s="1" t="str">
        <f t="shared" si="35"/>
        <v>ValenciaLacteosPLANO10,6</v>
      </c>
      <c r="C457" s="1" t="str">
        <f t="shared" si="36"/>
        <v>ValenciaLacteosFPC10,6</v>
      </c>
      <c r="D457" s="1" t="s">
        <v>24</v>
      </c>
      <c r="E457" s="1" t="s">
        <v>14</v>
      </c>
      <c r="F457" s="1">
        <v>0.6</v>
      </c>
      <c r="G457" s="1">
        <f t="shared" si="37"/>
        <v>120</v>
      </c>
      <c r="H457" s="1">
        <f t="shared" si="38"/>
        <v>60</v>
      </c>
      <c r="I457" s="1" t="str">
        <f t="shared" si="39"/>
        <v>FPC1</v>
      </c>
      <c r="J457" s="1" t="s">
        <v>17</v>
      </c>
      <c r="K457" s="2">
        <v>6736.6098532315091</v>
      </c>
      <c r="L457" s="2">
        <v>397.0230692691062</v>
      </c>
      <c r="M457" s="3">
        <v>0.47266537806982906</v>
      </c>
      <c r="N457" s="2">
        <v>350.85063435151159</v>
      </c>
    </row>
    <row r="458" spans="1:14" x14ac:dyDescent="0.3">
      <c r="A458" s="1">
        <v>456</v>
      </c>
      <c r="B458" s="1" t="str">
        <f t="shared" si="35"/>
        <v>ValenciaLacteosPLANO10,75</v>
      </c>
      <c r="C458" s="1" t="str">
        <f t="shared" si="36"/>
        <v>ValenciaLacteosFPC10,75</v>
      </c>
      <c r="D458" s="1" t="s">
        <v>24</v>
      </c>
      <c r="E458" s="1" t="s">
        <v>14</v>
      </c>
      <c r="F458" s="1">
        <v>0.75</v>
      </c>
      <c r="G458" s="1">
        <f t="shared" si="37"/>
        <v>120</v>
      </c>
      <c r="H458" s="1">
        <f t="shared" si="38"/>
        <v>60</v>
      </c>
      <c r="I458" s="1" t="str">
        <f t="shared" si="39"/>
        <v>FPC1</v>
      </c>
      <c r="J458" s="1" t="s">
        <v>17</v>
      </c>
      <c r="K458" s="2">
        <v>8787.3869492975318</v>
      </c>
      <c r="L458" s="2">
        <v>364.97234487309237</v>
      </c>
      <c r="M458" s="3">
        <v>0.56046899409274731</v>
      </c>
      <c r="N458" s="2">
        <v>318.93465462526069</v>
      </c>
    </row>
    <row r="459" spans="1:14" x14ac:dyDescent="0.3">
      <c r="A459" s="1">
        <v>457</v>
      </c>
      <c r="B459" s="1" t="str">
        <f t="shared" si="35"/>
        <v>ValenciaSecadoPLANO10,3</v>
      </c>
      <c r="C459" s="1" t="str">
        <f t="shared" si="36"/>
        <v>ValenciaSecadoFPC10,3</v>
      </c>
      <c r="D459" s="1" t="s">
        <v>24</v>
      </c>
      <c r="E459" s="1" t="s">
        <v>11</v>
      </c>
      <c r="F459" s="1">
        <v>0.3</v>
      </c>
      <c r="G459" s="1">
        <f t="shared" si="37"/>
        <v>60</v>
      </c>
      <c r="H459" s="1">
        <f t="shared" si="38"/>
        <v>15</v>
      </c>
      <c r="I459" s="1" t="str">
        <f t="shared" si="39"/>
        <v>FPC1</v>
      </c>
      <c r="J459" s="1" t="s">
        <v>17</v>
      </c>
      <c r="K459" s="2">
        <v>1657.5259727994005</v>
      </c>
      <c r="L459" s="2">
        <v>977.88378793047434</v>
      </c>
      <c r="M459" s="3">
        <v>0.31935006900806595</v>
      </c>
      <c r="N459" s="2">
        <v>963.33352892188282</v>
      </c>
    </row>
    <row r="460" spans="1:14" x14ac:dyDescent="0.3">
      <c r="A460" s="1">
        <v>458</v>
      </c>
      <c r="B460" s="1" t="str">
        <f t="shared" si="35"/>
        <v>ValenciaSecadoPLANO10,45</v>
      </c>
      <c r="C460" s="1" t="str">
        <f t="shared" si="36"/>
        <v>ValenciaSecadoFPC10,45</v>
      </c>
      <c r="D460" s="1" t="s">
        <v>24</v>
      </c>
      <c r="E460" s="1" t="s">
        <v>11</v>
      </c>
      <c r="F460" s="1">
        <v>0.45</v>
      </c>
      <c r="G460" s="1">
        <f t="shared" si="37"/>
        <v>60</v>
      </c>
      <c r="H460" s="1">
        <f t="shared" si="38"/>
        <v>15</v>
      </c>
      <c r="I460" s="1" t="str">
        <f t="shared" si="39"/>
        <v>FPC1</v>
      </c>
      <c r="J460" s="1" t="s">
        <v>17</v>
      </c>
      <c r="K460" s="2">
        <v>2536.0031127885895</v>
      </c>
      <c r="L460" s="2">
        <v>949.92556629984517</v>
      </c>
      <c r="M460" s="3">
        <v>0.47170754573151413</v>
      </c>
      <c r="N460" s="2">
        <v>930.02162189667285</v>
      </c>
    </row>
    <row r="461" spans="1:14" x14ac:dyDescent="0.3">
      <c r="A461" s="1">
        <v>459</v>
      </c>
      <c r="B461" s="1" t="str">
        <f t="shared" si="35"/>
        <v>ValenciaSecadoPLANO10,6</v>
      </c>
      <c r="C461" s="1" t="str">
        <f t="shared" si="36"/>
        <v>ValenciaSecadoFPC10,6</v>
      </c>
      <c r="D461" s="1" t="s">
        <v>24</v>
      </c>
      <c r="E461" s="1" t="s">
        <v>11</v>
      </c>
      <c r="F461" s="1">
        <v>0.6</v>
      </c>
      <c r="G461" s="1">
        <f t="shared" si="37"/>
        <v>60</v>
      </c>
      <c r="H461" s="1">
        <f t="shared" si="38"/>
        <v>15</v>
      </c>
      <c r="I461" s="1" t="str">
        <f t="shared" si="39"/>
        <v>FPC1</v>
      </c>
      <c r="J461" s="1" t="s">
        <v>17</v>
      </c>
      <c r="K461" s="2">
        <v>3450.459417558171</v>
      </c>
      <c r="L461" s="2">
        <v>905.03740934511598</v>
      </c>
      <c r="M461" s="3">
        <v>0.60683377821881346</v>
      </c>
      <c r="N461" s="2">
        <v>879.35214508680713</v>
      </c>
    </row>
    <row r="462" spans="1:14" x14ac:dyDescent="0.3">
      <c r="A462" s="1">
        <v>460</v>
      </c>
      <c r="B462" s="1" t="str">
        <f t="shared" si="35"/>
        <v>ValenciaSecadoPLANO10,75</v>
      </c>
      <c r="C462" s="1" t="str">
        <f t="shared" si="36"/>
        <v>ValenciaSecadoFPC10,75</v>
      </c>
      <c r="D462" s="1" t="s">
        <v>24</v>
      </c>
      <c r="E462" s="1" t="s">
        <v>11</v>
      </c>
      <c r="F462" s="1">
        <v>0.75</v>
      </c>
      <c r="G462" s="1">
        <f t="shared" si="37"/>
        <v>60</v>
      </c>
      <c r="H462" s="1">
        <f t="shared" si="38"/>
        <v>15</v>
      </c>
      <c r="I462" s="1" t="str">
        <f t="shared" si="39"/>
        <v>FPC1</v>
      </c>
      <c r="J462" s="1" t="s">
        <v>17</v>
      </c>
      <c r="K462" s="2">
        <v>4403.2542493304409</v>
      </c>
      <c r="L462" s="2">
        <v>849.08094010627349</v>
      </c>
      <c r="M462" s="3">
        <v>0.72038728129263052</v>
      </c>
      <c r="N462" s="2">
        <v>818.01690332668727</v>
      </c>
    </row>
    <row r="463" spans="1:14" x14ac:dyDescent="0.3">
      <c r="A463" s="1">
        <v>461</v>
      </c>
      <c r="B463" s="1" t="str">
        <f t="shared" si="35"/>
        <v>ValenciaBebidasPLANO20,3</v>
      </c>
      <c r="C463" s="1" t="str">
        <f t="shared" si="36"/>
        <v>ValenciaBebidasFPC20,3</v>
      </c>
      <c r="D463" s="1" t="s">
        <v>24</v>
      </c>
      <c r="E463" s="1" t="s">
        <v>13</v>
      </c>
      <c r="F463" s="1">
        <v>0.3</v>
      </c>
      <c r="G463" s="1">
        <f t="shared" si="37"/>
        <v>60</v>
      </c>
      <c r="H463" s="1">
        <f t="shared" si="38"/>
        <v>15</v>
      </c>
      <c r="I463" s="1" t="str">
        <f t="shared" si="39"/>
        <v>FPC2</v>
      </c>
      <c r="J463" s="1" t="s">
        <v>18</v>
      </c>
      <c r="K463" s="2">
        <v>1538.2625019651202</v>
      </c>
      <c r="L463" s="2">
        <v>1045.7237190919245</v>
      </c>
      <c r="M463" s="3">
        <v>0.31713060930145931</v>
      </c>
      <c r="N463" s="2">
        <v>1030.7766275632193</v>
      </c>
    </row>
    <row r="464" spans="1:14" x14ac:dyDescent="0.3">
      <c r="A464" s="1">
        <v>462</v>
      </c>
      <c r="B464" s="1" t="str">
        <f t="shared" si="35"/>
        <v>ValenciaBebidasPLANO20,45</v>
      </c>
      <c r="C464" s="1" t="str">
        <f t="shared" si="36"/>
        <v>ValenciaBebidasFPC20,45</v>
      </c>
      <c r="D464" s="1" t="s">
        <v>24</v>
      </c>
      <c r="E464" s="1" t="s">
        <v>13</v>
      </c>
      <c r="F464" s="1">
        <v>0.45</v>
      </c>
      <c r="G464" s="1">
        <f t="shared" si="37"/>
        <v>60</v>
      </c>
      <c r="H464" s="1">
        <f t="shared" si="38"/>
        <v>15</v>
      </c>
      <c r="I464" s="1" t="str">
        <f t="shared" si="39"/>
        <v>FPC2</v>
      </c>
      <c r="J464" s="1" t="s">
        <v>18</v>
      </c>
      <c r="K464" s="2">
        <v>2350.9942561017097</v>
      </c>
      <c r="L464" s="2">
        <v>1020.4812192842171</v>
      </c>
      <c r="M464" s="3">
        <v>0.47031861780056722</v>
      </c>
      <c r="N464" s="2">
        <v>1000.2244277568128</v>
      </c>
    </row>
    <row r="465" spans="1:14" x14ac:dyDescent="0.3">
      <c r="A465" s="1">
        <v>463</v>
      </c>
      <c r="B465" s="1" t="str">
        <f t="shared" si="35"/>
        <v>ValenciaBebidasPLANO20,6</v>
      </c>
      <c r="C465" s="1" t="str">
        <f t="shared" si="36"/>
        <v>ValenciaBebidasFPC20,6</v>
      </c>
      <c r="D465" s="1" t="s">
        <v>24</v>
      </c>
      <c r="E465" s="1" t="s">
        <v>13</v>
      </c>
      <c r="F465" s="1">
        <v>0.6</v>
      </c>
      <c r="G465" s="1">
        <f t="shared" si="37"/>
        <v>60</v>
      </c>
      <c r="H465" s="1">
        <f t="shared" si="38"/>
        <v>15</v>
      </c>
      <c r="I465" s="1" t="str">
        <f t="shared" si="39"/>
        <v>FPC2</v>
      </c>
      <c r="J465" s="1" t="s">
        <v>18</v>
      </c>
      <c r="K465" s="2">
        <v>3195.9445633270593</v>
      </c>
      <c r="L465" s="2">
        <v>978.17495960527378</v>
      </c>
      <c r="M465" s="3">
        <v>0.60848952897652653</v>
      </c>
      <c r="N465" s="2">
        <v>951.9425201188086</v>
      </c>
    </row>
    <row r="466" spans="1:14" x14ac:dyDescent="0.3">
      <c r="A466" s="1">
        <v>464</v>
      </c>
      <c r="B466" s="1" t="str">
        <f t="shared" si="35"/>
        <v>ValenciaBebidasPLANO20,75</v>
      </c>
      <c r="C466" s="1" t="str">
        <f t="shared" si="36"/>
        <v>ValenciaBebidasFPC20,75</v>
      </c>
      <c r="D466" s="1" t="s">
        <v>24</v>
      </c>
      <c r="E466" s="1" t="s">
        <v>13</v>
      </c>
      <c r="F466" s="1">
        <v>0.75</v>
      </c>
      <c r="G466" s="1">
        <f t="shared" si="37"/>
        <v>60</v>
      </c>
      <c r="H466" s="1">
        <f t="shared" si="38"/>
        <v>15</v>
      </c>
      <c r="I466" s="1" t="str">
        <f t="shared" si="39"/>
        <v>FPC2</v>
      </c>
      <c r="J466" s="1" t="s">
        <v>18</v>
      </c>
      <c r="K466" s="2">
        <v>4075.7797681219695</v>
      </c>
      <c r="L466" s="2">
        <v>921.82435276519072</v>
      </c>
      <c r="M466" s="3">
        <v>0.72534079674174612</v>
      </c>
      <c r="N466" s="2">
        <v>889.79149415924803</v>
      </c>
    </row>
    <row r="467" spans="1:14" x14ac:dyDescent="0.3">
      <c r="A467" s="1">
        <v>465</v>
      </c>
      <c r="B467" s="1" t="str">
        <f t="shared" si="35"/>
        <v>ValenciaCarnicaPLANO20,3</v>
      </c>
      <c r="C467" s="1" t="str">
        <f t="shared" si="36"/>
        <v>ValenciaCarnicaFPC20,3</v>
      </c>
      <c r="D467" s="1" t="s">
        <v>24</v>
      </c>
      <c r="E467" s="1" t="s">
        <v>12</v>
      </c>
      <c r="F467" s="1">
        <v>0.3</v>
      </c>
      <c r="G467" s="1">
        <f t="shared" si="37"/>
        <v>120</v>
      </c>
      <c r="H467" s="1">
        <f t="shared" si="38"/>
        <v>60</v>
      </c>
      <c r="I467" s="1" t="str">
        <f t="shared" si="39"/>
        <v>FPC2</v>
      </c>
      <c r="J467" s="1" t="s">
        <v>18</v>
      </c>
      <c r="K467" s="2">
        <v>3103.4822847506198</v>
      </c>
      <c r="L467" s="2">
        <v>494.95272420545012</v>
      </c>
      <c r="M467" s="3">
        <v>0.26472018304680295</v>
      </c>
      <c r="N467" s="2">
        <v>426.47387031542365</v>
      </c>
    </row>
    <row r="468" spans="1:14" x14ac:dyDescent="0.3">
      <c r="A468" s="1">
        <v>466</v>
      </c>
      <c r="B468" s="1" t="str">
        <f t="shared" si="35"/>
        <v>ValenciaCarnicaPLANO20,45</v>
      </c>
      <c r="C468" s="1" t="str">
        <f t="shared" si="36"/>
        <v>ValenciaCarnicaFPC20,45</v>
      </c>
      <c r="D468" s="1" t="s">
        <v>24</v>
      </c>
      <c r="E468" s="1" t="s">
        <v>12</v>
      </c>
      <c r="F468" s="1">
        <v>0.45</v>
      </c>
      <c r="G468" s="1">
        <f t="shared" si="37"/>
        <v>120</v>
      </c>
      <c r="H468" s="1">
        <f t="shared" si="38"/>
        <v>60</v>
      </c>
      <c r="I468" s="1" t="str">
        <f t="shared" si="39"/>
        <v>FPC2</v>
      </c>
      <c r="J468" s="1" t="s">
        <v>18</v>
      </c>
      <c r="K468" s="2">
        <v>4902.0658739299806</v>
      </c>
      <c r="L468" s="2">
        <v>459.0419593993613</v>
      </c>
      <c r="M468" s="3">
        <v>0.38489169657701772</v>
      </c>
      <c r="N468" s="2">
        <v>392.56722923234247</v>
      </c>
    </row>
    <row r="469" spans="1:14" x14ac:dyDescent="0.3">
      <c r="A469" s="1">
        <v>467</v>
      </c>
      <c r="B469" s="1" t="str">
        <f t="shared" si="35"/>
        <v>ValenciaCarnicaPLANO20,6</v>
      </c>
      <c r="C469" s="1" t="str">
        <f t="shared" si="36"/>
        <v>ValenciaCarnicaFPC20,6</v>
      </c>
      <c r="D469" s="1" t="s">
        <v>24</v>
      </c>
      <c r="E469" s="1" t="s">
        <v>12</v>
      </c>
      <c r="F469" s="1">
        <v>0.6</v>
      </c>
      <c r="G469" s="1">
        <f t="shared" si="37"/>
        <v>120</v>
      </c>
      <c r="H469" s="1">
        <f t="shared" si="38"/>
        <v>60</v>
      </c>
      <c r="I469" s="1" t="str">
        <f t="shared" si="39"/>
        <v>FPC2</v>
      </c>
      <c r="J469" s="1" t="s">
        <v>18</v>
      </c>
      <c r="K469" s="2">
        <v>6906.3274146227623</v>
      </c>
      <c r="L469" s="2">
        <v>417.45784495569796</v>
      </c>
      <c r="M469" s="3">
        <v>0.48540710880260357</v>
      </c>
      <c r="N469" s="2">
        <v>351.40959263345803</v>
      </c>
    </row>
    <row r="470" spans="1:14" x14ac:dyDescent="0.3">
      <c r="A470" s="1">
        <v>468</v>
      </c>
      <c r="B470" s="1" t="str">
        <f t="shared" si="35"/>
        <v>ValenciaCarnicaPLANO20,75</v>
      </c>
      <c r="C470" s="1" t="str">
        <f t="shared" si="36"/>
        <v>ValenciaCarnicaFPC20,75</v>
      </c>
      <c r="D470" s="1" t="s">
        <v>24</v>
      </c>
      <c r="E470" s="1" t="s">
        <v>12</v>
      </c>
      <c r="F470" s="1">
        <v>0.75</v>
      </c>
      <c r="G470" s="1">
        <f t="shared" si="37"/>
        <v>120</v>
      </c>
      <c r="H470" s="1">
        <f t="shared" si="38"/>
        <v>60</v>
      </c>
      <c r="I470" s="1" t="str">
        <f t="shared" si="39"/>
        <v>FPC2</v>
      </c>
      <c r="J470" s="1" t="s">
        <v>18</v>
      </c>
      <c r="K470" s="2">
        <v>8897.0251195048313</v>
      </c>
      <c r="L470" s="2">
        <v>382.5387493230628</v>
      </c>
      <c r="M470" s="3">
        <v>0.56374944209753053</v>
      </c>
      <c r="N470" s="2">
        <v>316.80786304633506</v>
      </c>
    </row>
    <row r="471" spans="1:14" x14ac:dyDescent="0.3">
      <c r="A471" s="1">
        <v>469</v>
      </c>
      <c r="B471" s="1" t="str">
        <f t="shared" si="35"/>
        <v>ValenciaFarmaceuticaPLANO20,3</v>
      </c>
      <c r="C471" s="1" t="str">
        <f t="shared" si="36"/>
        <v>ValenciaFarmaceuticaFPC20,3</v>
      </c>
      <c r="D471" s="1" t="s">
        <v>24</v>
      </c>
      <c r="E471" s="1" t="s">
        <v>15</v>
      </c>
      <c r="F471" s="1">
        <v>0.3</v>
      </c>
      <c r="G471" s="1">
        <f t="shared" si="37"/>
        <v>120</v>
      </c>
      <c r="H471" s="1">
        <f t="shared" si="38"/>
        <v>60</v>
      </c>
      <c r="I471" s="1" t="str">
        <f t="shared" si="39"/>
        <v>FPC2</v>
      </c>
      <c r="J471" s="1" t="s">
        <v>18</v>
      </c>
      <c r="K471" s="2">
        <v>3103.4822847506198</v>
      </c>
      <c r="L471" s="2">
        <v>495.08627512141277</v>
      </c>
      <c r="M471" s="3">
        <v>0.26483139563676078</v>
      </c>
      <c r="N471" s="2">
        <v>426.64513590242706</v>
      </c>
    </row>
    <row r="472" spans="1:14" x14ac:dyDescent="0.3">
      <c r="A472" s="1">
        <v>470</v>
      </c>
      <c r="B472" s="1" t="str">
        <f t="shared" ref="B472:B502" si="40">_xlfn.CONCAT(D472,E472,J472,F472)</f>
        <v>ValenciaFarmaceuticaPLANO20,45</v>
      </c>
      <c r="C472" s="1" t="str">
        <f t="shared" si="36"/>
        <v>ValenciaFarmaceuticaFPC20,45</v>
      </c>
      <c r="D472" s="1" t="s">
        <v>24</v>
      </c>
      <c r="E472" s="1" t="s">
        <v>15</v>
      </c>
      <c r="F472" s="1">
        <v>0.45</v>
      </c>
      <c r="G472" s="1">
        <f t="shared" si="37"/>
        <v>120</v>
      </c>
      <c r="H472" s="1">
        <f t="shared" si="38"/>
        <v>60</v>
      </c>
      <c r="I472" s="1" t="str">
        <f t="shared" si="39"/>
        <v>FPC2</v>
      </c>
      <c r="J472" s="1" t="s">
        <v>18</v>
      </c>
      <c r="K472" s="2">
        <v>4902.0658739299806</v>
      </c>
      <c r="L472" s="2">
        <v>459.19683042608995</v>
      </c>
      <c r="M472" s="3">
        <v>0.38507463732638536</v>
      </c>
      <c r="N472" s="2">
        <v>392.74654408537106</v>
      </c>
    </row>
    <row r="473" spans="1:14" x14ac:dyDescent="0.3">
      <c r="A473" s="1">
        <v>471</v>
      </c>
      <c r="B473" s="1" t="str">
        <f t="shared" si="40"/>
        <v>ValenciaFarmaceuticaPLANO20,6</v>
      </c>
      <c r="C473" s="1" t="str">
        <f t="shared" si="36"/>
        <v>ValenciaFarmaceuticaFPC20,6</v>
      </c>
      <c r="D473" s="1" t="s">
        <v>24</v>
      </c>
      <c r="E473" s="1" t="s">
        <v>15</v>
      </c>
      <c r="F473" s="1">
        <v>0.6</v>
      </c>
      <c r="G473" s="1">
        <f t="shared" si="37"/>
        <v>120</v>
      </c>
      <c r="H473" s="1">
        <f t="shared" si="38"/>
        <v>60</v>
      </c>
      <c r="I473" s="1" t="str">
        <f t="shared" si="39"/>
        <v>FPC2</v>
      </c>
      <c r="J473" s="1" t="s">
        <v>18</v>
      </c>
      <c r="K473" s="2">
        <v>6906.3274146227623</v>
      </c>
      <c r="L473" s="2">
        <v>417.60704169789312</v>
      </c>
      <c r="M473" s="3">
        <v>0.48563609983822781</v>
      </c>
      <c r="N473" s="2">
        <v>351.56885882277533</v>
      </c>
    </row>
    <row r="474" spans="1:14" x14ac:dyDescent="0.3">
      <c r="A474" s="1">
        <v>472</v>
      </c>
      <c r="B474" s="1" t="str">
        <f t="shared" si="40"/>
        <v>ValenciaFarmaceuticaPLANO20,75</v>
      </c>
      <c r="C474" s="1" t="str">
        <f t="shared" si="36"/>
        <v>ValenciaFarmaceuticaFPC20,75</v>
      </c>
      <c r="D474" s="1" t="s">
        <v>24</v>
      </c>
      <c r="E474" s="1" t="s">
        <v>15</v>
      </c>
      <c r="F474" s="1">
        <v>0.75</v>
      </c>
      <c r="G474" s="1">
        <f t="shared" si="37"/>
        <v>120</v>
      </c>
      <c r="H474" s="1">
        <f t="shared" si="38"/>
        <v>60</v>
      </c>
      <c r="I474" s="1" t="str">
        <f t="shared" si="39"/>
        <v>FPC2</v>
      </c>
      <c r="J474" s="1" t="s">
        <v>18</v>
      </c>
      <c r="K474" s="2">
        <v>8897.0251195048313</v>
      </c>
      <c r="L474" s="2">
        <v>382.67079137491106</v>
      </c>
      <c r="M474" s="3">
        <v>0.56400805439076551</v>
      </c>
      <c r="N474" s="2">
        <v>316.94732406687615</v>
      </c>
    </row>
    <row r="475" spans="1:14" x14ac:dyDescent="0.3">
      <c r="A475" s="1">
        <v>473</v>
      </c>
      <c r="B475" s="1" t="str">
        <f t="shared" si="40"/>
        <v>ValenciaLacteosPLANO20,3</v>
      </c>
      <c r="C475" s="1" t="str">
        <f t="shared" si="36"/>
        <v>ValenciaLacteosFPC20,3</v>
      </c>
      <c r="D475" s="1" t="s">
        <v>24</v>
      </c>
      <c r="E475" s="1" t="s">
        <v>14</v>
      </c>
      <c r="F475" s="1">
        <v>0.3</v>
      </c>
      <c r="G475" s="1">
        <f t="shared" si="37"/>
        <v>120</v>
      </c>
      <c r="H475" s="1">
        <f t="shared" si="38"/>
        <v>60</v>
      </c>
      <c r="I475" s="1" t="str">
        <f t="shared" si="39"/>
        <v>FPC2</v>
      </c>
      <c r="J475" s="1" t="s">
        <v>18</v>
      </c>
      <c r="K475" s="2">
        <v>3103.4822847506198</v>
      </c>
      <c r="L475" s="2">
        <v>487.07081114489625</v>
      </c>
      <c r="M475" s="3">
        <v>0.27200526641954831</v>
      </c>
      <c r="N475" s="2">
        <v>438.26613325856204</v>
      </c>
    </row>
    <row r="476" spans="1:14" x14ac:dyDescent="0.3">
      <c r="A476" s="1">
        <v>474</v>
      </c>
      <c r="B476" s="1" t="str">
        <f t="shared" si="40"/>
        <v>ValenciaLacteosPLANO20,45</v>
      </c>
      <c r="C476" s="1" t="str">
        <f t="shared" si="36"/>
        <v>ValenciaLacteosFPC20,45</v>
      </c>
      <c r="D476" s="1" t="s">
        <v>24</v>
      </c>
      <c r="E476" s="1" t="s">
        <v>14</v>
      </c>
      <c r="F476" s="1">
        <v>0.45</v>
      </c>
      <c r="G476" s="1">
        <f t="shared" si="37"/>
        <v>120</v>
      </c>
      <c r="H476" s="1">
        <f t="shared" si="38"/>
        <v>60</v>
      </c>
      <c r="I476" s="1" t="str">
        <f t="shared" si="39"/>
        <v>FPC2</v>
      </c>
      <c r="J476" s="1" t="s">
        <v>18</v>
      </c>
      <c r="K476" s="2">
        <v>4902.0658739299806</v>
      </c>
      <c r="L476" s="2">
        <v>450.32631978562762</v>
      </c>
      <c r="M476" s="3">
        <v>0.39521566799071067</v>
      </c>
      <c r="N476" s="2">
        <v>403.14834438173057</v>
      </c>
    </row>
    <row r="477" spans="1:14" x14ac:dyDescent="0.3">
      <c r="A477" s="1">
        <v>475</v>
      </c>
      <c r="B477" s="1" t="str">
        <f t="shared" si="40"/>
        <v>ValenciaLacteosPLANO20,6</v>
      </c>
      <c r="C477" s="1" t="str">
        <f t="shared" si="36"/>
        <v>ValenciaLacteosFPC20,6</v>
      </c>
      <c r="D477" s="1" t="s">
        <v>24</v>
      </c>
      <c r="E477" s="1" t="s">
        <v>14</v>
      </c>
      <c r="F477" s="1">
        <v>0.6</v>
      </c>
      <c r="G477" s="1">
        <f t="shared" si="37"/>
        <v>120</v>
      </c>
      <c r="H477" s="1">
        <f t="shared" si="38"/>
        <v>60</v>
      </c>
      <c r="I477" s="1" t="str">
        <f t="shared" si="39"/>
        <v>FPC2</v>
      </c>
      <c r="J477" s="1" t="s">
        <v>18</v>
      </c>
      <c r="K477" s="2">
        <v>6906.3274146227623</v>
      </c>
      <c r="L477" s="2">
        <v>408.73240383087148</v>
      </c>
      <c r="M477" s="3">
        <v>0.49999963778992501</v>
      </c>
      <c r="N477" s="2">
        <v>362.01986021135241</v>
      </c>
    </row>
    <row r="478" spans="1:14" x14ac:dyDescent="0.3">
      <c r="A478" s="1">
        <v>476</v>
      </c>
      <c r="B478" s="1" t="str">
        <f t="shared" si="40"/>
        <v>ValenciaLacteosPLANO20,75</v>
      </c>
      <c r="C478" s="1" t="str">
        <f t="shared" si="36"/>
        <v>ValenciaLacteosFPC20,75</v>
      </c>
      <c r="D478" s="1" t="s">
        <v>24</v>
      </c>
      <c r="E478" s="1" t="s">
        <v>14</v>
      </c>
      <c r="F478" s="1">
        <v>0.75</v>
      </c>
      <c r="G478" s="1">
        <f t="shared" si="37"/>
        <v>120</v>
      </c>
      <c r="H478" s="1">
        <f t="shared" si="38"/>
        <v>60</v>
      </c>
      <c r="I478" s="1" t="str">
        <f t="shared" si="39"/>
        <v>FPC2</v>
      </c>
      <c r="J478" s="1" t="s">
        <v>18</v>
      </c>
      <c r="K478" s="2">
        <v>8897.0251195048313</v>
      </c>
      <c r="L478" s="2">
        <v>373.03220063998242</v>
      </c>
      <c r="M478" s="3">
        <v>0.5810498082327259</v>
      </c>
      <c r="N478" s="2">
        <v>326.5716011647234</v>
      </c>
    </row>
    <row r="479" spans="1:14" x14ac:dyDescent="0.3">
      <c r="A479" s="1">
        <v>477</v>
      </c>
      <c r="B479" s="1" t="str">
        <f t="shared" si="40"/>
        <v>ValenciaSecadoPLANO20,3</v>
      </c>
      <c r="C479" s="1" t="str">
        <f t="shared" si="36"/>
        <v>ValenciaSecadoFPC20,3</v>
      </c>
      <c r="D479" s="1" t="s">
        <v>24</v>
      </c>
      <c r="E479" s="1" t="s">
        <v>11</v>
      </c>
      <c r="F479" s="1">
        <v>0.3</v>
      </c>
      <c r="G479" s="1">
        <f t="shared" si="37"/>
        <v>60</v>
      </c>
      <c r="H479" s="1">
        <f t="shared" si="38"/>
        <v>15</v>
      </c>
      <c r="I479" s="1" t="str">
        <f t="shared" si="39"/>
        <v>FPC2</v>
      </c>
      <c r="J479" s="1" t="s">
        <v>18</v>
      </c>
      <c r="K479" s="2">
        <v>1538.2625019651202</v>
      </c>
      <c r="L479" s="2">
        <v>1045.5324291066472</v>
      </c>
      <c r="M479" s="3">
        <v>0.31702762410046015</v>
      </c>
      <c r="N479" s="2">
        <v>1030.4730942191475</v>
      </c>
    </row>
    <row r="480" spans="1:14" x14ac:dyDescent="0.3">
      <c r="A480" s="1">
        <v>478</v>
      </c>
      <c r="B480" s="1" t="str">
        <f t="shared" si="40"/>
        <v>ValenciaSecadoPLANO20,45</v>
      </c>
      <c r="C480" s="1" t="str">
        <f t="shared" si="36"/>
        <v>ValenciaSecadoFPC20,45</v>
      </c>
      <c r="D480" s="1" t="s">
        <v>24</v>
      </c>
      <c r="E480" s="1" t="s">
        <v>11</v>
      </c>
      <c r="F480" s="1">
        <v>0.45</v>
      </c>
      <c r="G480" s="1">
        <f t="shared" si="37"/>
        <v>60</v>
      </c>
      <c r="H480" s="1">
        <f t="shared" si="38"/>
        <v>15</v>
      </c>
      <c r="I480" s="1" t="str">
        <f t="shared" si="39"/>
        <v>FPC2</v>
      </c>
      <c r="J480" s="1" t="s">
        <v>18</v>
      </c>
      <c r="K480" s="2">
        <v>2350.9942561017097</v>
      </c>
      <c r="L480" s="2">
        <v>1020.5497670199182</v>
      </c>
      <c r="M480" s="3">
        <v>0.47033549661400542</v>
      </c>
      <c r="N480" s="2">
        <v>1000.2906116853653</v>
      </c>
    </row>
    <row r="481" spans="1:14" x14ac:dyDescent="0.3">
      <c r="A481" s="1">
        <v>479</v>
      </c>
      <c r="B481" s="1" t="str">
        <f t="shared" si="40"/>
        <v>ValenciaSecadoPLANO20,6</v>
      </c>
      <c r="C481" s="1" t="str">
        <f t="shared" si="36"/>
        <v>ValenciaSecadoFPC20,6</v>
      </c>
      <c r="D481" s="1" t="s">
        <v>24</v>
      </c>
      <c r="E481" s="1" t="s">
        <v>11</v>
      </c>
      <c r="F481" s="1">
        <v>0.6</v>
      </c>
      <c r="G481" s="1">
        <f t="shared" si="37"/>
        <v>60</v>
      </c>
      <c r="H481" s="1">
        <f t="shared" si="38"/>
        <v>15</v>
      </c>
      <c r="I481" s="1" t="str">
        <f t="shared" si="39"/>
        <v>FPC2</v>
      </c>
      <c r="J481" s="1" t="s">
        <v>18</v>
      </c>
      <c r="K481" s="2">
        <v>3195.9445633270593</v>
      </c>
      <c r="L481" s="2">
        <v>978.23636388428577</v>
      </c>
      <c r="M481" s="3">
        <v>0.60851212379799613</v>
      </c>
      <c r="N481" s="2">
        <v>952.00669409961995</v>
      </c>
    </row>
    <row r="482" spans="1:14" x14ac:dyDescent="0.3">
      <c r="A482" s="1">
        <v>480</v>
      </c>
      <c r="B482" s="1" t="str">
        <f t="shared" si="40"/>
        <v>ValenciaSecadoPLANO20,75</v>
      </c>
      <c r="C482" s="1" t="str">
        <f t="shared" si="36"/>
        <v>ValenciaSecadoFPC20,75</v>
      </c>
      <c r="D482" s="1" t="s">
        <v>24</v>
      </c>
      <c r="E482" s="1" t="s">
        <v>11</v>
      </c>
      <c r="F482" s="1">
        <v>0.75</v>
      </c>
      <c r="G482" s="1">
        <f t="shared" si="37"/>
        <v>60</v>
      </c>
      <c r="H482" s="1">
        <f t="shared" si="38"/>
        <v>15</v>
      </c>
      <c r="I482" s="1" t="str">
        <f t="shared" si="39"/>
        <v>FPC2</v>
      </c>
      <c r="J482" s="1" t="s">
        <v>18</v>
      </c>
      <c r="K482" s="2">
        <v>4075.7797681219695</v>
      </c>
      <c r="L482" s="2">
        <v>921.73236537468426</v>
      </c>
      <c r="M482" s="3">
        <v>0.72523172735742003</v>
      </c>
      <c r="N482" s="2">
        <v>889.68463514071152</v>
      </c>
    </row>
    <row r="483" spans="1:14" x14ac:dyDescent="0.3">
      <c r="A483" s="1">
        <v>481</v>
      </c>
      <c r="B483" s="1" t="str">
        <f t="shared" si="40"/>
        <v>ValenciaBebidasWESSUN0,3</v>
      </c>
      <c r="C483" s="1" t="str">
        <f t="shared" si="36"/>
        <v>ValenciaBebidasWeSSun0,3</v>
      </c>
      <c r="D483" s="1" t="s">
        <v>24</v>
      </c>
      <c r="E483" s="1" t="s">
        <v>13</v>
      </c>
      <c r="F483" s="1">
        <v>0.3</v>
      </c>
      <c r="G483" s="1">
        <f t="shared" si="37"/>
        <v>60</v>
      </c>
      <c r="H483" s="1">
        <f t="shared" si="38"/>
        <v>15</v>
      </c>
      <c r="I483" s="1" t="str">
        <f t="shared" si="39"/>
        <v>WeSSun</v>
      </c>
      <c r="J483" s="1" t="s">
        <v>19</v>
      </c>
      <c r="K483" s="2">
        <v>1663.4218460762202</v>
      </c>
      <c r="L483" s="2">
        <v>936.17352761380266</v>
      </c>
      <c r="M483" s="3">
        <v>0.30663152455365833</v>
      </c>
      <c r="N483" s="2">
        <v>921.66109485896902</v>
      </c>
    </row>
    <row r="484" spans="1:14" x14ac:dyDescent="0.3">
      <c r="A484" s="1">
        <v>482</v>
      </c>
      <c r="B484" s="1" t="str">
        <f t="shared" si="40"/>
        <v>ValenciaBebidasWESSUN0,45</v>
      </c>
      <c r="C484" s="1" t="str">
        <f t="shared" si="36"/>
        <v>ValenciaBebidasWeSSun0,45</v>
      </c>
      <c r="D484" s="1" t="s">
        <v>24</v>
      </c>
      <c r="E484" s="1" t="s">
        <v>13</v>
      </c>
      <c r="F484" s="1">
        <v>0.45</v>
      </c>
      <c r="G484" s="1">
        <f t="shared" si="37"/>
        <v>60</v>
      </c>
      <c r="H484" s="1">
        <f t="shared" si="38"/>
        <v>15</v>
      </c>
      <c r="I484" s="1" t="str">
        <f t="shared" si="39"/>
        <v>WeSSun</v>
      </c>
      <c r="J484" s="1" t="s">
        <v>19</v>
      </c>
      <c r="K484" s="2">
        <v>2502.1920319534606</v>
      </c>
      <c r="L484" s="2">
        <v>930.74274796814586</v>
      </c>
      <c r="M484" s="3">
        <v>0.45557727554324229</v>
      </c>
      <c r="N484" s="2">
        <v>910.32877408284128</v>
      </c>
    </row>
    <row r="485" spans="1:14" x14ac:dyDescent="0.3">
      <c r="A485" s="1">
        <v>483</v>
      </c>
      <c r="B485" s="1" t="str">
        <f t="shared" si="40"/>
        <v>ValenciaBebidasWESSUN0,6</v>
      </c>
      <c r="C485" s="1" t="str">
        <f t="shared" si="36"/>
        <v>ValenciaBebidasWeSSun0,6</v>
      </c>
      <c r="D485" s="1" t="s">
        <v>24</v>
      </c>
      <c r="E485" s="1" t="s">
        <v>13</v>
      </c>
      <c r="F485" s="1">
        <v>0.6</v>
      </c>
      <c r="G485" s="1">
        <f t="shared" si="37"/>
        <v>60</v>
      </c>
      <c r="H485" s="1">
        <f t="shared" si="38"/>
        <v>15</v>
      </c>
      <c r="I485" s="1" t="str">
        <f t="shared" si="39"/>
        <v>WeSSun</v>
      </c>
      <c r="J485" s="1" t="s">
        <v>19</v>
      </c>
      <c r="K485" s="2">
        <v>3346.0483828689689</v>
      </c>
      <c r="L485" s="2">
        <v>921.10025099688494</v>
      </c>
      <c r="M485" s="3">
        <v>0.59815372260841104</v>
      </c>
      <c r="N485" s="2">
        <v>893.79402582706825</v>
      </c>
    </row>
    <row r="486" spans="1:14" x14ac:dyDescent="0.3">
      <c r="A486" s="1">
        <v>484</v>
      </c>
      <c r="B486" s="1" t="str">
        <f t="shared" si="40"/>
        <v>ValenciaBebidasWESSUN0,75</v>
      </c>
      <c r="C486" s="1" t="str">
        <f t="shared" si="36"/>
        <v>ValenciaBebidasWeSSun0,75</v>
      </c>
      <c r="D486" s="1" t="s">
        <v>24</v>
      </c>
      <c r="E486" s="1" t="s">
        <v>13</v>
      </c>
      <c r="F486" s="1">
        <v>0.75</v>
      </c>
      <c r="G486" s="1">
        <f t="shared" si="37"/>
        <v>60</v>
      </c>
      <c r="H486" s="1">
        <f t="shared" si="38"/>
        <v>15</v>
      </c>
      <c r="I486" s="1" t="str">
        <f t="shared" si="39"/>
        <v>WeSSun</v>
      </c>
      <c r="J486" s="1" t="s">
        <v>19</v>
      </c>
      <c r="K486" s="2">
        <v>4195.2836816587796</v>
      </c>
      <c r="L486" s="2">
        <v>905.3678736548336</v>
      </c>
      <c r="M486" s="3">
        <v>0.7299511206572783</v>
      </c>
      <c r="N486" s="2">
        <v>869.94000126579635</v>
      </c>
    </row>
    <row r="487" spans="1:14" x14ac:dyDescent="0.3">
      <c r="A487" s="1">
        <v>485</v>
      </c>
      <c r="B487" s="1" t="str">
        <f t="shared" si="40"/>
        <v>ValenciaCarnicaWESSUN0,3</v>
      </c>
      <c r="C487" s="1" t="str">
        <f t="shared" si="36"/>
        <v>ValenciaCarnicaWeSSun0,3</v>
      </c>
      <c r="D487" s="1" t="s">
        <v>24</v>
      </c>
      <c r="E487" s="1" t="s">
        <v>12</v>
      </c>
      <c r="F487" s="1">
        <v>0.3</v>
      </c>
      <c r="G487" s="1">
        <f t="shared" si="37"/>
        <v>120</v>
      </c>
      <c r="H487" s="1">
        <f t="shared" si="38"/>
        <v>60</v>
      </c>
      <c r="I487" s="1" t="str">
        <f t="shared" si="39"/>
        <v>WeSSun</v>
      </c>
      <c r="J487" s="1" t="s">
        <v>19</v>
      </c>
      <c r="K487" s="2">
        <v>1830.1803304666607</v>
      </c>
      <c r="L487" s="2">
        <v>833.03259719096513</v>
      </c>
      <c r="M487" s="3">
        <v>0.27390097896132443</v>
      </c>
      <c r="N487" s="2">
        <v>748.26312721911177</v>
      </c>
    </row>
    <row r="488" spans="1:14" x14ac:dyDescent="0.3">
      <c r="A488" s="1">
        <v>486</v>
      </c>
      <c r="B488" s="1" t="str">
        <f t="shared" si="40"/>
        <v>ValenciaCarnicaWESSUN0,45</v>
      </c>
      <c r="C488" s="1" t="str">
        <f t="shared" si="36"/>
        <v>ValenciaCarnicaWeSSun0,45</v>
      </c>
      <c r="D488" s="1" t="s">
        <v>24</v>
      </c>
      <c r="E488" s="1" t="s">
        <v>12</v>
      </c>
      <c r="F488" s="1">
        <v>0.45</v>
      </c>
      <c r="G488" s="1">
        <f t="shared" si="37"/>
        <v>120</v>
      </c>
      <c r="H488" s="1">
        <f t="shared" si="38"/>
        <v>60</v>
      </c>
      <c r="I488" s="1" t="str">
        <f t="shared" si="39"/>
        <v>WeSSun</v>
      </c>
      <c r="J488" s="1" t="s">
        <v>19</v>
      </c>
      <c r="K488" s="2">
        <v>2760.7183703935111</v>
      </c>
      <c r="L488" s="2">
        <v>823.76498550268889</v>
      </c>
      <c r="M488" s="3">
        <v>0.40869623602457272</v>
      </c>
      <c r="N488" s="2">
        <v>740.17289381581111</v>
      </c>
    </row>
    <row r="489" spans="1:14" x14ac:dyDescent="0.3">
      <c r="A489" s="1">
        <v>487</v>
      </c>
      <c r="B489" s="1" t="str">
        <f t="shared" si="40"/>
        <v>ValenciaCarnicaWESSUN0,6</v>
      </c>
      <c r="C489" s="1" t="str">
        <f t="shared" si="36"/>
        <v>ValenciaCarnicaWeSSun0,6</v>
      </c>
      <c r="D489" s="1" t="s">
        <v>24</v>
      </c>
      <c r="E489" s="1" t="s">
        <v>12</v>
      </c>
      <c r="F489" s="1">
        <v>0.6</v>
      </c>
      <c r="G489" s="1">
        <f t="shared" si="37"/>
        <v>120</v>
      </c>
      <c r="H489" s="1">
        <f t="shared" si="38"/>
        <v>60</v>
      </c>
      <c r="I489" s="1" t="str">
        <f t="shared" si="39"/>
        <v>WeSSun</v>
      </c>
      <c r="J489" s="1" t="s">
        <v>19</v>
      </c>
      <c r="K489" s="2">
        <v>3702.1879039896207</v>
      </c>
      <c r="L489" s="2">
        <v>808.92022248610635</v>
      </c>
      <c r="M489" s="3">
        <v>0.5354632870058047</v>
      </c>
      <c r="N489" s="2">
        <v>723.14582937103887</v>
      </c>
    </row>
    <row r="490" spans="1:14" x14ac:dyDescent="0.3">
      <c r="A490" s="1">
        <v>488</v>
      </c>
      <c r="B490" s="1" t="str">
        <f t="shared" si="40"/>
        <v>ValenciaCarnicaWESSUN0,75</v>
      </c>
      <c r="C490" s="1" t="str">
        <f t="shared" si="36"/>
        <v>ValenciaCarnicaWeSSun0,75</v>
      </c>
      <c r="D490" s="1" t="s">
        <v>24</v>
      </c>
      <c r="E490" s="1" t="s">
        <v>12</v>
      </c>
      <c r="F490" s="1">
        <v>0.75</v>
      </c>
      <c r="G490" s="1">
        <f t="shared" si="37"/>
        <v>120</v>
      </c>
      <c r="H490" s="1">
        <f t="shared" si="38"/>
        <v>60</v>
      </c>
      <c r="I490" s="1" t="str">
        <f t="shared" si="39"/>
        <v>WeSSun</v>
      </c>
      <c r="J490" s="1" t="s">
        <v>19</v>
      </c>
      <c r="K490" s="2">
        <v>4655.0860328640492</v>
      </c>
      <c r="L490" s="2">
        <v>786.02066100090769</v>
      </c>
      <c r="M490" s="3">
        <v>0.64909235754033334</v>
      </c>
      <c r="N490" s="2">
        <v>697.16155139146792</v>
      </c>
    </row>
    <row r="491" spans="1:14" x14ac:dyDescent="0.3">
      <c r="A491" s="1">
        <v>489</v>
      </c>
      <c r="B491" s="1" t="str">
        <f t="shared" si="40"/>
        <v>ValenciaFarmaceuticaWESSUN0,3</v>
      </c>
      <c r="C491" s="1" t="str">
        <f t="shared" si="36"/>
        <v>ValenciaFarmaceuticaWeSSun0,3</v>
      </c>
      <c r="D491" s="1" t="s">
        <v>24</v>
      </c>
      <c r="E491" s="1" t="s">
        <v>15</v>
      </c>
      <c r="F491" s="1">
        <v>0.3</v>
      </c>
      <c r="G491" s="1">
        <f t="shared" si="37"/>
        <v>120</v>
      </c>
      <c r="H491" s="1">
        <f t="shared" si="38"/>
        <v>60</v>
      </c>
      <c r="I491" s="1" t="str">
        <f t="shared" si="39"/>
        <v>WeSSun</v>
      </c>
      <c r="J491" s="1" t="s">
        <v>19</v>
      </c>
      <c r="K491" s="2">
        <v>1830.1803304666607</v>
      </c>
      <c r="L491" s="2">
        <v>833.13862912354125</v>
      </c>
      <c r="M491" s="3">
        <v>0.27395794949725444</v>
      </c>
      <c r="N491" s="2">
        <v>748.40490227154885</v>
      </c>
    </row>
    <row r="492" spans="1:14" x14ac:dyDescent="0.3">
      <c r="A492" s="1">
        <v>490</v>
      </c>
      <c r="B492" s="1" t="str">
        <f t="shared" si="40"/>
        <v>ValenciaFarmaceuticaWESSUN0,45</v>
      </c>
      <c r="C492" s="1" t="str">
        <f t="shared" si="36"/>
        <v>ValenciaFarmaceuticaWeSSun0,45</v>
      </c>
      <c r="D492" s="1" t="s">
        <v>24</v>
      </c>
      <c r="E492" s="1" t="s">
        <v>15</v>
      </c>
      <c r="F492" s="1">
        <v>0.45</v>
      </c>
      <c r="G492" s="1">
        <f t="shared" si="37"/>
        <v>120</v>
      </c>
      <c r="H492" s="1">
        <f t="shared" si="38"/>
        <v>60</v>
      </c>
      <c r="I492" s="1" t="str">
        <f t="shared" si="39"/>
        <v>WeSSun</v>
      </c>
      <c r="J492" s="1" t="s">
        <v>19</v>
      </c>
      <c r="K492" s="2">
        <v>2760.7183703935111</v>
      </c>
      <c r="L492" s="2">
        <v>823.83395141096412</v>
      </c>
      <c r="M492" s="3">
        <v>0.40876819772242906</v>
      </c>
      <c r="N492" s="2">
        <v>740.28950967696721</v>
      </c>
    </row>
    <row r="493" spans="1:14" x14ac:dyDescent="0.3">
      <c r="A493" s="1">
        <v>491</v>
      </c>
      <c r="B493" s="1" t="str">
        <f t="shared" si="40"/>
        <v>ValenciaFarmaceuticaWESSUN0,6</v>
      </c>
      <c r="C493" s="1" t="str">
        <f t="shared" si="36"/>
        <v>ValenciaFarmaceuticaWeSSun0,6</v>
      </c>
      <c r="D493" s="1" t="s">
        <v>24</v>
      </c>
      <c r="E493" s="1" t="s">
        <v>15</v>
      </c>
      <c r="F493" s="1">
        <v>0.6</v>
      </c>
      <c r="G493" s="1">
        <f t="shared" si="37"/>
        <v>120</v>
      </c>
      <c r="H493" s="1">
        <f t="shared" si="38"/>
        <v>60</v>
      </c>
      <c r="I493" s="1" t="str">
        <f t="shared" si="39"/>
        <v>WeSSun</v>
      </c>
      <c r="J493" s="1" t="s">
        <v>19</v>
      </c>
      <c r="K493" s="2">
        <v>3702.1879039896207</v>
      </c>
      <c r="L493" s="2">
        <v>808.91673533966616</v>
      </c>
      <c r="M493" s="3">
        <v>0.5355045143401489</v>
      </c>
      <c r="N493" s="2">
        <v>723.18811282684169</v>
      </c>
    </row>
    <row r="494" spans="1:14" x14ac:dyDescent="0.3">
      <c r="A494" s="1">
        <v>492</v>
      </c>
      <c r="B494" s="1" t="str">
        <f t="shared" si="40"/>
        <v>ValenciaFarmaceuticaWESSUN0,75</v>
      </c>
      <c r="C494" s="1" t="str">
        <f t="shared" si="36"/>
        <v>ValenciaFarmaceuticaWeSSun0,75</v>
      </c>
      <c r="D494" s="1" t="s">
        <v>24</v>
      </c>
      <c r="E494" s="1" t="s">
        <v>15</v>
      </c>
      <c r="F494" s="1">
        <v>0.75</v>
      </c>
      <c r="G494" s="1">
        <f t="shared" si="37"/>
        <v>120</v>
      </c>
      <c r="H494" s="1">
        <f t="shared" si="38"/>
        <v>60</v>
      </c>
      <c r="I494" s="1" t="str">
        <f t="shared" si="39"/>
        <v>WeSSun</v>
      </c>
      <c r="J494" s="1" t="s">
        <v>19</v>
      </c>
      <c r="K494" s="2">
        <v>4655.0860328640492</v>
      </c>
      <c r="L494" s="2">
        <v>786.078494363235</v>
      </c>
      <c r="M494" s="3">
        <v>0.64918760441801948</v>
      </c>
      <c r="N494" s="2">
        <v>697.25093799526917</v>
      </c>
    </row>
    <row r="495" spans="1:14" x14ac:dyDescent="0.3">
      <c r="A495" s="1">
        <v>493</v>
      </c>
      <c r="B495" s="1" t="str">
        <f t="shared" si="40"/>
        <v>ValenciaLacteosWESSUN0,3</v>
      </c>
      <c r="C495" s="1" t="str">
        <f t="shared" si="36"/>
        <v>ValenciaLacteosWeSSun0,3</v>
      </c>
      <c r="D495" s="1" t="s">
        <v>24</v>
      </c>
      <c r="E495" s="1" t="s">
        <v>14</v>
      </c>
      <c r="F495" s="1">
        <v>0.3</v>
      </c>
      <c r="G495" s="1">
        <f t="shared" si="37"/>
        <v>120</v>
      </c>
      <c r="H495" s="1">
        <f t="shared" si="38"/>
        <v>60</v>
      </c>
      <c r="I495" s="1" t="str">
        <f t="shared" si="39"/>
        <v>WeSSun</v>
      </c>
      <c r="J495" s="1" t="s">
        <v>19</v>
      </c>
      <c r="K495" s="2">
        <v>1830.1803304666607</v>
      </c>
      <c r="L495" s="2">
        <v>829.76343122902847</v>
      </c>
      <c r="M495" s="3">
        <v>0.28178047171848791</v>
      </c>
      <c r="N495" s="2">
        <v>769.88680861792682</v>
      </c>
    </row>
    <row r="496" spans="1:14" x14ac:dyDescent="0.3">
      <c r="A496" s="1">
        <v>494</v>
      </c>
      <c r="B496" s="1" t="str">
        <f t="shared" si="40"/>
        <v>ValenciaLacteosWESSUN0,45</v>
      </c>
      <c r="C496" s="1" t="str">
        <f t="shared" si="36"/>
        <v>ValenciaLacteosWeSSun0,45</v>
      </c>
      <c r="D496" s="1" t="s">
        <v>24</v>
      </c>
      <c r="E496" s="1" t="s">
        <v>14</v>
      </c>
      <c r="F496" s="1">
        <v>0.45</v>
      </c>
      <c r="G496" s="1">
        <f t="shared" si="37"/>
        <v>120</v>
      </c>
      <c r="H496" s="1">
        <f t="shared" si="38"/>
        <v>60</v>
      </c>
      <c r="I496" s="1" t="str">
        <f t="shared" si="39"/>
        <v>WeSSun</v>
      </c>
      <c r="J496" s="1" t="s">
        <v>19</v>
      </c>
      <c r="K496" s="2">
        <v>2760.7183703935111</v>
      </c>
      <c r="L496" s="2">
        <v>818.71374931647006</v>
      </c>
      <c r="M496" s="3">
        <v>0.41928696269029769</v>
      </c>
      <c r="N496" s="2">
        <v>759.44989016631905</v>
      </c>
    </row>
    <row r="497" spans="1:14" x14ac:dyDescent="0.3">
      <c r="A497" s="1">
        <v>495</v>
      </c>
      <c r="B497" s="1" t="str">
        <f t="shared" si="40"/>
        <v>ValenciaLacteosWESSUN0,6</v>
      </c>
      <c r="C497" s="1" t="str">
        <f t="shared" si="36"/>
        <v>ValenciaLacteosWeSSun0,6</v>
      </c>
      <c r="D497" s="1" t="s">
        <v>24</v>
      </c>
      <c r="E497" s="1" t="s">
        <v>14</v>
      </c>
      <c r="F497" s="1">
        <v>0.6</v>
      </c>
      <c r="G497" s="1">
        <f t="shared" si="37"/>
        <v>120</v>
      </c>
      <c r="H497" s="1">
        <f t="shared" si="38"/>
        <v>60</v>
      </c>
      <c r="I497" s="1" t="str">
        <f t="shared" si="39"/>
        <v>WeSSun</v>
      </c>
      <c r="J497" s="1" t="s">
        <v>19</v>
      </c>
      <c r="K497" s="2">
        <v>3702.1879039896207</v>
      </c>
      <c r="L497" s="2">
        <v>798.92914350553167</v>
      </c>
      <c r="M497" s="3">
        <v>0.546696898898554</v>
      </c>
      <c r="N497" s="2">
        <v>738.41077097204175</v>
      </c>
    </row>
    <row r="498" spans="1:14" x14ac:dyDescent="0.3">
      <c r="A498" s="1">
        <v>496</v>
      </c>
      <c r="B498" s="1" t="str">
        <f t="shared" si="40"/>
        <v>ValenciaLacteosWESSUN0,75</v>
      </c>
      <c r="C498" s="1" t="str">
        <f t="shared" si="36"/>
        <v>ValenciaLacteosWeSSun0,75</v>
      </c>
      <c r="D498" s="1" t="s">
        <v>24</v>
      </c>
      <c r="E498" s="1" t="s">
        <v>14</v>
      </c>
      <c r="F498" s="1">
        <v>0.75</v>
      </c>
      <c r="G498" s="1">
        <f t="shared" si="37"/>
        <v>120</v>
      </c>
      <c r="H498" s="1">
        <f t="shared" si="38"/>
        <v>60</v>
      </c>
      <c r="I498" s="1" t="str">
        <f t="shared" si="39"/>
        <v>WeSSun</v>
      </c>
      <c r="J498" s="1" t="s">
        <v>19</v>
      </c>
      <c r="K498" s="2">
        <v>4655.0860328640492</v>
      </c>
      <c r="L498" s="2">
        <v>767.25605325824927</v>
      </c>
      <c r="M498" s="3">
        <v>0.65653315670332213</v>
      </c>
      <c r="N498" s="2">
        <v>705.24306196998782</v>
      </c>
    </row>
    <row r="499" spans="1:14" x14ac:dyDescent="0.3">
      <c r="A499" s="1">
        <v>497</v>
      </c>
      <c r="B499" s="1" t="str">
        <f t="shared" si="40"/>
        <v>ValenciaSecadoWESSUN0,3</v>
      </c>
      <c r="C499" s="1" t="str">
        <f t="shared" si="36"/>
        <v>ValenciaSecadoWeSSun0,3</v>
      </c>
      <c r="D499" s="1" t="s">
        <v>24</v>
      </c>
      <c r="E499" s="1" t="s">
        <v>11</v>
      </c>
      <c r="F499" s="1">
        <v>0.3</v>
      </c>
      <c r="G499" s="1">
        <f t="shared" si="37"/>
        <v>60</v>
      </c>
      <c r="H499" s="1">
        <f t="shared" si="38"/>
        <v>15</v>
      </c>
      <c r="I499" s="1" t="str">
        <f t="shared" si="39"/>
        <v>WeSSun</v>
      </c>
      <c r="J499" s="1" t="s">
        <v>19</v>
      </c>
      <c r="K499" s="2">
        <v>1663.4218460762202</v>
      </c>
      <c r="L499" s="2">
        <v>936.19233937391675</v>
      </c>
      <c r="M499" s="3">
        <v>0.30660608710814208</v>
      </c>
      <c r="N499" s="2">
        <v>921.61254151400283</v>
      </c>
    </row>
    <row r="500" spans="1:14" x14ac:dyDescent="0.3">
      <c r="A500" s="1">
        <v>498</v>
      </c>
      <c r="B500" s="1" t="str">
        <f t="shared" si="40"/>
        <v>ValenciaSecadoWESSUN0,45</v>
      </c>
      <c r="C500" s="1" t="str">
        <f t="shared" si="36"/>
        <v>ValenciaSecadoWeSSun0,45</v>
      </c>
      <c r="D500" s="1" t="s">
        <v>24</v>
      </c>
      <c r="E500" s="1" t="s">
        <v>11</v>
      </c>
      <c r="F500" s="1">
        <v>0.45</v>
      </c>
      <c r="G500" s="1">
        <f t="shared" si="37"/>
        <v>60</v>
      </c>
      <c r="H500" s="1">
        <f t="shared" si="38"/>
        <v>15</v>
      </c>
      <c r="I500" s="1" t="str">
        <f t="shared" si="39"/>
        <v>WeSSun</v>
      </c>
      <c r="J500" s="1" t="s">
        <v>19</v>
      </c>
      <c r="K500" s="2">
        <v>2502.1920319534606</v>
      </c>
      <c r="L500" s="2">
        <v>930.83319891839767</v>
      </c>
      <c r="M500" s="3">
        <v>0.45560763930389186</v>
      </c>
      <c r="N500" s="2">
        <v>910.41701311526833</v>
      </c>
    </row>
    <row r="501" spans="1:14" x14ac:dyDescent="0.3">
      <c r="A501" s="1">
        <v>499</v>
      </c>
      <c r="B501" s="1" t="str">
        <f t="shared" si="40"/>
        <v>ValenciaSecadoWESSUN0,6</v>
      </c>
      <c r="C501" s="1" t="str">
        <f t="shared" si="36"/>
        <v>ValenciaSecadoWeSSun0,6</v>
      </c>
      <c r="D501" s="1" t="s">
        <v>24</v>
      </c>
      <c r="E501" s="1" t="s">
        <v>11</v>
      </c>
      <c r="F501" s="1">
        <v>0.6</v>
      </c>
      <c r="G501" s="1">
        <f t="shared" si="37"/>
        <v>60</v>
      </c>
      <c r="H501" s="1">
        <f t="shared" si="38"/>
        <v>15</v>
      </c>
      <c r="I501" s="1" t="str">
        <f t="shared" si="39"/>
        <v>WeSSun</v>
      </c>
      <c r="J501" s="1" t="s">
        <v>19</v>
      </c>
      <c r="K501" s="2">
        <v>3346.0483828689689</v>
      </c>
      <c r="L501" s="2">
        <v>921.33028073012395</v>
      </c>
      <c r="M501" s="3">
        <v>0.59828913277017337</v>
      </c>
      <c r="N501" s="2">
        <v>894.02343326754135</v>
      </c>
    </row>
    <row r="502" spans="1:14" x14ac:dyDescent="0.3">
      <c r="A502" s="1">
        <v>500</v>
      </c>
      <c r="B502" s="1" t="str">
        <f t="shared" si="40"/>
        <v>ValenciaSecadoWESSUN0,75</v>
      </c>
      <c r="C502" s="1" t="str">
        <f t="shared" si="36"/>
        <v>ValenciaSecadoWeSSun0,75</v>
      </c>
      <c r="D502" s="1" t="s">
        <v>24</v>
      </c>
      <c r="E502" s="1" t="s">
        <v>11</v>
      </c>
      <c r="F502" s="1">
        <v>0.75</v>
      </c>
      <c r="G502" s="1">
        <f t="shared" si="37"/>
        <v>60</v>
      </c>
      <c r="H502" s="1">
        <f t="shared" si="38"/>
        <v>15</v>
      </c>
      <c r="I502" s="1" t="str">
        <f t="shared" si="39"/>
        <v>WeSSun</v>
      </c>
      <c r="J502" s="1" t="s">
        <v>19</v>
      </c>
      <c r="K502" s="2">
        <v>4195.2836816587796</v>
      </c>
      <c r="L502" s="2">
        <v>905.62881889740083</v>
      </c>
      <c r="M502" s="3">
        <v>0.73013146471100587</v>
      </c>
      <c r="N502" s="2">
        <v>870.1812796683372</v>
      </c>
    </row>
  </sheetData>
  <sheetProtection algorithmName="SHA-512" hashValue="aFwyExX75LiyCwpGyml0eIVMSUJcCIEiB4AF8C2dLOAoIE4gHmyJgIoDH+IF1QRZF1ZFenGIX8PJxSlHyT3sWQ==" saltValue="iW6WDcXCpeUmkByYbXdbUA==" spinCount="100000" sheet="1" objects="1" scenarios="1"/>
  <autoFilter ref="A2:O522"/>
  <pageMargins left="0.7" right="0.7" top="0.75" bottom="0.75" header="0.3" footer="0.3"/>
  <pageSetup paperSize="9" orientation="portrait" horizontalDpi="360" verticalDpi="36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AH40"/>
  <sheetViews>
    <sheetView topLeftCell="A19" workbookViewId="0"/>
  </sheetViews>
  <sheetFormatPr baseColWidth="10" defaultRowHeight="14.4" x14ac:dyDescent="0.3"/>
  <cols>
    <col min="1" max="1" width="42.5546875" style="4" bestFit="1" customWidth="1"/>
    <col min="2" max="2" width="24.77734375" style="4" hidden="1" customWidth="1"/>
    <col min="3" max="3" width="16" style="4" customWidth="1"/>
    <col min="4" max="4" width="21.77734375" style="4" hidden="1" customWidth="1"/>
    <col min="5" max="6" width="15.77734375" style="4" hidden="1" customWidth="1"/>
    <col min="7" max="34" width="15.77734375" style="4" customWidth="1"/>
    <col min="35" max="16384" width="11.5546875" style="4"/>
  </cols>
  <sheetData>
    <row r="2" spans="1:34" x14ac:dyDescent="0.3">
      <c r="A2" s="4" t="s">
        <v>43</v>
      </c>
    </row>
    <row r="3" spans="1:34" ht="15" thickBot="1" x14ac:dyDescent="0.35"/>
    <row r="4" spans="1:34" x14ac:dyDescent="0.3">
      <c r="A4" s="5" t="s">
        <v>44</v>
      </c>
      <c r="B4" s="6" t="s">
        <v>45</v>
      </c>
      <c r="C4" s="6" t="s">
        <v>46</v>
      </c>
      <c r="D4" s="6">
        <v>0</v>
      </c>
      <c r="E4" s="6">
        <v>1</v>
      </c>
      <c r="F4" s="6">
        <v>2</v>
      </c>
      <c r="G4" s="6">
        <v>3</v>
      </c>
      <c r="H4" s="6">
        <v>4</v>
      </c>
      <c r="I4" s="6">
        <v>5</v>
      </c>
      <c r="J4" s="6">
        <v>6</v>
      </c>
      <c r="K4" s="6">
        <v>7</v>
      </c>
      <c r="L4" s="6">
        <v>8</v>
      </c>
      <c r="M4" s="6">
        <v>9</v>
      </c>
      <c r="N4" s="6">
        <v>10</v>
      </c>
      <c r="O4" s="6">
        <v>11</v>
      </c>
      <c r="P4" s="6">
        <v>12</v>
      </c>
      <c r="Q4" s="6">
        <v>13</v>
      </c>
      <c r="R4" s="6">
        <v>14</v>
      </c>
      <c r="S4" s="6">
        <v>15</v>
      </c>
      <c r="T4" s="6">
        <v>16</v>
      </c>
      <c r="U4" s="6">
        <v>17</v>
      </c>
      <c r="V4" s="6">
        <v>18</v>
      </c>
      <c r="W4" s="6">
        <v>19</v>
      </c>
      <c r="X4" s="6">
        <v>20</v>
      </c>
      <c r="Y4" s="6">
        <v>21</v>
      </c>
      <c r="Z4" s="6">
        <v>22</v>
      </c>
      <c r="AA4" s="6">
        <v>23</v>
      </c>
      <c r="AB4" s="6">
        <v>24</v>
      </c>
      <c r="AC4" s="6">
        <v>25</v>
      </c>
      <c r="AD4" s="6">
        <v>26</v>
      </c>
      <c r="AE4" s="6">
        <v>27</v>
      </c>
      <c r="AF4" s="6">
        <v>28</v>
      </c>
      <c r="AG4" s="6">
        <v>29</v>
      </c>
      <c r="AH4" s="6">
        <v>30</v>
      </c>
    </row>
    <row r="5" spans="1:34" x14ac:dyDescent="0.3">
      <c r="A5" s="7">
        <f>INTERFAZ!E61</f>
        <v>2</v>
      </c>
      <c r="B5" s="8">
        <f>INTERFAZ!E72/1000*INTERFAZ!E74*INTERFAZ!E53</f>
        <v>97946.32971133331</v>
      </c>
      <c r="C5" s="9">
        <f>IF(INTERFAZ!E65&gt;30,0,INTERFAZ!E65)</f>
        <v>30</v>
      </c>
      <c r="D5" s="8">
        <f>-INTERFAZ!E80</f>
        <v>-1060974</v>
      </c>
      <c r="E5" s="8">
        <f>IF(C5&gt;=E4,B5,0)</f>
        <v>97946.32971133331</v>
      </c>
      <c r="F5" s="8">
        <f>IF($C$5&gt;=F4,E5*(100+$A$5)%,0)</f>
        <v>99905.256305559975</v>
      </c>
      <c r="G5" s="8">
        <f t="shared" ref="G5:AC5" si="0">IF($C$5&gt;=G4,F5*(100+$A$5)%,0)</f>
        <v>101903.36143167118</v>
      </c>
      <c r="H5" s="8">
        <f t="shared" si="0"/>
        <v>103941.42866030461</v>
      </c>
      <c r="I5" s="8">
        <f t="shared" si="0"/>
        <v>106020.2572335107</v>
      </c>
      <c r="J5" s="8">
        <f t="shared" si="0"/>
        <v>108140.66237818092</v>
      </c>
      <c r="K5" s="8">
        <f t="shared" si="0"/>
        <v>110303.47562574454</v>
      </c>
      <c r="L5" s="8">
        <f t="shared" si="0"/>
        <v>112509.54513825943</v>
      </c>
      <c r="M5" s="8">
        <f t="shared" si="0"/>
        <v>114759.73604102462</v>
      </c>
      <c r="N5" s="8">
        <f t="shared" si="0"/>
        <v>117054.93076184511</v>
      </c>
      <c r="O5" s="8">
        <f t="shared" si="0"/>
        <v>119396.02937708201</v>
      </c>
      <c r="P5" s="8">
        <f t="shared" si="0"/>
        <v>121783.94996462365</v>
      </c>
      <c r="Q5" s="8">
        <f t="shared" si="0"/>
        <v>124219.62896391613</v>
      </c>
      <c r="R5" s="8">
        <f t="shared" si="0"/>
        <v>126704.02154319445</v>
      </c>
      <c r="S5" s="8">
        <f t="shared" si="0"/>
        <v>129238.10197405834</v>
      </c>
      <c r="T5" s="8">
        <f t="shared" si="0"/>
        <v>131822.86401353951</v>
      </c>
      <c r="U5" s="8">
        <f t="shared" si="0"/>
        <v>134459.3212938103</v>
      </c>
      <c r="V5" s="8">
        <f t="shared" si="0"/>
        <v>137148.50771968652</v>
      </c>
      <c r="W5" s="8">
        <f t="shared" si="0"/>
        <v>139891.47787408024</v>
      </c>
      <c r="X5" s="8">
        <f t="shared" si="0"/>
        <v>142689.30743156184</v>
      </c>
      <c r="Y5" s="8">
        <f t="shared" si="0"/>
        <v>145543.09358019309</v>
      </c>
      <c r="Z5" s="8">
        <f t="shared" si="0"/>
        <v>148453.95545179697</v>
      </c>
      <c r="AA5" s="8">
        <f t="shared" si="0"/>
        <v>151423.03456083292</v>
      </c>
      <c r="AB5" s="8">
        <f t="shared" si="0"/>
        <v>154451.49525204959</v>
      </c>
      <c r="AC5" s="8">
        <f t="shared" si="0"/>
        <v>157540.52515709057</v>
      </c>
      <c r="AD5" s="8">
        <f t="shared" ref="AD5" si="1">IF($C$5&gt;=AD4,AC5*(100+$A$5)%,0)</f>
        <v>160691.33566023238</v>
      </c>
      <c r="AE5" s="8">
        <f t="shared" ref="AE5" si="2">IF($C$5&gt;=AE4,AD5*(100+$A$5)%,0)</f>
        <v>163905.16237343702</v>
      </c>
      <c r="AF5" s="8">
        <f t="shared" ref="AF5" si="3">IF($C$5&gt;=AF4,AE5*(100+$A$5)%,0)</f>
        <v>167183.26562090576</v>
      </c>
      <c r="AG5" s="8">
        <f t="shared" ref="AG5" si="4">IF($C$5&gt;=AG4,AF5*(100+$A$5)%,0)</f>
        <v>170526.93093332389</v>
      </c>
      <c r="AH5" s="8">
        <f t="shared" ref="AH5" si="5">IF($C$5&gt;=AH4,AG5*(100+$A$5)%,0)</f>
        <v>173937.46955199036</v>
      </c>
    </row>
    <row r="6" spans="1:34" x14ac:dyDescent="0.3">
      <c r="A6" s="10"/>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row>
    <row r="7" spans="1:34" ht="15" thickBot="1" x14ac:dyDescent="0.35">
      <c r="A7" s="10"/>
      <c r="B7" s="9"/>
      <c r="C7" s="9"/>
      <c r="D7" s="9"/>
      <c r="E7" s="9"/>
      <c r="F7" s="9"/>
      <c r="G7" s="9"/>
      <c r="H7" s="9"/>
      <c r="I7" s="9"/>
      <c r="J7" s="9"/>
      <c r="K7" s="9"/>
      <c r="L7" s="9"/>
      <c r="M7" s="9"/>
      <c r="N7" s="9"/>
      <c r="O7" s="9"/>
      <c r="P7" s="9"/>
      <c r="Q7" s="9"/>
      <c r="R7" s="9"/>
      <c r="S7" s="9"/>
      <c r="T7" s="9"/>
      <c r="U7" s="9"/>
      <c r="V7" s="9"/>
      <c r="W7" s="9"/>
      <c r="X7" s="9"/>
      <c r="Y7" s="9"/>
      <c r="Z7" s="9"/>
      <c r="AA7" s="9"/>
      <c r="AB7" s="9"/>
      <c r="AC7" s="9"/>
      <c r="AD7" s="9"/>
      <c r="AE7" s="9"/>
      <c r="AF7" s="9"/>
      <c r="AG7" s="9"/>
      <c r="AH7" s="9"/>
    </row>
    <row r="8" spans="1:34" ht="15" thickBot="1" x14ac:dyDescent="0.35">
      <c r="A8" s="10"/>
      <c r="B8" s="11" t="s">
        <v>43</v>
      </c>
      <c r="C8" s="12">
        <f>IRR(D5:AH5)</f>
        <v>0.10363797406298048</v>
      </c>
      <c r="D8" s="9"/>
      <c r="E8" s="9"/>
      <c r="F8" s="9"/>
      <c r="G8" s="9"/>
      <c r="H8" s="9"/>
      <c r="I8" s="9"/>
      <c r="J8" s="9"/>
      <c r="K8" s="9"/>
      <c r="L8" s="9"/>
      <c r="M8" s="9"/>
      <c r="N8" s="9"/>
      <c r="O8" s="9"/>
      <c r="P8" s="9"/>
      <c r="Q8" s="9"/>
      <c r="R8" s="9"/>
      <c r="S8" s="9"/>
      <c r="T8" s="9"/>
      <c r="U8" s="9"/>
      <c r="V8" s="9"/>
      <c r="W8" s="9"/>
      <c r="X8" s="9"/>
      <c r="Y8" s="9"/>
      <c r="Z8" s="9"/>
      <c r="AA8" s="9"/>
      <c r="AB8" s="9"/>
      <c r="AC8" s="9"/>
      <c r="AD8" s="9"/>
      <c r="AE8" s="9"/>
      <c r="AF8" s="9"/>
      <c r="AG8" s="9"/>
      <c r="AH8" s="9"/>
    </row>
    <row r="9" spans="1:34" ht="15" thickBot="1" x14ac:dyDescent="0.35">
      <c r="A9" s="13"/>
      <c r="B9" s="14"/>
      <c r="C9" s="14"/>
      <c r="D9" s="14"/>
      <c r="E9" s="14"/>
      <c r="F9" s="14"/>
      <c r="G9" s="14"/>
      <c r="H9" s="14"/>
      <c r="I9" s="14"/>
      <c r="J9" s="14"/>
      <c r="K9" s="14"/>
      <c r="L9" s="14"/>
      <c r="M9" s="14"/>
      <c r="N9" s="14"/>
      <c r="O9" s="14"/>
      <c r="P9" s="14"/>
      <c r="Q9" s="14"/>
      <c r="R9" s="14"/>
      <c r="S9" s="14"/>
      <c r="T9" s="14"/>
      <c r="U9" s="14"/>
      <c r="V9" s="14"/>
      <c r="W9" s="14"/>
      <c r="X9" s="14"/>
      <c r="Y9" s="14"/>
      <c r="Z9" s="14"/>
      <c r="AA9" s="14"/>
      <c r="AB9" s="14"/>
      <c r="AC9" s="14"/>
      <c r="AD9" s="14"/>
      <c r="AE9" s="14"/>
      <c r="AF9" s="14"/>
      <c r="AG9" s="14"/>
      <c r="AH9" s="14"/>
    </row>
    <row r="13" spans="1:34" x14ac:dyDescent="0.3">
      <c r="A13" s="4" t="s">
        <v>47</v>
      </c>
    </row>
    <row r="15" spans="1:34" x14ac:dyDescent="0.3">
      <c r="A15" s="9" t="s">
        <v>48</v>
      </c>
      <c r="B15" s="9"/>
      <c r="C15" s="9" t="s">
        <v>49</v>
      </c>
      <c r="D15" s="9"/>
      <c r="E15" s="9">
        <v>1</v>
      </c>
      <c r="F15" s="9">
        <v>2</v>
      </c>
      <c r="G15" s="9">
        <v>3</v>
      </c>
      <c r="H15" s="9">
        <v>4</v>
      </c>
      <c r="I15" s="9">
        <v>5</v>
      </c>
      <c r="J15" s="9">
        <v>6</v>
      </c>
      <c r="K15" s="9">
        <v>7</v>
      </c>
      <c r="L15" s="9">
        <v>8</v>
      </c>
      <c r="M15" s="9">
        <v>9</v>
      </c>
      <c r="N15" s="9">
        <v>10</v>
      </c>
      <c r="O15" s="9">
        <v>11</v>
      </c>
      <c r="P15" s="9">
        <v>12</v>
      </c>
      <c r="Q15" s="9">
        <v>13</v>
      </c>
      <c r="R15" s="9">
        <v>14</v>
      </c>
      <c r="S15" s="9">
        <v>15</v>
      </c>
      <c r="T15" s="9">
        <v>16</v>
      </c>
      <c r="U15" s="9">
        <v>17</v>
      </c>
      <c r="V15" s="9">
        <v>18</v>
      </c>
      <c r="W15" s="9">
        <v>19</v>
      </c>
      <c r="X15" s="9">
        <v>20</v>
      </c>
      <c r="Y15" s="9">
        <v>21</v>
      </c>
      <c r="Z15" s="9">
        <v>22</v>
      </c>
      <c r="AA15" s="9">
        <v>23</v>
      </c>
      <c r="AB15" s="9">
        <v>24</v>
      </c>
      <c r="AC15" s="9">
        <v>25</v>
      </c>
      <c r="AD15" s="9">
        <v>26</v>
      </c>
      <c r="AE15" s="9">
        <v>27</v>
      </c>
      <c r="AF15" s="9">
        <v>28</v>
      </c>
      <c r="AG15" s="9">
        <v>29</v>
      </c>
      <c r="AH15" s="9">
        <v>30</v>
      </c>
    </row>
    <row r="16" spans="1:34" x14ac:dyDescent="0.3">
      <c r="A16" s="15">
        <f>INTERFAZ!E61</f>
        <v>2</v>
      </c>
      <c r="B16" s="8"/>
      <c r="C16" s="16">
        <f>IF(INTERFAZ!E65&gt;30,0,INTERFAZ!E65)</f>
        <v>30</v>
      </c>
      <c r="D16" s="17" t="s">
        <v>50</v>
      </c>
      <c r="E16" s="8">
        <f>IF(C16&gt;=E15,(A18-A31)*A34,0)</f>
        <v>86442.559177555551</v>
      </c>
      <c r="F16" s="8">
        <f>IF($C$16&gt;=F15,E16*(100+$A$16)%,0)</f>
        <v>88171.410361106668</v>
      </c>
      <c r="G16" s="8">
        <f t="shared" ref="G16:AC16" si="6">IF($C$16&gt;=G15,F16*(100+$A$16)%,0)</f>
        <v>89934.838568328807</v>
      </c>
      <c r="H16" s="8">
        <f t="shared" si="6"/>
        <v>91733.535339695387</v>
      </c>
      <c r="I16" s="8">
        <f t="shared" si="6"/>
        <v>93568.2060464893</v>
      </c>
      <c r="J16" s="8">
        <f t="shared" si="6"/>
        <v>95439.570167419093</v>
      </c>
      <c r="K16" s="8">
        <f t="shared" si="6"/>
        <v>97348.361570767476</v>
      </c>
      <c r="L16" s="8">
        <f t="shared" si="6"/>
        <v>99295.328802182834</v>
      </c>
      <c r="M16" s="8">
        <f t="shared" si="6"/>
        <v>101281.2353782265</v>
      </c>
      <c r="N16" s="8">
        <f t="shared" si="6"/>
        <v>103306.86008579104</v>
      </c>
      <c r="O16" s="8">
        <f t="shared" si="6"/>
        <v>105372.99728750686</v>
      </c>
      <c r="P16" s="8">
        <f t="shared" si="6"/>
        <v>107480.45723325701</v>
      </c>
      <c r="Q16" s="8">
        <f t="shared" si="6"/>
        <v>109630.06637792215</v>
      </c>
      <c r="R16" s="8">
        <f t="shared" si="6"/>
        <v>111822.66770548059</v>
      </c>
      <c r="S16" s="8">
        <f t="shared" si="6"/>
        <v>114059.12105959021</v>
      </c>
      <c r="T16" s="8">
        <f t="shared" si="6"/>
        <v>116340.30348078201</v>
      </c>
      <c r="U16" s="8">
        <f t="shared" si="6"/>
        <v>118667.10955039765</v>
      </c>
      <c r="V16" s="8">
        <f t="shared" si="6"/>
        <v>121040.4517414056</v>
      </c>
      <c r="W16" s="8">
        <f t="shared" si="6"/>
        <v>123461.26077623371</v>
      </c>
      <c r="X16" s="8">
        <f t="shared" si="6"/>
        <v>125930.4859917584</v>
      </c>
      <c r="Y16" s="8">
        <f t="shared" si="6"/>
        <v>128449.09571159356</v>
      </c>
      <c r="Z16" s="8">
        <f t="shared" si="6"/>
        <v>131018.07762582543</v>
      </c>
      <c r="AA16" s="8">
        <f t="shared" si="6"/>
        <v>133638.43917834194</v>
      </c>
      <c r="AB16" s="8">
        <f t="shared" si="6"/>
        <v>136311.20796190877</v>
      </c>
      <c r="AC16" s="8">
        <f t="shared" si="6"/>
        <v>139037.43212114697</v>
      </c>
      <c r="AD16" s="8">
        <f t="shared" ref="AD16" si="7">IF($C$16&gt;=AD15,AC16*(100+$A$16)%,0)</f>
        <v>141818.18076356989</v>
      </c>
      <c r="AE16" s="8">
        <f t="shared" ref="AE16" si="8">IF($C$16&gt;=AE15,AD16*(100+$A$16)%,0)</f>
        <v>144654.5443788413</v>
      </c>
      <c r="AF16" s="8">
        <f t="shared" ref="AF16" si="9">IF($C$16&gt;=AF15,AE16*(100+$A$16)%,0)</f>
        <v>147547.63526641813</v>
      </c>
      <c r="AG16" s="8">
        <f t="shared" ref="AG16" si="10">IF($C$16&gt;=AG15,AF16*(100+$A$16)%,0)</f>
        <v>150498.58797174648</v>
      </c>
      <c r="AH16" s="8">
        <f t="shared" ref="AH16" si="11">IF($C$16&gt;=AH15,AG16*(100+$A$16)%,0)</f>
        <v>153508.55973118142</v>
      </c>
    </row>
    <row r="17" spans="1:34" x14ac:dyDescent="0.3">
      <c r="A17" s="9" t="s">
        <v>51</v>
      </c>
      <c r="B17" s="9"/>
      <c r="C17" s="9"/>
      <c r="D17" s="18" t="s">
        <v>101</v>
      </c>
      <c r="E17" s="8">
        <f>IF(C16&gt;=E15,A37*A40,0)</f>
        <v>12066.610082256002</v>
      </c>
      <c r="F17" s="8">
        <f>IF($C$16&gt;=F15,$E$17,0)</f>
        <v>12066.610082256002</v>
      </c>
      <c r="G17" s="8">
        <f t="shared" ref="G17:AC17" si="12">IF($C$16&gt;=G15,$E$17,0)</f>
        <v>12066.610082256002</v>
      </c>
      <c r="H17" s="8">
        <f t="shared" si="12"/>
        <v>12066.610082256002</v>
      </c>
      <c r="I17" s="8">
        <f t="shared" si="12"/>
        <v>12066.610082256002</v>
      </c>
      <c r="J17" s="8">
        <f t="shared" si="12"/>
        <v>12066.610082256002</v>
      </c>
      <c r="K17" s="8">
        <f t="shared" si="12"/>
        <v>12066.610082256002</v>
      </c>
      <c r="L17" s="8">
        <f t="shared" si="12"/>
        <v>12066.610082256002</v>
      </c>
      <c r="M17" s="8">
        <f t="shared" si="12"/>
        <v>12066.610082256002</v>
      </c>
      <c r="N17" s="8">
        <f t="shared" si="12"/>
        <v>12066.610082256002</v>
      </c>
      <c r="O17" s="8">
        <f t="shared" si="12"/>
        <v>12066.610082256002</v>
      </c>
      <c r="P17" s="8">
        <f t="shared" si="12"/>
        <v>12066.610082256002</v>
      </c>
      <c r="Q17" s="8">
        <f t="shared" si="12"/>
        <v>12066.610082256002</v>
      </c>
      <c r="R17" s="8">
        <f t="shared" si="12"/>
        <v>12066.610082256002</v>
      </c>
      <c r="S17" s="8">
        <f t="shared" si="12"/>
        <v>12066.610082256002</v>
      </c>
      <c r="T17" s="8">
        <f t="shared" si="12"/>
        <v>12066.610082256002</v>
      </c>
      <c r="U17" s="8">
        <f t="shared" si="12"/>
        <v>12066.610082256002</v>
      </c>
      <c r="V17" s="8">
        <f t="shared" si="12"/>
        <v>12066.610082256002</v>
      </c>
      <c r="W17" s="8">
        <f t="shared" si="12"/>
        <v>12066.610082256002</v>
      </c>
      <c r="X17" s="8">
        <f t="shared" si="12"/>
        <v>12066.610082256002</v>
      </c>
      <c r="Y17" s="8">
        <f t="shared" si="12"/>
        <v>12066.610082256002</v>
      </c>
      <c r="Z17" s="8">
        <f t="shared" si="12"/>
        <v>12066.610082256002</v>
      </c>
      <c r="AA17" s="8">
        <f t="shared" si="12"/>
        <v>12066.610082256002</v>
      </c>
      <c r="AB17" s="8">
        <f t="shared" si="12"/>
        <v>12066.610082256002</v>
      </c>
      <c r="AC17" s="8">
        <f t="shared" si="12"/>
        <v>12066.610082256002</v>
      </c>
      <c r="AD17" s="8">
        <f t="shared" ref="AD17:AH17" si="13">IF($C$16&gt;=AD15,$E$17,0)</f>
        <v>12066.610082256002</v>
      </c>
      <c r="AE17" s="8">
        <f t="shared" si="13"/>
        <v>12066.610082256002</v>
      </c>
      <c r="AF17" s="8">
        <f t="shared" si="13"/>
        <v>12066.610082256002</v>
      </c>
      <c r="AG17" s="8">
        <f t="shared" si="13"/>
        <v>12066.610082256002</v>
      </c>
      <c r="AH17" s="8">
        <f t="shared" si="13"/>
        <v>12066.610082256002</v>
      </c>
    </row>
    <row r="18" spans="1:34" ht="28.8" x14ac:dyDescent="0.3">
      <c r="A18" s="9">
        <f>INTERFAZ!E21</f>
        <v>5000</v>
      </c>
      <c r="B18" s="9"/>
      <c r="C18" s="9"/>
      <c r="D18" s="19" t="s">
        <v>99</v>
      </c>
      <c r="E18" s="8">
        <f>IF(C16&gt;=E15,A24,0)</f>
        <v>53048.7</v>
      </c>
      <c r="F18" s="8">
        <f>IF($C$16&gt;=F15,E18*(1+$A$26/100),0)</f>
        <v>53579.186999999998</v>
      </c>
      <c r="G18" s="8">
        <f>IF($C$16&gt;=G15,F18*(1+$A$26/100),0)</f>
        <v>54114.978869999999</v>
      </c>
      <c r="H18" s="8">
        <f t="shared" ref="H18:AC18" si="14">IF($C$16&gt;=H15,G18*(1+$A$26/100),0)</f>
        <v>54656.1286587</v>
      </c>
      <c r="I18" s="8">
        <f t="shared" si="14"/>
        <v>55202.689945286998</v>
      </c>
      <c r="J18" s="8">
        <f t="shared" si="14"/>
        <v>55754.716844739865</v>
      </c>
      <c r="K18" s="8">
        <f t="shared" si="14"/>
        <v>56312.264013187261</v>
      </c>
      <c r="L18" s="8">
        <f t="shared" si="14"/>
        <v>56875.386653319132</v>
      </c>
      <c r="M18" s="8">
        <f t="shared" si="14"/>
        <v>57444.140519852321</v>
      </c>
      <c r="N18" s="8">
        <f t="shared" si="14"/>
        <v>58018.581925050843</v>
      </c>
      <c r="O18" s="8">
        <f t="shared" si="14"/>
        <v>58598.767744301353</v>
      </c>
      <c r="P18" s="8">
        <f t="shared" si="14"/>
        <v>59184.755421744369</v>
      </c>
      <c r="Q18" s="8">
        <f t="shared" si="14"/>
        <v>59776.60297596181</v>
      </c>
      <c r="R18" s="8">
        <f t="shared" si="14"/>
        <v>60374.369005721426</v>
      </c>
      <c r="S18" s="8">
        <f t="shared" si="14"/>
        <v>60978.11269577864</v>
      </c>
      <c r="T18" s="8">
        <f t="shared" si="14"/>
        <v>61587.893822736427</v>
      </c>
      <c r="U18" s="8">
        <f t="shared" si="14"/>
        <v>62203.772760963795</v>
      </c>
      <c r="V18" s="8">
        <f t="shared" si="14"/>
        <v>62825.810488573436</v>
      </c>
      <c r="W18" s="8">
        <f t="shared" si="14"/>
        <v>63454.068593459167</v>
      </c>
      <c r="X18" s="8">
        <f t="shared" si="14"/>
        <v>64088.609279393757</v>
      </c>
      <c r="Y18" s="8">
        <f t="shared" si="14"/>
        <v>64729.495372187695</v>
      </c>
      <c r="Z18" s="8">
        <f t="shared" si="14"/>
        <v>65376.790325909576</v>
      </c>
      <c r="AA18" s="8">
        <f t="shared" si="14"/>
        <v>66030.558229168673</v>
      </c>
      <c r="AB18" s="8">
        <f t="shared" si="14"/>
        <v>66690.863811460367</v>
      </c>
      <c r="AC18" s="8">
        <f t="shared" si="14"/>
        <v>67357.772449574972</v>
      </c>
      <c r="AD18" s="8">
        <f t="shared" ref="AD18:AH18" si="15">IF($C$16&gt;=AD15,AC18*(1+$A$26/100),0)</f>
        <v>68031.350174070729</v>
      </c>
      <c r="AE18" s="8">
        <f t="shared" si="15"/>
        <v>68711.663675811433</v>
      </c>
      <c r="AF18" s="8">
        <f t="shared" si="15"/>
        <v>69398.78031256955</v>
      </c>
      <c r="AG18" s="8">
        <f t="shared" si="15"/>
        <v>70092.768115695246</v>
      </c>
      <c r="AH18" s="8">
        <f t="shared" si="15"/>
        <v>70793.695796852204</v>
      </c>
    </row>
    <row r="19" spans="1:34" x14ac:dyDescent="0.3">
      <c r="A19" s="9"/>
      <c r="B19" s="9"/>
      <c r="C19" s="9"/>
      <c r="D19" s="9"/>
      <c r="E19" s="9"/>
      <c r="F19" s="9"/>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row>
    <row r="21" spans="1:34" x14ac:dyDescent="0.3">
      <c r="A21" s="4" t="s">
        <v>95</v>
      </c>
      <c r="D21" s="20" t="s">
        <v>97</v>
      </c>
      <c r="E21" s="21">
        <f>IF(C16&gt;=E15,A22+E18+E16-E17,0)</f>
        <v>1188398.6490952997</v>
      </c>
      <c r="F21" s="22">
        <f>IF($C$16&gt;=F20,F18+F16-F17,0)</f>
        <v>129683.98727885066</v>
      </c>
      <c r="G21" s="22">
        <f t="shared" ref="G21:AC21" si="16">IF($C$16&gt;=G20,G18+G16-G17,0)</f>
        <v>131983.20735607282</v>
      </c>
      <c r="H21" s="22">
        <f t="shared" si="16"/>
        <v>134323.05391613938</v>
      </c>
      <c r="I21" s="22">
        <f t="shared" si="16"/>
        <v>136704.28590952032</v>
      </c>
      <c r="J21" s="22">
        <f t="shared" si="16"/>
        <v>139127.67692990295</v>
      </c>
      <c r="K21" s="22">
        <f t="shared" si="16"/>
        <v>141594.01550169874</v>
      </c>
      <c r="L21" s="22">
        <f t="shared" si="16"/>
        <v>144104.10537324598</v>
      </c>
      <c r="M21" s="22">
        <f t="shared" si="16"/>
        <v>146658.76581582282</v>
      </c>
      <c r="N21" s="22">
        <f t="shared" si="16"/>
        <v>149258.83192858589</v>
      </c>
      <c r="O21" s="22">
        <f t="shared" si="16"/>
        <v>151905.15494955223</v>
      </c>
      <c r="P21" s="22">
        <f t="shared" si="16"/>
        <v>154598.60257274538</v>
      </c>
      <c r="Q21" s="22">
        <f t="shared" si="16"/>
        <v>157340.05927162795</v>
      </c>
      <c r="R21" s="22">
        <f t="shared" si="16"/>
        <v>160130.42662894601</v>
      </c>
      <c r="S21" s="22">
        <f t="shared" si="16"/>
        <v>162970.62367311286</v>
      </c>
      <c r="T21" s="22">
        <f t="shared" si="16"/>
        <v>165861.58722126242</v>
      </c>
      <c r="U21" s="22">
        <f t="shared" si="16"/>
        <v>168804.27222910544</v>
      </c>
      <c r="V21" s="22">
        <f t="shared" si="16"/>
        <v>171799.65214772304</v>
      </c>
      <c r="W21" s="22">
        <f t="shared" si="16"/>
        <v>174848.71928743689</v>
      </c>
      <c r="X21" s="22">
        <f t="shared" si="16"/>
        <v>177952.48518889616</v>
      </c>
      <c r="Y21" s="22">
        <f t="shared" si="16"/>
        <v>181111.98100152527</v>
      </c>
      <c r="Z21" s="22">
        <f t="shared" si="16"/>
        <v>184328.25786947901</v>
      </c>
      <c r="AA21" s="22">
        <f t="shared" si="16"/>
        <v>187602.38732525462</v>
      </c>
      <c r="AB21" s="22">
        <f t="shared" si="16"/>
        <v>190935.46169111316</v>
      </c>
      <c r="AC21" s="22">
        <f t="shared" si="16"/>
        <v>194328.59448846595</v>
      </c>
      <c r="AD21" s="22">
        <f t="shared" ref="AD21" si="17">IF($C$16&gt;=AD20,AD18+AD16-AD17,0)</f>
        <v>197782.92085538464</v>
      </c>
      <c r="AE21" s="22">
        <f t="shared" ref="AE21" si="18">IF($C$16&gt;=AE20,AE18+AE16-AE17,0)</f>
        <v>201299.59797239673</v>
      </c>
      <c r="AF21" s="22">
        <f t="shared" ref="AF21" si="19">IF($C$16&gt;=AF20,AF18+AF16-AF17,0)</f>
        <v>204879.80549673169</v>
      </c>
      <c r="AG21" s="22">
        <f t="shared" ref="AG21" si="20">IF($C$16&gt;=AG20,AG18+AG16-AG17,0)</f>
        <v>208524.74600518573</v>
      </c>
      <c r="AH21" s="22">
        <f t="shared" ref="AH21" si="21">IF($C$16&gt;=AH20,AH18+AH16-AH17,0)</f>
        <v>212235.64544577763</v>
      </c>
    </row>
    <row r="22" spans="1:34" x14ac:dyDescent="0.3">
      <c r="A22" s="23">
        <f>INTERFAZ!E80</f>
        <v>1060974</v>
      </c>
      <c r="D22" s="4" t="s">
        <v>98</v>
      </c>
      <c r="E22" s="4">
        <f>IF($C$16&gt;=E15,$A$18,0)</f>
        <v>5000</v>
      </c>
      <c r="F22" s="4">
        <f t="shared" ref="F22:AC22" si="22">IF($C$16&gt;=F15,$A$18,0)</f>
        <v>5000</v>
      </c>
      <c r="G22" s="4">
        <f t="shared" si="22"/>
        <v>5000</v>
      </c>
      <c r="H22" s="4">
        <f t="shared" si="22"/>
        <v>5000</v>
      </c>
      <c r="I22" s="4">
        <f t="shared" si="22"/>
        <v>5000</v>
      </c>
      <c r="J22" s="4">
        <f t="shared" si="22"/>
        <v>5000</v>
      </c>
      <c r="K22" s="4">
        <f t="shared" si="22"/>
        <v>5000</v>
      </c>
      <c r="L22" s="4">
        <f t="shared" si="22"/>
        <v>5000</v>
      </c>
      <c r="M22" s="4">
        <f t="shared" si="22"/>
        <v>5000</v>
      </c>
      <c r="N22" s="4">
        <f t="shared" si="22"/>
        <v>5000</v>
      </c>
      <c r="O22" s="4">
        <f t="shared" si="22"/>
        <v>5000</v>
      </c>
      <c r="P22" s="4">
        <f t="shared" si="22"/>
        <v>5000</v>
      </c>
      <c r="Q22" s="4">
        <f t="shared" si="22"/>
        <v>5000</v>
      </c>
      <c r="R22" s="4">
        <f t="shared" si="22"/>
        <v>5000</v>
      </c>
      <c r="S22" s="4">
        <f t="shared" si="22"/>
        <v>5000</v>
      </c>
      <c r="T22" s="4">
        <f t="shared" si="22"/>
        <v>5000</v>
      </c>
      <c r="U22" s="4">
        <f t="shared" si="22"/>
        <v>5000</v>
      </c>
      <c r="V22" s="4">
        <f t="shared" si="22"/>
        <v>5000</v>
      </c>
      <c r="W22" s="4">
        <f t="shared" si="22"/>
        <v>5000</v>
      </c>
      <c r="X22" s="4">
        <f t="shared" si="22"/>
        <v>5000</v>
      </c>
      <c r="Y22" s="4">
        <f t="shared" si="22"/>
        <v>5000</v>
      </c>
      <c r="Z22" s="4">
        <f t="shared" si="22"/>
        <v>5000</v>
      </c>
      <c r="AA22" s="4">
        <f t="shared" si="22"/>
        <v>5000</v>
      </c>
      <c r="AB22" s="4">
        <f t="shared" si="22"/>
        <v>5000</v>
      </c>
      <c r="AC22" s="4">
        <f t="shared" si="22"/>
        <v>5000</v>
      </c>
      <c r="AD22" s="4">
        <f t="shared" ref="AD22:AH22" si="23">IF($C$16&gt;=AD15,$A$18,0)</f>
        <v>5000</v>
      </c>
      <c r="AE22" s="4">
        <f t="shared" si="23"/>
        <v>5000</v>
      </c>
      <c r="AF22" s="4">
        <f t="shared" si="23"/>
        <v>5000</v>
      </c>
      <c r="AG22" s="4">
        <f t="shared" si="23"/>
        <v>5000</v>
      </c>
      <c r="AH22" s="4">
        <f t="shared" si="23"/>
        <v>5000</v>
      </c>
    </row>
    <row r="23" spans="1:34" ht="15" thickBot="1" x14ac:dyDescent="0.35">
      <c r="A23" s="21" t="s">
        <v>96</v>
      </c>
    </row>
    <row r="24" spans="1:34" ht="18.600000000000001" thickBot="1" x14ac:dyDescent="0.4">
      <c r="A24" s="23">
        <f>INTERFAZ!E78*INTERFAZ!E59/100</f>
        <v>53048.7</v>
      </c>
      <c r="D24" s="24" t="s">
        <v>100</v>
      </c>
      <c r="E24" s="25">
        <f>SUM(E21:AH21)/SUM(E22:AH22)</f>
        <v>40.340517069512416</v>
      </c>
    </row>
    <row r="25" spans="1:34" x14ac:dyDescent="0.3">
      <c r="A25" s="26" t="s">
        <v>77</v>
      </c>
    </row>
    <row r="26" spans="1:34" x14ac:dyDescent="0.3">
      <c r="A26" s="27">
        <f>INTERFAZ!E63</f>
        <v>1</v>
      </c>
    </row>
    <row r="27" spans="1:34" hidden="1" x14ac:dyDescent="0.3">
      <c r="A27" s="27"/>
    </row>
    <row r="28" spans="1:34" x14ac:dyDescent="0.3">
      <c r="A28" s="23"/>
    </row>
    <row r="30" spans="1:34" x14ac:dyDescent="0.3">
      <c r="A30" s="4" t="s">
        <v>52</v>
      </c>
    </row>
    <row r="31" spans="1:34" x14ac:dyDescent="0.3">
      <c r="A31" s="28">
        <f>INTERFAZ!E72*INTERFAZ!E74/1000</f>
        <v>2655.9715799999999</v>
      </c>
    </row>
    <row r="33" spans="1:1" x14ac:dyDescent="0.3">
      <c r="A33" s="4" t="s">
        <v>94</v>
      </c>
    </row>
    <row r="34" spans="1:1" x14ac:dyDescent="0.3">
      <c r="A34" s="29">
        <f>INTERFAZ!E53</f>
        <v>36.877777777777773</v>
      </c>
    </row>
    <row r="36" spans="1:1" x14ac:dyDescent="0.3">
      <c r="A36" s="4" t="s">
        <v>53</v>
      </c>
    </row>
    <row r="37" spans="1:1" x14ac:dyDescent="0.3">
      <c r="A37" s="30">
        <f>A31*INTERFAZ!E55</f>
        <v>603.3305041128001</v>
      </c>
    </row>
    <row r="39" spans="1:1" x14ac:dyDescent="0.3">
      <c r="A39" s="4" t="s">
        <v>54</v>
      </c>
    </row>
    <row r="40" spans="1:1" x14ac:dyDescent="0.3">
      <c r="A40" s="4">
        <f>INTERFAZ!E57</f>
        <v>20</v>
      </c>
    </row>
  </sheetData>
  <sheetProtection algorithmName="SHA-512" hashValue="HC528OzE/LI8H8JfJlcaDsWC8kcP77YuM2ApVEBP7Lj5kvU6ndjEK/2JeXHADyEM44Ytt8aDewMz8oLwWJ4Uog==" saltValue="Bh5mmhNQgeR/SS5sy+6khA==" spinCount="100000" sheet="1" objects="1" scenarios="1"/>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6</vt:i4>
      </vt:variant>
    </vt:vector>
  </HeadingPairs>
  <TitlesOfParts>
    <vt:vector size="10" baseType="lpstr">
      <vt:lpstr>INTERFAZ</vt:lpstr>
      <vt:lpstr>AYUDA</vt:lpstr>
      <vt:lpstr>LISTADO</vt:lpstr>
      <vt:lpstr>CALCULOS</vt:lpstr>
      <vt:lpstr>AIRE</vt:lpstr>
      <vt:lpstr>INTERFAZ!Área_de_impresión</vt:lpstr>
      <vt:lpstr>ETC</vt:lpstr>
      <vt:lpstr>PLANO1</vt:lpstr>
      <vt:lpstr>PLANO2</vt:lpstr>
      <vt:lpstr>WESSUN</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rgetm</cp:lastModifiedBy>
  <cp:lastPrinted>2022-09-09T12:51:06Z</cp:lastPrinted>
  <dcterms:created xsi:type="dcterms:W3CDTF">2022-06-13T01:36:17Z</dcterms:created>
  <dcterms:modified xsi:type="dcterms:W3CDTF">2024-05-28T17:23:52Z</dcterms:modified>
</cp:coreProperties>
</file>
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Practicas_Inst2\6_Energia_Solar\Calculos\"/>
    </mc:Choice>
  </mc:AlternateContent>
  <xr:revisionPtr revIDLastSave="0" documentId="13_ncr:1_{9D750553-C1F6-49EE-97A8-129FA6C278DE}" xr6:coauthVersionLast="47" xr6:coauthVersionMax="47" xr10:uidLastSave="{00000000-0000-0000-0000-000000000000}"/>
  <bookViews>
    <workbookView xWindow="-28920" yWindow="-120" windowWidth="29040" windowHeight="15720" tabRatio="758" activeTab="1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3" l="1"/>
  <c r="I27" i="18"/>
  <c r="I26" i="18"/>
  <c r="I25" i="18"/>
  <c r="I24" i="18"/>
  <c r="I23" i="18"/>
  <c r="I22" i="18"/>
  <c r="I21" i="18"/>
  <c r="I20" i="18"/>
  <c r="I19" i="18"/>
  <c r="I18" i="18"/>
  <c r="I17" i="18"/>
  <c r="I16" i="18"/>
  <c r="G7" i="18"/>
  <c r="G46" i="19" s="1"/>
  <c r="G8" i="19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E50" i="20" s="1"/>
  <c r="E65" i="20" s="1"/>
  <c r="F35" i="20"/>
  <c r="F50" i="20" s="1"/>
  <c r="D36" i="20"/>
  <c r="E36" i="20"/>
  <c r="E51" i="20" s="1"/>
  <c r="E66" i="20" s="1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D51" i="20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H77" i="28" s="1"/>
  <c r="F73" i="28"/>
  <c r="G73" i="28"/>
  <c r="H73" i="28"/>
  <c r="I73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/>
  <c r="L22" i="25"/>
  <c r="M22" i="25"/>
  <c r="O22" i="25" s="1"/>
  <c r="AY22" i="25"/>
  <c r="BI22" i="25"/>
  <c r="BJ22" i="25"/>
  <c r="BK22" i="25"/>
  <c r="BL22" i="25"/>
  <c r="H23" i="25"/>
  <c r="J23" i="25"/>
  <c r="K23" i="25" s="1"/>
  <c r="L23" i="25"/>
  <c r="M23" i="25"/>
  <c r="O23" i="25" s="1"/>
  <c r="AY23" i="25"/>
  <c r="BI23" i="25"/>
  <c r="BJ23" i="25"/>
  <c r="BK23" i="25"/>
  <c r="BL23" i="25"/>
  <c r="H24" i="25"/>
  <c r="J24" i="25"/>
  <c r="K24" i="25" s="1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 s="1"/>
  <c r="F27" i="25" s="1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W45" i="25"/>
  <c r="X45" i="25" s="1"/>
  <c r="H62" i="25"/>
  <c r="H5" i="24"/>
  <c r="H6" i="24"/>
  <c r="H11" i="24"/>
  <c r="F24" i="24"/>
  <c r="G24" i="24"/>
  <c r="H24" i="24"/>
  <c r="I24" i="24"/>
  <c r="U24" i="24"/>
  <c r="V24" i="24" s="1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11" i="23"/>
  <c r="G24" i="23"/>
  <c r="H24" i="23"/>
  <c r="I24" i="23"/>
  <c r="J24" i="23"/>
  <c r="V24" i="23"/>
  <c r="W24" i="23" s="1"/>
  <c r="G25" i="23"/>
  <c r="H25" i="23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H57" i="24" l="1"/>
  <c r="H8" i="24"/>
  <c r="H50" i="24" s="1"/>
  <c r="J36" i="20"/>
  <c r="J51" i="20" s="1"/>
  <c r="J35" i="20"/>
  <c r="J50" i="20" s="1"/>
  <c r="J33" i="20"/>
  <c r="J48" i="20" s="1"/>
  <c r="J28" i="20"/>
  <c r="J43" i="20" s="1"/>
  <c r="J34" i="20"/>
  <c r="J49" i="20" s="1"/>
  <c r="J32" i="20"/>
  <c r="J38" i="20"/>
  <c r="J53" i="20" s="1"/>
  <c r="J30" i="20"/>
  <c r="J45" i="20" s="1"/>
  <c r="D45" i="25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W24" i="24"/>
  <c r="X25" i="23"/>
  <c r="X24" i="23"/>
  <c r="I31" i="20"/>
  <c r="J39" i="20"/>
  <c r="J29" i="20"/>
  <c r="J44" i="20" s="1"/>
  <c r="H8" i="35"/>
  <c r="H52" i="35" s="1"/>
  <c r="H8" i="31"/>
  <c r="H52" i="31" s="1"/>
  <c r="H8" i="32"/>
  <c r="H60" i="32" s="1"/>
  <c r="F58" i="18"/>
  <c r="H13" i="19" s="1"/>
  <c r="H17" i="19" s="1"/>
  <c r="H75" i="33"/>
  <c r="J37" i="20"/>
  <c r="J31" i="20"/>
  <c r="J46" i="20" s="1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67" i="20" s="1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I3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78" i="23"/>
  <c r="H73" i="23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60" i="24" l="1"/>
  <c r="H57" i="32"/>
  <c r="H52" i="23"/>
  <c r="I44" i="20"/>
  <c r="I59" i="20"/>
  <c r="H53" i="25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O39" i="20" l="1"/>
  <c r="J69" i="20"/>
  <c r="K69" i="20" s="1"/>
  <c r="K54" i="20"/>
  <c r="M39" i="20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9" i="20" l="1"/>
  <c r="Q39" i="20" s="1"/>
  <c r="R39" i="20" s="1"/>
  <c r="P28" i="20"/>
  <c r="Q28" i="20" s="1"/>
  <c r="R28" i="20" s="1"/>
  <c r="P37" i="20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M58" i="20" s="1"/>
  <c r="G55" i="20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R40" i="20" l="1"/>
  <c r="G20" i="20" s="1"/>
  <c r="Q40" i="20"/>
  <c r="G19" i="20" s="1"/>
  <c r="G57" i="19" s="1"/>
  <c r="G73" i="20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<sst xmlns="http://schemas.openxmlformats.org/spreadsheetml/2006/main" count="2339" uniqueCount="750">
  <si>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</si>
  <si>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</si>
  <si>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</si>
  <si>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</si>
  <si>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</si>
  <si>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</si>
  <si>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</si>
  <si>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</si>
  <si>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</si>
  <si>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</si>
  <si>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</si>
  <si>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</si>
  <si>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</si>
  <si>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</si>
  <si>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</si>
  <si>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</si>
  <si>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</si>
  <si>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</si>
  <si>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</si>
  <si>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</si>
  <si>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</si>
  <si>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</si>
  <si>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</si>
  <si>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</si>
  <si>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</si>
  <si>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</si>
  <si>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</si>
  <si>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</si>
  <si>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</si>
  <si>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</si>
  <si>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</si>
  <si>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</si>
  <si>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</si>
  <si>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</si>
  <si>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</si>
  <si>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</si>
  <si>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</si>
  <si>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</si>
  <si>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</si>
  <si>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</si>
  <si>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</si>
  <si>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</si>
  <si>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</si>
  <si>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</si>
  <si>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</si>
  <si>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</si>
  <si>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</si>
  <si>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</si>
  <si>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</si>
  <si>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</si>
  <si>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</si>
  <si>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</si>
  <si>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</si>
  <si>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</si>
  <si>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</si>
  <si>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</si>
  <si>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</si>
  <si>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</si>
  <si>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</si>
  <si>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</si>
  <si>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</si>
  <si>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</si>
  <si>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</si>
  <si>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</si>
  <si>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</si>
  <si>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</si>
  <si>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</si>
  <si>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</si>
  <si>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</si>
  <si>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</si>
  <si>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</si>
  <si>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</si>
  <si>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</si>
  <si>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</si>
  <si>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</si>
  <si>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</si>
  <si>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</si>
  <si>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</si>
  <si>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</si>
  <si>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</si>
  <si>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</si>
  <si>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</si>
  <si>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</si>
  <si>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</si>
  <si>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</si>
  <si>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</si>
  <si>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</si>
  <si>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</si>
  <si>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</si>
  <si>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</si>
  <si>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</si>
  <si>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</si>
  <si>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</si>
  <si>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</si>
  <si>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</si>
  <si>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</si>
  <si>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</si>
  <si>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</si>
  <si>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</si>
  <si>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</si>
  <si>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</si>
  <si>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</si>
  <si>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</si>
  <si>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</si>
  <si>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</si>
  <si>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</si>
  <si>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</si>
  <si>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</si>
  <si>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</si>
  <si>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</si>
  <si>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</si>
  <si>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</si>
  <si>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</si>
  <si>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</si>
  <si>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</si>
  <si>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</si>
  <si>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</si>
  <si>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</si>
  <si>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</si>
  <si>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</si>
  <si>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</si>
  <si>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</si>
  <si>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</si>
  <si>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</si>
  <si>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</si>
  <si>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</si>
  <si>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</si>
  <si>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</si>
  <si>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</si>
  <si>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</si>
  <si>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</si>
  <si>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</si>
  <si>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</si>
  <si>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</si>
  <si>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</si>
  <si>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</si>
  <si>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</si>
  <si>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</si>
  <si>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</si>
  <si>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</si>
  <si>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</si>
  <si>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</si>
  <si>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</si>
  <si>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</si>
  <si>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</si>
  <si>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</si>
  <si>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</si>
  <si>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</si>
  <si>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</si>
  <si>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</si>
  <si>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</si>
  <si>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</si>
  <si>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</si>
  <si>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</si>
  <si>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</si>
  <si>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</si>
  <si>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</si>
  <si>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</si>
  <si>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</si>
  <si>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</si>
  <si>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</si>
  <si>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</si>
  <si>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</si>
  <si>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</si>
  <si>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</si>
  <si>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</si>
  <si>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</si>
  <si>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</si>
  <si>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</si>
  <si>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</si>
  <si>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</si>
  <si>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</si>
  <si>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</si>
  <si>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</si>
  <si>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</si>
  <si>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</si>
  <si>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</si>
  <si>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</si>
  <si>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</si>
  <si>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</si>
  <si>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</si>
  <si>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</si>
  <si>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</si>
  <si>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</si>
  <si>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</si>
  <si>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</si>
  <si>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</si>
  <si>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</si>
  <si>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</si>
  <si>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</si>
  <si>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</si>
  <si>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</si>
  <si>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</si>
  <si>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</si>
  <si>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</si>
  <si>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</si>
  <si>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</si>
  <si>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</si>
  <si>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</si>
  <si>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</si>
  <si>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</si>
  <si>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</si>
  <si>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</si>
  <si>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</si>
  <si>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</si>
  <si>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</si>
  <si>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</si>
  <si>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</si>
  <si>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</si>
  <si>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</si>
  <si>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</si>
  <si>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</si>
  <si>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</si>
  <si>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</si>
  <si>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</si>
  <si>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</si>
  <si>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</si>
  <si>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</si>
  <si>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</si>
  <si>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</si>
  <si>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</si>
  <si>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</si>
  <si>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</si>
  <si>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</si>
  <si>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</si>
  <si>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</si>
  <si>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</si>
  <si>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</si>
  <si>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</si>
  <si>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</si>
  <si>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</si>
  <si>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</si>
  <si>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</si>
  <si>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</si>
  <si>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</si>
  <si>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</si>
  <si>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</si>
  <si>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</si>
  <si>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</si>
  <si>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</si>
  <si>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</si>
  <si>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</si>
  <si>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</si>
  <si>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</si>
  <si>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</si>
  <si>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</si>
  <si>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</si>
  <si>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</si>
  <si>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</si>
  <si>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</si>
  <si>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</si>
  <si>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</si>
  <si>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</si>
  <si>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</si>
  <si>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</si>
  <si>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</si>
  <si>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</si>
  <si>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</si>
  <si>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</si>
  <si>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</si>
  <si>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</si>
  <si>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</si>
  <si>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</si>
  <si>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</si>
  <si>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</si>
  <si>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</si>
  <si>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</si>
  <si>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</si>
  <si>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</si>
  <si>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</si>
  <si>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</si>
  <si>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</si>
  <si>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</si>
  <si>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</si>
  <si>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</si>
  <si>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</si>
  <si>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</si>
  <si>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</si>
  <si>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</si>
  <si>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</si>
  <si>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</si>
  <si>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</si>
  <si>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</si>
  <si>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</si>
  <si>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</si>
  <si>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</si>
  <si>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</si>
  <si>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</si>
  <si>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</si>
  <si>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</si>
  <si>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</si>
  <si>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</si>
  <si>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</si>
  <si>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</si>
  <si>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</si>
  <si>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</si>
  <si>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</si>
  <si>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</si>
  <si>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</si>
  <si>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</si>
  <si>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</si>
  <si>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</si>
  <si>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</si>
  <si>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</si>
  <si>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</si>
  <si>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</si>
  <si>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</si>
  <si>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</si>
  <si>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</si>
  <si>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</si>
  <si>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</si>
  <si>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</si>
  <si>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</si>
  <si>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</si>
  <si>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</si>
  <si>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</si>
  <si>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</si>
  <si>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</si>
  <si>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</si>
  <si>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</si>
  <si>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</si>
  <si>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</si>
  <si>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</si>
  <si>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</si>
  <si>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</si>
  <si>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</si>
  <si>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</si>
  <si>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</si>
  <si>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</si>
  <si>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</si>
  <si>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</si>
  <si>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</si>
  <si>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</si>
  <si>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</si>
  <si>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</si>
  <si>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</si>
  <si>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</si>
  <si>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</si>
  <si>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</si>
  <si>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</si>
  <si>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</si>
  <si>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</si>
  <si>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</si>
  <si>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</si>
  <si>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</si>
  <si>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</si>
  <si>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</si>
  <si>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</si>
  <si>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</si>
  <si>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</si>
  <si>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</si>
  <si>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</si>
  <si>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</si>
  <si>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</si>
  <si>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</si>
  <si>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</si>
  <si>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</si>
  <si>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</si>
  <si>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</si>
  <si>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</si>
  <si>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</si>
  <si>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</si>
  <si>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</si>
  <si>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</si>
  <si>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</si>
  <si>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</si>
  <si>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</si>
  <si>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</si>
  <si>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</si>
  <si>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</si>
  <si>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</si>
  <si>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</si>
  <si>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</si>
  <si>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</si>
  <si>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</si>
  <si>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</si>
  <si>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</si>
  <si>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</si>
  <si>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</si>
  <si>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</si>
  <si>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</si>
  <si>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</si>
  <si>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</si>
  <si>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</si>
  <si>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</si>
  <si>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</si>
  <si>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</si>
  <si>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</si>
  <si>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</si>
  <si>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</si>
  <si>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</si>
  <si>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</si>
  <si>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</si>
  <si>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</si>
  <si>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</si>
  <si>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</si>
  <si>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</si>
  <si>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</si>
  <si>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</si>
  <si>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</si>
  <si>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</si>
  <si>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</si>
  <si>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</si>
  <si>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</si>
  <si>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</si>
  <si>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</si>
  <si>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</si>
  <si>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</si>
  <si>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</si>
  <si>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</si>
  <si>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</si>
  <si>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</si>
  <si>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</si>
  <si>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</si>
  <si>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</si>
  <si>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</si>
  <si>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</si>
  <si>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</si>
  <si>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</si>
  <si>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</si>
  <si>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</si>
  <si>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</si>
  <si>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</si>
  <si>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</si>
  <si>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</si>
  <si>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</si>
  <si>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</si>
  <si>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</si>
  <si>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</si>
  <si>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</si>
  <si>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</si>
  <si>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</si>
  <si>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</si>
  <si>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</si>
  <si>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</si>
  <si>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</si>
  <si>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</si>
  <si>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</si>
  <si>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</si>
  <si>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</si>
  <si>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</si>
  <si>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</si>
  <si>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</si>
  <si>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</si>
  <si>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</si>
  <si>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</si>
  <si>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</si>
  <si>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</si>
  <si>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</si>
  <si>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</si>
  <si>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</si>
  <si>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</si>
  <si>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</si>
  <si>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</si>
  <si>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</si>
  <si>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</si>
  <si>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</si>
  <si>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</si>
  <si>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</si>
  <si>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</si>
  <si>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</si>
  <si>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</si>
  <si>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</si>
  <si>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</si>
  <si>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</si>
  <si>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</si>
  <si>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</si>
  <si>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</si>
  <si>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</si>
  <si>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</si>
  <si>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</si>
  <si>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</si>
  <si>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</si>
  <si>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</si>
  <si>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</si>
  <si>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</si>
  <si>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</si>
  <si>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</si>
  <si>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</si>
  <si>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</si>
  <si>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</si>
  <si>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</si>
  <si>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</si>
  <si>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</si>
  <si>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</si>
  <si>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</si>
  <si>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</si>
  <si>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</si>
  <si>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</si>
  <si>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</si>
  <si>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</si>
  <si>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</si>
  <si>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</si>
  <si>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</si>
  <si>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</si>
  <si>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</si>
  <si>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</si>
  <si>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</si>
  <si>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</si>
  <si>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</si>
  <si>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</si>
  <si>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</si>
  <si>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</si>
  <si>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</si>
  <si>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</si>
  <si>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</si>
  <si>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</si>
  <si>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</si>
  <si>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</si>
  <si>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</si>
  <si>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</si>
  <si>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</si>
  <si>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</si>
  <si>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</si>
  <si>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</si>
  <si>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</si>
  <si>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</si>
  <si>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</si>
  <si>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</si>
  <si>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</si>
  <si>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</si>
  <si>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</si>
  <si>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</si>
  <si>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</si>
  <si>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</si>
  <si>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</si>
  <si>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</si>
  <si>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</si>
  <si>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</si>
  <si>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</si>
  <si>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</si>
  <si>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</si>
  <si>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</si>
  <si>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</si>
  <si>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</si>
  <si>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</si>
  <si>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</si>
  <si>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</si>
  <si>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</si>
  <si>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</si>
  <si>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</si>
  <si>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</si>
  <si>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</si>
  <si>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</si>
  <si>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</si>
  <si>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</si>
  <si>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</si>
  <si>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</si>
  <si>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</si>
  <si>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</si>
  <si>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</si>
  <si>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</si>
  <si>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</si>
  <si>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</si>
  <si>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</si>
  <si>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</si>
  <si>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</si>
  <si>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</si>
  <si>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</si>
  <si>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</si>
  <si>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</si>
  <si>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</si>
  <si>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</si>
  <si>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</si>
  <si>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</si>
  <si>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</si>
  <si>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</si>
  <si>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</si>
  <si>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</si>
  <si>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</si>
  <si>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</si>
  <si>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</si>
  <si>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</si>
  <si>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</si>
  <si>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</si>
  <si>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</si>
  <si>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</si>
  <si>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</si>
  <si>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</si>
  <si>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</si>
  <si>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</si>
  <si>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</si>
  <si>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</si>
  <si>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</si>
  <si>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</si>
  <si>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</si>
  <si>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</si>
  <si>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</si>
  <si>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</si>
  <si>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</si>
  <si>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</si>
  <si>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</si>
  <si>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</si>
  <si>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</si>
  <si>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</si>
  <si>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</si>
  <si>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</si>
  <si>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</si>
  <si>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</si>
  <si>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</si>
  <si>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</si>
  <si>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</si>
  <si>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</si>
  <si>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</si>
  <si>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</si>
  <si>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</si>
  <si>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</si>
  <si>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</si>
  <si>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</si>
  <si>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</si>
  <si>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</si>
  <si>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</si>
  <si>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</si>
  <si>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</si>
  <si>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</si>
  <si>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</si>
  <si>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</si>
  <si>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</si>
  <si>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</si>
  <si>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</si>
  <si>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</si>
  <si>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</si>
  <si>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</si>
  <si>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</si>
  <si>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</si>
  <si>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</si>
  <si>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</si>
  <si>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</si>
  <si>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</si>
  <si>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</si>
  <si>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</si>
  <si>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</si>
  <si>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</si>
  <si>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</si>
  <si>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</si>
  <si>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</si>
  <si>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</si>
  <si>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</si>
  <si>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</si>
  <si>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</si>
  <si>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</si>
  <si>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</si>
  <si>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</si>
  <si>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</si>
  <si>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</si>
  <si>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</si>
  <si>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</si>
  <si>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</si>
  <si>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</si>
  <si>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</si>
  <si>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</si>
  <si>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</si>
  <si>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</si>
  <si>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</si>
  <si>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</si>
  <si>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</si>
  <si>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</si>
  <si>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</si>
  <si>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</si>
  <si>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</si>
  <si>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</si>
  <si>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</si>
  <si>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</si>
  <si>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</si>
  <si>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</si>
  <si>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</si>
  <si>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</si>
  <si>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</si>
  <si>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</si>
  <si>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</si>
  <si>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</si>
  <si>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</si>
  <si>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</si>
  <si>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</si>
  <si>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</si>
  <si>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</si>
  <si>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</si>
  <si>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</si>
  <si>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</si>
  <si>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</si>
  <si>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</si>
  <si>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</si>
  <si>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</si>
  <si>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</si>
  <si>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</si>
  <si>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</si>
  <si>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</si>
  <si>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</si>
  <si>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</si>
  <si>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</si>
  <si>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</si>
  <si>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</si>
  <si>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</si>
  <si>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</si>
  <si>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</si>
  <si>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</si>
  <si>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</si>
  <si>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</si>
  <si>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</si>
  <si>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</si>
  <si>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</si>
  <si>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</si>
  <si>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</si>
  <si>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</si>
  <si>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</si>
  <si>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</si>
  <si>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</si>
  <si>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</si>
  <si>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</si>
  <si>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</si>
  <si>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</si>
  <si>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</si>
  <si>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</si>
  <si>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</si>
  <si>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</si>
  <si>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</si>
  <si>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</si>
  <si>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</si>
  <si>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</si>
  <si>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</si>
  <si>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</si>
  <si>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</si>
  <si>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</si>
  <si>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</si>
  <si>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</si>
  <si>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</si>
  <si>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</si>
  <si>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</si>
  <si>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</si>
  <si>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</si>
  <si>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</si>
  <si>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</si>
  <si>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</si>
  <si>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</si>
  <si>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</si>
  <si>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</si>
  <si>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</si>
  <si>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</si>
  <si>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</si>
  <si>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</si>
  <si>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</si>
  <si>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</si>
  <si>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</si>
  <si>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Práctica Energía Solar Térmica (Instalaciones II)</t>
  </si>
  <si>
    <t>Autores</t>
  </si>
  <si>
    <t>Salamanca</t>
  </si>
  <si>
    <t>Alberto España Carrete 
Carlos Fernández Palanca 
Rubén Modino López
Juan Diego Niño González</t>
  </si>
  <si>
    <t>2.2</t>
  </si>
  <si>
    <t>0.8</t>
  </si>
  <si>
    <t>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</si>
</sst>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/>
      <protection locked="0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4" borderId="0" xfId="0" applyFont="1" applyFill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left" vertical="center" wrapText="1"/>
      <protection locked="0" hidden="1"/>
    </xf>
    <xf numFmtId="0" fontId="63" fillId="10" borderId="0" xfId="0" applyFont="1" applyFill="1" applyAlignment="1" applyProtection="1">
      <alignment horizontal="left" vertical="center"/>
      <protection locked="0" hidden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horizontal="left"/>
    </xf>
    <xf numFmtId="0" fontId="62" fillId="0" borderId="0" xfId="0" applyFont="1" applyAlignment="1" applyProtection="1">
      <alignment horizontal="left"/>
      <protection hidden="1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balance energético</a:t>
            </a:r>
          </a:p>
        </c:rich>
      </c:tx>
      <c:layout>
        <c:manualLayout>
          <c:xMode val="edge"/>
          <c:yMode val="edge"/>
          <c:x val="0.45289711673177618"/>
          <c:y val="6.1405676785246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1578.2843999999998</c:v>
                </c:pt>
                <c:pt idx="1">
                  <c:v>1399.6281599999998</c:v>
                </c:pt>
                <c:pt idx="2">
                  <c:v>1492.1961599999997</c:v>
                </c:pt>
                <c:pt idx="3">
                  <c:v>1388.5199999999998</c:v>
                </c:pt>
                <c:pt idx="4">
                  <c:v>1406.1079199999997</c:v>
                </c:pt>
                <c:pt idx="5">
                  <c:v>1332.9791999999998</c:v>
                </c:pt>
                <c:pt idx="6">
                  <c:v>1348.7157599999998</c:v>
                </c:pt>
                <c:pt idx="7">
                  <c:v>1377.4118399999998</c:v>
                </c:pt>
                <c:pt idx="8">
                  <c:v>1360.7495999999996</c:v>
                </c:pt>
                <c:pt idx="9">
                  <c:v>1434.8039999999996</c:v>
                </c:pt>
                <c:pt idx="10">
                  <c:v>1444.0607999999997</c:v>
                </c:pt>
                <c:pt idx="11">
                  <c:v>1578.2843999999998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753.81744351573127</c:v>
                </c:pt>
                <c:pt idx="1">
                  <c:v>932.11454405643417</c:v>
                </c:pt>
                <c:pt idx="2">
                  <c:v>1204.3259916165841</c:v>
                </c:pt>
                <c:pt idx="3">
                  <c:v>1200.4342881679154</c:v>
                </c:pt>
                <c:pt idx="4">
                  <c:v>1232.2791356657751</c:v>
                </c:pt>
                <c:pt idx="5">
                  <c:v>1265.9741015290226</c:v>
                </c:pt>
                <c:pt idx="6">
                  <c:v>1348.7157599999998</c:v>
                </c:pt>
                <c:pt idx="7">
                  <c:v>1377.4118399999998</c:v>
                </c:pt>
                <c:pt idx="8">
                  <c:v>1360.7495999999996</c:v>
                </c:pt>
                <c:pt idx="9">
                  <c:v>1260.9593037263749</c:v>
                </c:pt>
                <c:pt idx="10">
                  <c:v>948.4718844996753</c:v>
                </c:pt>
                <c:pt idx="11">
                  <c:v>698.42580086557837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946.97063999999978</c:v>
                </c:pt>
                <c:pt idx="1">
                  <c:v>839.77689599999985</c:v>
                </c:pt>
                <c:pt idx="2">
                  <c:v>895.31769599999984</c:v>
                </c:pt>
                <c:pt idx="3">
                  <c:v>833.11199999999985</c:v>
                </c:pt>
                <c:pt idx="4">
                  <c:v>843.66475199999979</c:v>
                </c:pt>
                <c:pt idx="5">
                  <c:v>799.78751999999986</c:v>
                </c:pt>
                <c:pt idx="6">
                  <c:v>809.22945599999991</c:v>
                </c:pt>
                <c:pt idx="7">
                  <c:v>826.44710399999985</c:v>
                </c:pt>
                <c:pt idx="8">
                  <c:v>816.44975999999974</c:v>
                </c:pt>
                <c:pt idx="9">
                  <c:v>860.88239999999973</c:v>
                </c:pt>
                <c:pt idx="10">
                  <c:v>866.43647999999985</c:v>
                </c:pt>
                <c:pt idx="11">
                  <c:v>946.97063999999978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545788140635139"/>
          <c:y val="0.9093888323910374"/>
          <c:w val="0.47399480850499554"/>
          <c:h val="6.725383647907995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1" val="0"/>
</file>

<file path=xl/ctrlProps/ctrlProp373.xml><?xml version="1.0" encoding="utf-8"?>
<formControlPr xmlns="http://schemas.microsoft.com/office/spreadsheetml/2009/9/main" objectType="Drop" dropStyle="combo" dx="26" fmlaLink="$AV$25" fmlaRange="$AJ$25:$AJ$33" sel="1" val="0"/>
</file>

<file path=xl/ctrlProps/ctrlProp374.xml><?xml version="1.0" encoding="utf-8"?>
<formControlPr xmlns="http://schemas.microsoft.com/office/spreadsheetml/2009/9/main" objectType="Drop" dropStyle="combo" dx="26" fmlaLink="$AU$26" fmlaRange="$AJ$42:$AJ$48" sel="1" val="0"/>
</file>

<file path=xl/ctrlProps/ctrlProp375.xml><?xml version="1.0" encoding="utf-8"?>
<formControlPr xmlns="http://schemas.microsoft.com/office/spreadsheetml/2009/9/main" objectType="Drop" dropStyle="combo" dx="26" fmlaLink="$AV$26" fmlaRange="$AJ$25:$AJ$33" sel="1" val="0"/>
</file>

<file path=xl/ctrlProps/ctrlProp376.xml><?xml version="1.0" encoding="utf-8"?>
<formControlPr xmlns="http://schemas.microsoft.com/office/spreadsheetml/2009/9/main" objectType="Drop" dropStyle="combo" dx="26" fmlaLink="$AU$27" fmlaRange="$AJ$42:$AJ$48" sel="1" val="0"/>
</file>

<file path=xl/ctrlProps/ctrlProp377.xml><?xml version="1.0" encoding="utf-8"?>
<formControlPr xmlns="http://schemas.microsoft.com/office/spreadsheetml/2009/9/main" objectType="Drop" dropStyle="combo" dx="26" fmlaLink="$AV$27" fmlaRange="$AJ$25:$AJ$33" sel="1" val="0"/>
</file>

<file path=xl/ctrlProps/ctrlProp378.xml><?xml version="1.0" encoding="utf-8"?>
<formControlPr xmlns="http://schemas.microsoft.com/office/spreadsheetml/2009/9/main" objectType="Drop" dropStyle="combo" dx="26" fmlaLink="$AU$28" fmlaRange="$AJ$42:$AJ$48" sel="1" val="0"/>
</file>

<file path=xl/ctrlProps/ctrlProp379.xml><?xml version="1.0" encoding="utf-8"?>
<formControlPr xmlns="http://schemas.microsoft.com/office/spreadsheetml/2009/9/main" objectType="Drop" dropStyle="combo" dx="26" fmlaLink="$AV$28" fmlaRange="$AJ$25:$AJ$33" sel="1" val="0"/>
</file>

<file path=xl/ctrlProps/ctrlProp380.xml><?xml version="1.0" encoding="utf-8"?>
<formControlPr xmlns="http://schemas.microsoft.com/office/spreadsheetml/2009/9/main" objectType="Drop" dropStyle="combo" dx="26" fmlaLink="$AW$25" fmlaRange="$AJ$25:$AJ$33" sel="1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1" val="0"/>
</file>

<file path=xl/ctrlProps/ctrlProp398.xml><?xml version="1.0" encoding="utf-8"?>
<formControlPr xmlns="http://schemas.microsoft.com/office/spreadsheetml/2009/9/main" objectType="Drop" dropStyle="combo" dx="26" fmlaLink="$AV$29" fmlaRange="$AJ$25:$AJ$33" sel="1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1" val="0"/>
</file>

<file path=xl/ctrlProps/ctrlProp404.xml><?xml version="1.0" encoding="utf-8"?>
<formControlPr xmlns="http://schemas.microsoft.com/office/spreadsheetml/2009/9/main" objectType="Drop" dropStyle="combo" dx="26" fmlaLink="$AV$30" fmlaRange="$AJ$25:$AJ$33" sel="1" val="0"/>
</file>

<file path=xl/ctrlProps/ctrlProp405.xml><?xml version="1.0" encoding="utf-8"?>
<formControlPr xmlns="http://schemas.microsoft.com/office/spreadsheetml/2009/9/main" objectType="Drop" dropStyle="combo" dx="26" fmlaLink="$AW$30" fmlaRange="$AJ$25:$AJ$33" sel="1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1" val="0"/>
</file>

<file path=xl/ctrlProps/ctrlProp508.xml><?xml version="1.0" encoding="utf-8"?>
<formControlPr xmlns="http://schemas.microsoft.com/office/spreadsheetml/2009/9/main" objectType="Drop" dropStyle="combo" dx="26" fmlaLink="$AU$25" fmlaRange="$AJ$42:$AJ$48" sel="1" val="0"/>
</file>

<file path=xl/ctrlProps/ctrlProp509.xml><?xml version="1.0" encoding="utf-8"?>
<formControlPr xmlns="http://schemas.microsoft.com/office/spreadsheetml/2009/9/main" objectType="Drop" dropStyle="combo" dx="26" fmlaLink="$AV$25" fmlaRange="$AJ$25:$AJ$33" sel="1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1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1" val="0"/>
</file>

<file path=xl/ctrlProps/ctrlProp622.xml><?xml version="1.0" encoding="utf-8"?>
<formControlPr xmlns="http://schemas.microsoft.com/office/spreadsheetml/2009/9/main" objectType="Drop" dropStyle="combo" dx="26" fmlaLink="$AZ$23" fmlaRange="$AO$29:$AO$37" sel="1" val="0"/>
</file>

<file path=xl/ctrlProps/ctrlProp623.xml><?xml version="1.0" encoding="utf-8"?>
<formControlPr xmlns="http://schemas.microsoft.com/office/spreadsheetml/2009/9/main" objectType="Drop" dropStyle="combo" dx="26" fmlaLink="$AZ$24" fmlaRange="$AO$29:$AO$37" sel="1" val="0"/>
</file>

<file path=xl/ctrlProps/ctrlProp624.xml><?xml version="1.0" encoding="utf-8"?>
<formControlPr xmlns="http://schemas.microsoft.com/office/spreadsheetml/2009/9/main" objectType="Drop" dropStyle="combo" dx="26" fmlaLink="$AZ$25" fmlaRange="$AO$29:$AO$37" sel="1" val="0"/>
</file>

<file path=xl/ctrlProps/ctrlProp625.xml><?xml version="1.0" encoding="utf-8"?>
<formControlPr xmlns="http://schemas.microsoft.com/office/spreadsheetml/2009/9/main" objectType="Drop" dropStyle="combo" dx="26" fmlaLink="$AZ$25" fmlaRange="$AO$29:$AO$37" sel="1" val="0"/>
</file>

<file path=xl/ctrlProps/ctrlProp626.xml><?xml version="1.0" encoding="utf-8"?>
<formControlPr xmlns="http://schemas.microsoft.com/office/spreadsheetml/2009/9/main" objectType="Drop" dropStyle="combo" dx="26" fmlaLink="$AZ$26" fmlaRange="$AO$29:$AO$37" sel="1" val="0"/>
</file>

<file path=xl/ctrlProps/ctrlProp627.xml><?xml version="1.0" encoding="utf-8"?>
<formControlPr xmlns="http://schemas.microsoft.com/office/spreadsheetml/2009/9/main" objectType="Drop" dropStyle="combo" dx="26" fmlaLink="$AZ$27" fmlaRange="$AO$29:$AO$37" sel="1" val="0"/>
</file>

<file path=xl/ctrlProps/ctrlProp628.xml><?xml version="1.0" encoding="utf-8"?>
<formControlPr xmlns="http://schemas.microsoft.com/office/spreadsheetml/2009/9/main" objectType="Drop" dropStyle="combo" dx="26" fmlaLink="$AZ$23" fmlaRange="$M$10:$M$16" sel="1" val="0"/>
</file>

<file path=xl/ctrlProps/ctrlProp629.xml><?xml version="1.0" encoding="utf-8"?>
<formControlPr xmlns="http://schemas.microsoft.com/office/spreadsheetml/2009/9/main" objectType="Drop" dropStyle="combo" dx="26" fmlaLink="$AZ$24" fmlaRange="$AO$29:$AO$37" sel="1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1" val="0"/>
</file>

<file path=xl/ctrlProps/ctrlProp654.xml><?xml version="1.0" encoding="utf-8"?>
<formControlPr xmlns="http://schemas.microsoft.com/office/spreadsheetml/2009/9/main" objectType="Drop" dropStyle="combo" dx="26" fmlaLink="$AZ$24" fmlaRange="$M$10:$M$16" sel="1" val="0"/>
</file>

<file path=xl/ctrlProps/ctrlProp655.xml><?xml version="1.0" encoding="utf-8"?>
<formControlPr xmlns="http://schemas.microsoft.com/office/spreadsheetml/2009/9/main" objectType="Drop" dropStyle="combo" dx="26" fmlaLink="$AZ$25" fmlaRange="$M$10:$M$16" sel="1" val="0"/>
</file>

<file path=xl/ctrlProps/ctrlProp656.xml><?xml version="1.0" encoding="utf-8"?>
<formControlPr xmlns="http://schemas.microsoft.com/office/spreadsheetml/2009/9/main" objectType="Drop" dropStyle="combo" dx="26" fmlaLink="$AZ$26" fmlaRange="$M$10:$M$16" sel="1" val="0"/>
</file>

<file path=xl/ctrlProps/ctrlProp657.xml><?xml version="1.0" encoding="utf-8"?>
<formControlPr xmlns="http://schemas.microsoft.com/office/spreadsheetml/2009/9/main" objectType="Drop" dropStyle="combo" dx="26" fmlaLink="$AZ$27" fmlaRange="$M$10:$M$16" sel="1" val="0"/>
</file>

<file path=xl/ctrlProps/ctrlProp658.xml><?xml version="1.0" encoding="utf-8"?>
<formControlPr xmlns="http://schemas.microsoft.com/office/spreadsheetml/2009/9/main" objectType="Drop" dropStyle="combo" dx="26" fmlaLink="$AZ$28" fmlaRange="$M$10:$M$16" sel="1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1" val="0"/>
</file>

<file path=xl/ctrlProps/ctrlProp669.xml><?xml version="1.0" encoding="utf-8"?>
<formControlPr xmlns="http://schemas.microsoft.com/office/spreadsheetml/2009/9/main" objectType="Drop" dropStyle="combo" dx="26" fmlaLink="$BA$38" fmlaRange="$AO$22:$AO$30" sel="1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22300" y="45720"/>
          <a:ext cx="7676515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14680" y="4737100"/>
          <a:ext cx="7691120" cy="133350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46</xdr:row>
      <xdr:rowOff>0</xdr:rowOff>
    </xdr:from>
    <xdr:to>
      <xdr:col>9</xdr:col>
      <xdr:colOff>419100</xdr:colOff>
      <xdr:row>47</xdr:row>
      <xdr:rowOff>0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947160" y="8427720"/>
          <a:ext cx="3863340" cy="1981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200025</xdr:rowOff>
        </xdr:from>
        <xdr:to>
          <xdr:col>9</xdr:col>
          <xdr:colOff>1924050</xdr:colOff>
          <xdr:row>40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171450</xdr:rowOff>
        </xdr:from>
        <xdr:to>
          <xdr:col>9</xdr:col>
          <xdr:colOff>1028700</xdr:colOff>
          <xdr:row>53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381000</xdr:colOff>
      <xdr:row>74</xdr:row>
      <xdr:rowOff>114300</xdr:rowOff>
    </xdr:from>
    <xdr:to>
      <xdr:col>11</xdr:col>
      <xdr:colOff>22860</xdr:colOff>
      <xdr:row>90</xdr:row>
      <xdr:rowOff>0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114300</xdr:rowOff>
        </xdr:from>
        <xdr:to>
          <xdr:col>9</xdr:col>
          <xdr:colOff>1924050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142875</xdr:rowOff>
        </xdr:from>
        <xdr:to>
          <xdr:col>9</xdr:col>
          <xdr:colOff>371475</xdr:colOff>
          <xdr:row>5</xdr:row>
          <xdr:rowOff>19050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142875</xdr:rowOff>
        </xdr:from>
        <xdr:to>
          <xdr:col>9</xdr:col>
          <xdr:colOff>371475</xdr:colOff>
          <xdr:row>7</xdr:row>
          <xdr:rowOff>180975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46</xdr:row>
          <xdr:rowOff>180975</xdr:rowOff>
        </xdr:from>
        <xdr:to>
          <xdr:col>7</xdr:col>
          <xdr:colOff>542925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6</xdr:col>
          <xdr:colOff>0</xdr:colOff>
          <xdr:row>23</xdr:row>
          <xdr:rowOff>219075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6</xdr:col>
          <xdr:colOff>0</xdr:colOff>
          <xdr:row>24</xdr:row>
          <xdr:rowOff>219075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6</xdr:col>
          <xdr:colOff>0</xdr:colOff>
          <xdr:row>25</xdr:row>
          <xdr:rowOff>219075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6</xdr:col>
          <xdr:colOff>0</xdr:colOff>
          <xdr:row>26</xdr:row>
          <xdr:rowOff>219075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6</xdr:col>
          <xdr:colOff>0</xdr:colOff>
          <xdr:row>27</xdr:row>
          <xdr:rowOff>219075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6</xdr:col>
          <xdr:colOff>0</xdr:colOff>
          <xdr:row>28</xdr:row>
          <xdr:rowOff>219075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6</xdr:col>
          <xdr:colOff>0</xdr:colOff>
          <xdr:row>29</xdr:row>
          <xdr:rowOff>219075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6</xdr:col>
          <xdr:colOff>0</xdr:colOff>
          <xdr:row>30</xdr:row>
          <xdr:rowOff>219075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6</xdr:col>
          <xdr:colOff>0</xdr:colOff>
          <xdr:row>32</xdr:row>
          <xdr:rowOff>219075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6</xdr:col>
          <xdr:colOff>0</xdr:colOff>
          <xdr:row>33</xdr:row>
          <xdr:rowOff>219075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6</xdr:col>
          <xdr:colOff>0</xdr:colOff>
          <xdr:row>35</xdr:row>
          <xdr:rowOff>219075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6</xdr:col>
          <xdr:colOff>0</xdr:colOff>
          <xdr:row>38</xdr:row>
          <xdr:rowOff>219075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39</xdr:row>
          <xdr:rowOff>219075</xdr:rowOff>
        </xdr:from>
        <xdr:to>
          <xdr:col>10</xdr:col>
          <xdr:colOff>104775</xdr:colOff>
          <xdr:row>41</xdr:row>
          <xdr:rowOff>28575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47625</xdr:rowOff>
        </xdr:from>
        <xdr:to>
          <xdr:col>8</xdr:col>
          <xdr:colOff>200025</xdr:colOff>
          <xdr:row>10</xdr:row>
          <xdr:rowOff>9525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53</xdr:row>
          <xdr:rowOff>9525</xdr:rowOff>
        </xdr:from>
        <xdr:to>
          <xdr:col>8</xdr:col>
          <xdr:colOff>200025</xdr:colOff>
          <xdr:row>54</xdr:row>
          <xdr:rowOff>9525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39</xdr:row>
          <xdr:rowOff>219075</xdr:rowOff>
        </xdr:from>
        <xdr:to>
          <xdr:col>9</xdr:col>
          <xdr:colOff>657225</xdr:colOff>
          <xdr:row>41</xdr:row>
          <xdr:rowOff>28575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733425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733425</xdr:colOff>
          <xdr:row>25</xdr:row>
          <xdr:rowOff>200025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733425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733425</xdr:colOff>
          <xdr:row>27</xdr:row>
          <xdr:rowOff>200025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733425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733425</xdr:colOff>
          <xdr:row>29</xdr:row>
          <xdr:rowOff>200025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733425</xdr:colOff>
          <xdr:row>30</xdr:row>
          <xdr:rowOff>219075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733425</xdr:colOff>
          <xdr:row>31</xdr:row>
          <xdr:rowOff>219075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733425</xdr:colOff>
          <xdr:row>32</xdr:row>
          <xdr:rowOff>219075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733425</xdr:colOff>
          <xdr:row>33</xdr:row>
          <xdr:rowOff>200025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733425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733425</xdr:colOff>
          <xdr:row>35</xdr:row>
          <xdr:rowOff>200025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733425</xdr:colOff>
          <xdr:row>36</xdr:row>
          <xdr:rowOff>219075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733425</xdr:colOff>
          <xdr:row>37</xdr:row>
          <xdr:rowOff>200025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733425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219075</xdr:rowOff>
        </xdr:from>
        <xdr:to>
          <xdr:col>10</xdr:col>
          <xdr:colOff>209550</xdr:colOff>
          <xdr:row>41</xdr:row>
          <xdr:rowOff>28575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39</xdr:row>
          <xdr:rowOff>219075</xdr:rowOff>
        </xdr:from>
        <xdr:to>
          <xdr:col>10</xdr:col>
          <xdr:colOff>142875</xdr:colOff>
          <xdr:row>41</xdr:row>
          <xdr:rowOff>28575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9525</xdr:rowOff>
        </xdr:from>
        <xdr:to>
          <xdr:col>8</xdr:col>
          <xdr:colOff>209550</xdr:colOff>
          <xdr:row>54</xdr:row>
          <xdr:rowOff>19050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95250</xdr:colOff>
          <xdr:row>10</xdr:row>
          <xdr:rowOff>9525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39</xdr:row>
          <xdr:rowOff>200025</xdr:rowOff>
        </xdr:from>
        <xdr:to>
          <xdr:col>9</xdr:col>
          <xdr:colOff>704850</xdr:colOff>
          <xdr:row>41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20</xdr:row>
          <xdr:rowOff>9525</xdr:rowOff>
        </xdr:from>
        <xdr:to>
          <xdr:col>8</xdr:col>
          <xdr:colOff>781050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24</xdr:row>
          <xdr:rowOff>219075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5</xdr:row>
          <xdr:rowOff>47625</xdr:rowOff>
        </xdr:from>
        <xdr:to>
          <xdr:col>8</xdr:col>
          <xdr:colOff>209550</xdr:colOff>
          <xdr:row>6</xdr:row>
          <xdr:rowOff>28575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28575</xdr:rowOff>
        </xdr:from>
        <xdr:to>
          <xdr:col>4</xdr:col>
          <xdr:colOff>781050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44</xdr:row>
          <xdr:rowOff>0</xdr:rowOff>
        </xdr:from>
        <xdr:to>
          <xdr:col>12</xdr:col>
          <xdr:colOff>238125</xdr:colOff>
          <xdr:row>44</xdr:row>
          <xdr:rowOff>209550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44</xdr:row>
          <xdr:rowOff>0</xdr:rowOff>
        </xdr:from>
        <xdr:to>
          <xdr:col>14</xdr:col>
          <xdr:colOff>390525</xdr:colOff>
          <xdr:row>44</xdr:row>
          <xdr:rowOff>219075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219075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44</xdr:row>
          <xdr:rowOff>0</xdr:rowOff>
        </xdr:from>
        <xdr:to>
          <xdr:col>19</xdr:col>
          <xdr:colOff>152400</xdr:colOff>
          <xdr:row>44</xdr:row>
          <xdr:rowOff>219075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44</xdr:row>
          <xdr:rowOff>0</xdr:rowOff>
        </xdr:from>
        <xdr:to>
          <xdr:col>21</xdr:col>
          <xdr:colOff>57150</xdr:colOff>
          <xdr:row>44</xdr:row>
          <xdr:rowOff>219075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323850</xdr:rowOff>
        </xdr:from>
        <xdr:to>
          <xdr:col>3</xdr:col>
          <xdr:colOff>752475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209550</xdr:rowOff>
        </xdr:from>
        <xdr:to>
          <xdr:col>3</xdr:col>
          <xdr:colOff>742950</xdr:colOff>
          <xdr:row>22</xdr:row>
          <xdr:rowOff>219075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209550</xdr:rowOff>
        </xdr:from>
        <xdr:to>
          <xdr:col>3</xdr:col>
          <xdr:colOff>742950</xdr:colOff>
          <xdr:row>24</xdr:row>
          <xdr:rowOff>219075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209550</xdr:rowOff>
        </xdr:from>
        <xdr:to>
          <xdr:col>3</xdr:col>
          <xdr:colOff>742950</xdr:colOff>
          <xdr:row>26</xdr:row>
          <xdr:rowOff>219075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323850</xdr:rowOff>
        </xdr:from>
        <xdr:to>
          <xdr:col>3</xdr:col>
          <xdr:colOff>742950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219075</xdr:rowOff>
        </xdr:from>
        <xdr:to>
          <xdr:col>3</xdr:col>
          <xdr:colOff>742950</xdr:colOff>
          <xdr:row>28</xdr:row>
          <xdr:rowOff>219075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323850</xdr:rowOff>
        </xdr:from>
        <xdr:to>
          <xdr:col>3</xdr:col>
          <xdr:colOff>742950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209550</xdr:rowOff>
        </xdr:from>
        <xdr:to>
          <xdr:col>3</xdr:col>
          <xdr:colOff>742950</xdr:colOff>
          <xdr:row>30</xdr:row>
          <xdr:rowOff>219075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209550</xdr:rowOff>
        </xdr:from>
        <xdr:to>
          <xdr:col>3</xdr:col>
          <xdr:colOff>742950</xdr:colOff>
          <xdr:row>32</xdr:row>
          <xdr:rowOff>219075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219075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209550</xdr:rowOff>
        </xdr:from>
        <xdr:to>
          <xdr:col>3</xdr:col>
          <xdr:colOff>742950</xdr:colOff>
          <xdr:row>34</xdr:row>
          <xdr:rowOff>219075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200025</xdr:rowOff>
        </xdr:from>
        <xdr:to>
          <xdr:col>3</xdr:col>
          <xdr:colOff>742950</xdr:colOff>
          <xdr:row>22</xdr:row>
          <xdr:rowOff>200025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36</xdr:row>
          <xdr:rowOff>123825</xdr:rowOff>
        </xdr:from>
        <xdr:to>
          <xdr:col>11</xdr:col>
          <xdr:colOff>219075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47625</xdr:rowOff>
        </xdr:from>
        <xdr:to>
          <xdr:col>8</xdr:col>
          <xdr:colOff>171450</xdr:colOff>
          <xdr:row>10</xdr:row>
          <xdr:rowOff>9525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8</xdr:row>
          <xdr:rowOff>47625</xdr:rowOff>
        </xdr:from>
        <xdr:to>
          <xdr:col>8</xdr:col>
          <xdr:colOff>171450</xdr:colOff>
          <xdr:row>9</xdr:row>
          <xdr:rowOff>9525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723900</xdr:colOff>
          <xdr:row>23</xdr:row>
          <xdr:rowOff>209550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723900</xdr:colOff>
          <xdr:row>25</xdr:row>
          <xdr:rowOff>200025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723900</xdr:colOff>
          <xdr:row>27</xdr:row>
          <xdr:rowOff>200025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723900</xdr:colOff>
          <xdr:row>29</xdr:row>
          <xdr:rowOff>200025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723900</xdr:colOff>
          <xdr:row>30</xdr:row>
          <xdr:rowOff>219075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723900</xdr:colOff>
          <xdr:row>31</xdr:row>
          <xdr:rowOff>209550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723900</xdr:colOff>
          <xdr:row>32</xdr:row>
          <xdr:rowOff>219075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723900</xdr:colOff>
          <xdr:row>33</xdr:row>
          <xdr:rowOff>200025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723900</xdr:colOff>
          <xdr:row>35</xdr:row>
          <xdr:rowOff>200025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723900</xdr:colOff>
          <xdr:row>36</xdr:row>
          <xdr:rowOff>209550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723900</xdr:colOff>
          <xdr:row>37</xdr:row>
          <xdr:rowOff>200025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40</xdr:row>
          <xdr:rowOff>0</xdr:rowOff>
        </xdr:from>
        <xdr:to>
          <xdr:col>10</xdr:col>
          <xdr:colOff>323850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</xdr:row>
          <xdr:rowOff>47625</xdr:rowOff>
        </xdr:from>
        <xdr:to>
          <xdr:col>6</xdr:col>
          <xdr:colOff>666750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1</xdr:row>
          <xdr:rowOff>47625</xdr:rowOff>
        </xdr:from>
        <xdr:to>
          <xdr:col>7</xdr:col>
          <xdr:colOff>514350</xdr:colOff>
          <xdr:row>2</xdr:row>
          <xdr:rowOff>95250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2.75" x14ac:dyDescent="0.2"/>
  <cols>
    <col min="1" max="1" width="4.140625" customWidth="1"/>
    <col min="2" max="2" width="4.5703125" customWidth="1"/>
    <col min="8" max="8" width="13.28515625" customWidth="1"/>
    <col min="12" max="12" width="11" customWidth="1"/>
    <col min="13" max="13" width="12.28515625" customWidth="1"/>
    <col min="14" max="14" width="5.140625" customWidth="1"/>
  </cols>
  <sheetData>
    <row r="1" spans="3:24" ht="6" customHeight="1" x14ac:dyDescent="0.2"/>
    <row r="2" spans="3:24" ht="12.75" customHeight="1" x14ac:dyDescent="0.2"/>
    <row r="3" spans="3:24" ht="12.75" customHeight="1" x14ac:dyDescent="0.2">
      <c r="C3" s="775"/>
      <c r="D3" s="775"/>
      <c r="E3" s="775"/>
      <c r="F3" s="775"/>
    </row>
    <row r="4" spans="3:24" ht="12.75" customHeight="1" x14ac:dyDescent="0.2">
      <c r="C4" s="775"/>
      <c r="D4" s="775"/>
      <c r="E4" s="775"/>
      <c r="F4" s="775"/>
    </row>
    <row r="5" spans="3:24" ht="12.75" customHeight="1" x14ac:dyDescent="0.2">
      <c r="C5" s="775"/>
      <c r="D5" s="775"/>
      <c r="E5" s="775"/>
      <c r="F5" s="775"/>
    </row>
    <row r="6" spans="3:24" ht="12.75" customHeight="1" x14ac:dyDescent="0.2">
      <c r="C6" s="775"/>
      <c r="D6" s="775"/>
      <c r="E6" s="775"/>
      <c r="F6" s="775"/>
    </row>
    <row r="7" spans="3:24" ht="15.75" customHeight="1" x14ac:dyDescent="0.25">
      <c r="C7" s="775"/>
      <c r="D7" s="775"/>
      <c r="E7" s="775"/>
      <c r="F7" s="775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75" x14ac:dyDescent="0.25">
      <c r="C8" s="776"/>
      <c r="D8" s="776"/>
      <c r="E8" s="776"/>
      <c r="F8" s="776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5" x14ac:dyDescent="0.25">
      <c r="C11" s="420" t="s">
        <v>737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25">
      <c r="C12" s="420" t="s">
        <v>738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75" x14ac:dyDescent="0.25">
      <c r="C14" s="777"/>
      <c r="D14" s="777"/>
      <c r="E14" s="777"/>
      <c r="F14" s="777"/>
      <c r="G14" s="777"/>
      <c r="H14" s="777"/>
      <c r="I14" s="777"/>
      <c r="J14" s="777"/>
      <c r="K14" s="777"/>
      <c r="L14" s="777"/>
      <c r="M14" s="777"/>
    </row>
    <row r="15" spans="3:24" ht="12" customHeight="1" x14ac:dyDescent="0.2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">
      <c r="C16" s="416" t="s">
        <v>344</v>
      </c>
      <c r="D16" t="s">
        <v>710</v>
      </c>
    </row>
    <row r="17" spans="3:13" x14ac:dyDescent="0.2">
      <c r="C17" s="3"/>
      <c r="M17" s="237"/>
    </row>
    <row r="18" spans="3:13" x14ac:dyDescent="0.2">
      <c r="C18" s="417" t="s">
        <v>345</v>
      </c>
      <c r="D18" s="773" t="s">
        <v>711</v>
      </c>
      <c r="E18" s="773"/>
      <c r="F18" s="773"/>
      <c r="G18" s="773"/>
      <c r="H18" s="773"/>
    </row>
    <row r="19" spans="3:13" x14ac:dyDescent="0.2">
      <c r="C19" s="418" t="s">
        <v>345</v>
      </c>
      <c r="D19" s="773"/>
      <c r="E19" s="773"/>
      <c r="F19" s="773"/>
      <c r="G19" s="773"/>
      <c r="H19" s="773"/>
    </row>
    <row r="20" spans="3:13" x14ac:dyDescent="0.2">
      <c r="C20" s="3"/>
      <c r="I20" s="250"/>
    </row>
    <row r="21" spans="3:13" x14ac:dyDescent="0.2">
      <c r="C21" s="169" t="s">
        <v>345</v>
      </c>
      <c r="D21" t="s">
        <v>712</v>
      </c>
      <c r="I21" s="250"/>
    </row>
    <row r="23" spans="3:13" x14ac:dyDescent="0.2">
      <c r="C23" s="419" t="s">
        <v>345</v>
      </c>
      <c r="D23" t="s">
        <v>713</v>
      </c>
    </row>
    <row r="25" spans="3:13" x14ac:dyDescent="0.2">
      <c r="C25" s="367" t="s">
        <v>653</v>
      </c>
      <c r="D25" s="774" t="s">
        <v>714</v>
      </c>
      <c r="E25" s="773"/>
      <c r="F25" s="773"/>
      <c r="G25" s="773"/>
      <c r="H25" s="773"/>
    </row>
    <row r="26" spans="3:13" x14ac:dyDescent="0.2">
      <c r="C26" s="414" t="s">
        <v>653</v>
      </c>
      <c r="D26" s="773"/>
      <c r="E26" s="773"/>
      <c r="F26" s="773"/>
      <c r="G26" s="773"/>
      <c r="H26" s="773"/>
    </row>
    <row r="28" spans="3:13" ht="13.5" thickBot="1" x14ac:dyDescent="0.25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5" thickTop="1" x14ac:dyDescent="0.2"/>
    <row r="37" spans="3:3" x14ac:dyDescent="0.2">
      <c r="C37" s="688"/>
    </row>
  </sheetData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2"/>
  <sheetViews>
    <sheetView showGridLines="0" tabSelected="1" zoomScaleNormal="100" workbookViewId="0">
      <selection activeCell="J14" sqref="J14"/>
    </sheetView>
  </sheetViews>
  <sheetFormatPr baseColWidth="10" defaultColWidth="11.42578125" defaultRowHeight="12.75" x14ac:dyDescent="0.2"/>
  <cols>
    <col min="1" max="1" width="3.5703125" style="294" customWidth="1"/>
    <col min="2" max="2" width="4.7109375" style="294" customWidth="1"/>
    <col min="3" max="3" width="11.42578125" style="294"/>
    <col min="4" max="4" width="14.7109375" style="294" customWidth="1"/>
    <col min="5" max="5" width="14.5703125" style="294" customWidth="1"/>
    <col min="6" max="6" width="13" style="294" customWidth="1"/>
    <col min="7" max="7" width="20" style="294" customWidth="1"/>
    <col min="8" max="8" width="14.42578125" style="294" customWidth="1"/>
    <col min="9" max="9" width="11.42578125" style="294"/>
    <col min="10" max="10" width="33.85546875" style="294" customWidth="1"/>
    <col min="11" max="11" width="4.42578125" style="294" customWidth="1"/>
    <col min="12" max="12" width="4.28515625" style="294" customWidth="1"/>
    <col min="13" max="16384" width="11.42578125" style="294"/>
  </cols>
  <sheetData>
    <row r="1" spans="2:11" ht="20.25" x14ac:dyDescent="0.3">
      <c r="B1" s="424" t="s">
        <v>715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75" x14ac:dyDescent="0.25">
      <c r="B3" s="762" t="s">
        <v>269</v>
      </c>
      <c r="C3" s="762"/>
      <c r="D3" s="762"/>
      <c r="E3" s="762"/>
      <c r="F3" s="762"/>
      <c r="G3" s="762"/>
      <c r="H3" s="762"/>
      <c r="I3" s="762"/>
      <c r="J3" s="762"/>
      <c r="K3" s="762"/>
    </row>
    <row r="4" spans="2:11" ht="15" x14ac:dyDescent="0.2">
      <c r="C4" s="292" t="s">
        <v>266</v>
      </c>
      <c r="D4" s="292"/>
      <c r="E4" s="292"/>
      <c r="G4" s="763" t="s">
        <v>743</v>
      </c>
      <c r="H4" s="763"/>
      <c r="I4" s="763"/>
      <c r="J4" s="763"/>
      <c r="K4" s="451"/>
    </row>
    <row r="5" spans="2:11" ht="59.25" customHeight="1" x14ac:dyDescent="0.2">
      <c r="C5" s="754" t="s">
        <v>744</v>
      </c>
      <c r="D5" s="292"/>
      <c r="E5" s="292"/>
      <c r="G5" s="771" t="s">
        <v>746</v>
      </c>
      <c r="H5" s="772"/>
      <c r="I5" s="772"/>
      <c r="J5" s="772"/>
      <c r="K5" s="772"/>
    </row>
    <row r="6" spans="2:11" ht="15" x14ac:dyDescent="0.2">
      <c r="C6" s="292" t="s">
        <v>372</v>
      </c>
      <c r="D6" s="292"/>
      <c r="E6" s="292"/>
      <c r="G6" s="426">
        <v>46183</v>
      </c>
      <c r="H6" s="425"/>
      <c r="I6" s="425"/>
      <c r="J6" s="425"/>
      <c r="K6" s="450"/>
    </row>
    <row r="7" spans="2:11" ht="15" x14ac:dyDescent="0.2">
      <c r="C7" s="292" t="s">
        <v>267</v>
      </c>
      <c r="D7" s="292"/>
      <c r="E7" s="292"/>
      <c r="G7" s="764" t="s">
        <v>745</v>
      </c>
      <c r="H7" s="764"/>
      <c r="I7" s="764"/>
      <c r="J7" s="764"/>
      <c r="K7" s="450"/>
    </row>
    <row r="8" spans="2:11" ht="15.75" thickBot="1" x14ac:dyDescent="0.25">
      <c r="B8" s="429"/>
      <c r="C8" s="430" t="s">
        <v>271</v>
      </c>
      <c r="D8" s="430"/>
      <c r="E8" s="430"/>
      <c r="F8" s="429"/>
      <c r="G8" s="765" t="str">
        <f>Datos!G5</f>
        <v>SALAMANCA</v>
      </c>
      <c r="H8" s="765"/>
      <c r="I8" s="765"/>
      <c r="J8" s="431" t="s">
        <v>277</v>
      </c>
      <c r="K8" s="429"/>
    </row>
    <row r="9" spans="2:11" ht="15.75" thickTop="1" x14ac:dyDescent="0.2">
      <c r="C9" s="292"/>
      <c r="D9" s="292"/>
      <c r="E9" s="292"/>
      <c r="G9" s="332"/>
      <c r="H9" s="332"/>
      <c r="I9" s="332"/>
      <c r="J9" s="432"/>
    </row>
    <row r="11" spans="2:11" ht="15.75" x14ac:dyDescent="0.25">
      <c r="B11" s="762" t="s">
        <v>268</v>
      </c>
      <c r="C11" s="762"/>
      <c r="D11" s="762"/>
      <c r="E11" s="762"/>
      <c r="F11" s="762"/>
      <c r="G11" s="762"/>
      <c r="H11" s="762"/>
      <c r="I11" s="762"/>
      <c r="J11" s="762"/>
      <c r="K11" s="762"/>
    </row>
    <row r="12" spans="2:11" ht="15" x14ac:dyDescent="0.2">
      <c r="C12" s="436" t="s">
        <v>270</v>
      </c>
      <c r="D12" s="437"/>
      <c r="E12" s="438"/>
      <c r="F12" s="766" t="s">
        <v>642</v>
      </c>
      <c r="G12" s="766"/>
      <c r="H12" s="439">
        <v>10</v>
      </c>
    </row>
    <row r="13" spans="2:11" ht="15" x14ac:dyDescent="0.2">
      <c r="C13" s="441" t="s">
        <v>641</v>
      </c>
      <c r="D13" s="442"/>
      <c r="E13" s="443"/>
      <c r="F13" s="767" t="s">
        <v>643</v>
      </c>
      <c r="G13" s="767"/>
      <c r="H13" s="445">
        <f>IF(OR(Datos!$AA$51=1,Datos!$AA$51=2,Datos!$AA$51=3),Datos!F58,Datos!E54)</f>
        <v>30</v>
      </c>
    </row>
    <row r="14" spans="2:11" ht="15" x14ac:dyDescent="0.2">
      <c r="C14" s="441" t="s">
        <v>308</v>
      </c>
      <c r="D14" s="442"/>
      <c r="E14" s="443"/>
      <c r="F14" s="768" t="s">
        <v>307</v>
      </c>
      <c r="G14" s="768"/>
      <c r="H14" s="447">
        <v>28</v>
      </c>
      <c r="J14" s="432" t="s">
        <v>635</v>
      </c>
    </row>
    <row r="15" spans="2:11" ht="15" x14ac:dyDescent="0.2">
      <c r="C15" s="441" t="s">
        <v>306</v>
      </c>
      <c r="D15" s="442"/>
      <c r="E15" s="443"/>
      <c r="F15" s="769" t="s">
        <v>12</v>
      </c>
      <c r="G15" s="769"/>
      <c r="H15" s="689">
        <v>60</v>
      </c>
    </row>
    <row r="16" spans="2:11" ht="15" x14ac:dyDescent="0.2">
      <c r="C16" s="441" t="s">
        <v>512</v>
      </c>
      <c r="D16" s="442"/>
      <c r="E16" s="443"/>
      <c r="F16" s="444"/>
      <c r="G16" s="443"/>
      <c r="H16" s="751">
        <v>0.95</v>
      </c>
      <c r="J16" s="490" t="s">
        <v>645</v>
      </c>
    </row>
    <row r="17" spans="3:10" ht="15.75" thickBot="1" x14ac:dyDescent="0.25">
      <c r="C17" s="428" t="s">
        <v>644</v>
      </c>
      <c r="D17" s="434"/>
      <c r="E17" s="427"/>
      <c r="F17" s="770" t="s">
        <v>313</v>
      </c>
      <c r="G17" s="770"/>
      <c r="H17" s="435">
        <f>H14*H16*H13</f>
        <v>797.99999999999989</v>
      </c>
      <c r="I17" s="316"/>
      <c r="J17" s="344"/>
    </row>
    <row r="18" spans="3:10" x14ac:dyDescent="0.2">
      <c r="I18" s="316"/>
      <c r="J18" s="344"/>
    </row>
    <row r="19" spans="3:10" ht="15.75" x14ac:dyDescent="0.25">
      <c r="C19" s="292"/>
      <c r="F19" s="290"/>
      <c r="H19" s="391"/>
      <c r="I19" s="316"/>
      <c r="J19" s="344"/>
    </row>
    <row r="20" spans="3:10" x14ac:dyDescent="0.2">
      <c r="E20" s="295"/>
      <c r="F20" s="453" t="s">
        <v>23</v>
      </c>
      <c r="G20" s="454" t="s">
        <v>375</v>
      </c>
      <c r="H20" s="453" t="s">
        <v>309</v>
      </c>
      <c r="J20" s="344"/>
    </row>
    <row r="21" spans="3:10" ht="14.25" x14ac:dyDescent="0.2">
      <c r="E21" s="295"/>
      <c r="F21" s="455" t="s">
        <v>312</v>
      </c>
      <c r="G21" s="455" t="s">
        <v>12</v>
      </c>
      <c r="H21" s="455" t="s">
        <v>310</v>
      </c>
      <c r="J21" s="490" t="s">
        <v>718</v>
      </c>
    </row>
    <row r="22" spans="3:10" x14ac:dyDescent="0.2">
      <c r="E22" s="317" t="s">
        <v>0</v>
      </c>
      <c r="F22" s="293">
        <v>31</v>
      </c>
      <c r="G22" s="293">
        <f>Datos!E16</f>
        <v>5</v>
      </c>
      <c r="H22" s="452">
        <f t="shared" ref="H22:H33" si="0">$H$17*F22*($H$15-G22)*0.00116</f>
        <v>1578.2843999999998</v>
      </c>
    </row>
    <row r="23" spans="3:10" x14ac:dyDescent="0.2">
      <c r="E23" s="317" t="s">
        <v>1</v>
      </c>
      <c r="F23" s="293">
        <v>28</v>
      </c>
      <c r="G23" s="293">
        <f>Datos!E17</f>
        <v>6</v>
      </c>
      <c r="H23" s="452">
        <f t="shared" si="0"/>
        <v>1399.6281599999998</v>
      </c>
    </row>
    <row r="24" spans="3:10" x14ac:dyDescent="0.2">
      <c r="E24" s="317" t="s">
        <v>2</v>
      </c>
      <c r="F24" s="293">
        <v>31</v>
      </c>
      <c r="G24" s="293">
        <f>Datos!E18</f>
        <v>8</v>
      </c>
      <c r="H24" s="452">
        <f t="shared" si="0"/>
        <v>1492.1961599999997</v>
      </c>
    </row>
    <row r="25" spans="3:10" x14ac:dyDescent="0.2">
      <c r="E25" s="317" t="s">
        <v>3</v>
      </c>
      <c r="F25" s="293">
        <v>30</v>
      </c>
      <c r="G25" s="293">
        <f>Datos!E19</f>
        <v>10</v>
      </c>
      <c r="H25" s="452">
        <f t="shared" si="0"/>
        <v>1388.5199999999998</v>
      </c>
    </row>
    <row r="26" spans="3:10" x14ac:dyDescent="0.2">
      <c r="E26" s="317" t="s">
        <v>4</v>
      </c>
      <c r="F26" s="293">
        <v>31</v>
      </c>
      <c r="G26" s="293">
        <f>Datos!E20</f>
        <v>11</v>
      </c>
      <c r="H26" s="452">
        <f t="shared" si="0"/>
        <v>1406.1079199999997</v>
      </c>
    </row>
    <row r="27" spans="3:10" x14ac:dyDescent="0.2">
      <c r="E27" s="317" t="s">
        <v>5</v>
      </c>
      <c r="F27" s="293">
        <v>30</v>
      </c>
      <c r="G27" s="293">
        <f>Datos!E21</f>
        <v>12</v>
      </c>
      <c r="H27" s="452">
        <f t="shared" si="0"/>
        <v>1332.9791999999998</v>
      </c>
    </row>
    <row r="28" spans="3:10" x14ac:dyDescent="0.2">
      <c r="E28" s="317" t="s">
        <v>6</v>
      </c>
      <c r="F28" s="293">
        <v>31</v>
      </c>
      <c r="G28" s="293">
        <f>Datos!E22</f>
        <v>13</v>
      </c>
      <c r="H28" s="452">
        <f t="shared" si="0"/>
        <v>1348.7157599999998</v>
      </c>
    </row>
    <row r="29" spans="3:10" x14ac:dyDescent="0.2">
      <c r="E29" s="317" t="s">
        <v>7</v>
      </c>
      <c r="F29" s="293">
        <v>31</v>
      </c>
      <c r="G29" s="293">
        <f>Datos!E23</f>
        <v>12</v>
      </c>
      <c r="H29" s="452">
        <f t="shared" si="0"/>
        <v>1377.4118399999998</v>
      </c>
    </row>
    <row r="30" spans="3:10" x14ac:dyDescent="0.2">
      <c r="E30" s="317" t="s">
        <v>8</v>
      </c>
      <c r="F30" s="293">
        <v>30</v>
      </c>
      <c r="G30" s="293">
        <f>Datos!E24</f>
        <v>11</v>
      </c>
      <c r="H30" s="452">
        <f t="shared" si="0"/>
        <v>1360.7495999999996</v>
      </c>
    </row>
    <row r="31" spans="3:10" x14ac:dyDescent="0.2">
      <c r="E31" s="317" t="s">
        <v>9</v>
      </c>
      <c r="F31" s="293">
        <v>31</v>
      </c>
      <c r="G31" s="293">
        <f>Datos!E25</f>
        <v>10</v>
      </c>
      <c r="H31" s="452">
        <f t="shared" si="0"/>
        <v>1434.8039999999996</v>
      </c>
    </row>
    <row r="32" spans="3:10" x14ac:dyDescent="0.2">
      <c r="E32" s="317" t="s">
        <v>10</v>
      </c>
      <c r="F32" s="293">
        <v>30</v>
      </c>
      <c r="G32" s="293">
        <f>Datos!E26</f>
        <v>8</v>
      </c>
      <c r="H32" s="452">
        <f t="shared" si="0"/>
        <v>1444.0607999999997</v>
      </c>
    </row>
    <row r="33" spans="2:27" x14ac:dyDescent="0.2">
      <c r="E33" s="317" t="s">
        <v>11</v>
      </c>
      <c r="F33" s="455">
        <v>31</v>
      </c>
      <c r="G33" s="455">
        <f>Datos!E27</f>
        <v>5</v>
      </c>
      <c r="H33" s="456">
        <f t="shared" si="0"/>
        <v>1578.2843999999998</v>
      </c>
    </row>
    <row r="34" spans="2:27" ht="13.5" thickBot="1" x14ac:dyDescent="0.25">
      <c r="E34" s="457" t="s">
        <v>311</v>
      </c>
      <c r="F34" s="458">
        <f>SUM(F22:F33)</f>
        <v>365</v>
      </c>
      <c r="G34" s="458"/>
      <c r="H34" s="459">
        <f>SUM(H22:H33)</f>
        <v>17141.742239999996</v>
      </c>
    </row>
    <row r="35" spans="2:27" x14ac:dyDescent="0.2">
      <c r="D35" s="318"/>
      <c r="E35" s="293"/>
      <c r="F35" s="293"/>
      <c r="G35" s="433"/>
    </row>
    <row r="37" spans="2:27" ht="15.75" x14ac:dyDescent="0.25">
      <c r="B37" s="460" t="s">
        <v>513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75" x14ac:dyDescent="0.25">
      <c r="B38" s="423"/>
      <c r="C38" s="462"/>
      <c r="D38" s="462"/>
      <c r="E38" s="462"/>
      <c r="F38" s="462"/>
      <c r="G38" s="462" t="s">
        <v>503</v>
      </c>
      <c r="H38" s="462"/>
      <c r="I38" s="462"/>
      <c r="J38" s="462"/>
      <c r="K38" s="462"/>
    </row>
    <row r="39" spans="2:27" ht="16.5" thickBot="1" x14ac:dyDescent="0.3">
      <c r="C39" s="463" t="s">
        <v>316</v>
      </c>
      <c r="D39" s="464"/>
      <c r="E39" s="427"/>
      <c r="F39" s="427"/>
      <c r="G39" s="427"/>
      <c r="H39" s="427"/>
      <c r="I39" s="427"/>
    </row>
    <row r="40" spans="2:27" ht="14.25" x14ac:dyDescent="0.2">
      <c r="C40" s="291" t="s">
        <v>315</v>
      </c>
      <c r="D40" s="324"/>
      <c r="E40" s="291"/>
      <c r="G40" s="761" t="s">
        <v>742</v>
      </c>
      <c r="H40" s="761"/>
      <c r="I40" s="761"/>
    </row>
    <row r="41" spans="2:27" ht="14.25" x14ac:dyDescent="0.2">
      <c r="C41" s="291" t="s">
        <v>359</v>
      </c>
      <c r="D41" s="320"/>
      <c r="E41" s="291"/>
      <c r="F41" s="290" t="s">
        <v>413</v>
      </c>
      <c r="G41" s="758">
        <v>2.2000000000000002</v>
      </c>
      <c r="H41" s="758"/>
      <c r="I41" s="758"/>
    </row>
    <row r="42" spans="2:27" ht="14.25" x14ac:dyDescent="0.2">
      <c r="C42" s="291" t="s">
        <v>314</v>
      </c>
      <c r="D42" s="321"/>
      <c r="E42" s="322"/>
      <c r="F42" s="290"/>
      <c r="G42" s="758">
        <v>0.8</v>
      </c>
      <c r="H42" s="758"/>
      <c r="I42" s="758"/>
    </row>
    <row r="43" spans="2:27" ht="14.25" x14ac:dyDescent="0.2">
      <c r="C43" s="291" t="s">
        <v>736</v>
      </c>
      <c r="D43" s="323"/>
      <c r="E43" s="291"/>
      <c r="F43" s="293" t="s">
        <v>654</v>
      </c>
      <c r="G43" s="758">
        <v>3.2</v>
      </c>
      <c r="H43" s="758"/>
      <c r="I43" s="758"/>
    </row>
    <row r="44" spans="2:27" ht="14.25" x14ac:dyDescent="0.2">
      <c r="C44" s="291" t="s">
        <v>358</v>
      </c>
      <c r="D44" s="322"/>
      <c r="E44" s="291"/>
      <c r="F44" s="290" t="s">
        <v>30</v>
      </c>
      <c r="G44" s="758">
        <v>2.1</v>
      </c>
      <c r="H44" s="758"/>
      <c r="I44" s="758"/>
      <c r="AA44" s="331"/>
    </row>
    <row r="45" spans="2:27" ht="15" x14ac:dyDescent="0.2">
      <c r="C45" s="291" t="s">
        <v>31</v>
      </c>
      <c r="D45" s="322"/>
      <c r="E45" s="324"/>
      <c r="F45" s="315" t="s">
        <v>32</v>
      </c>
      <c r="G45" s="759">
        <f>Datos!G8</f>
        <v>60</v>
      </c>
      <c r="H45" s="759"/>
      <c r="I45" s="759"/>
      <c r="AA45" s="331"/>
    </row>
    <row r="46" spans="2:27" ht="15" x14ac:dyDescent="0.2">
      <c r="C46" s="437" t="s">
        <v>265</v>
      </c>
      <c r="D46" s="465"/>
      <c r="E46" s="466"/>
      <c r="F46" s="467" t="s">
        <v>32</v>
      </c>
      <c r="G46" s="760">
        <f>Datos!G7</f>
        <v>40.968975</v>
      </c>
      <c r="H46" s="760"/>
      <c r="I46" s="760"/>
      <c r="J46" s="470" t="s">
        <v>716</v>
      </c>
      <c r="AA46" s="385"/>
    </row>
    <row r="47" spans="2:27" ht="15" x14ac:dyDescent="0.2">
      <c r="C47" s="291" t="s">
        <v>702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4.25" x14ac:dyDescent="0.2">
      <c r="C48" s="437" t="s">
        <v>489</v>
      </c>
      <c r="D48" s="437"/>
      <c r="E48" s="437"/>
      <c r="F48" s="448" t="s">
        <v>655</v>
      </c>
      <c r="G48" s="756">
        <v>75</v>
      </c>
      <c r="H48" s="756"/>
      <c r="I48" s="756"/>
      <c r="J48" s="490" t="s">
        <v>719</v>
      </c>
    </row>
    <row r="49" spans="3:10" ht="15" thickBot="1" x14ac:dyDescent="0.25">
      <c r="C49" s="469" t="s">
        <v>524</v>
      </c>
      <c r="D49" s="469"/>
      <c r="E49" s="469"/>
      <c r="F49" s="449" t="s">
        <v>317</v>
      </c>
      <c r="G49" s="757">
        <v>0.6</v>
      </c>
      <c r="H49" s="757"/>
      <c r="I49" s="757"/>
      <c r="J49" s="490" t="s">
        <v>717</v>
      </c>
    </row>
    <row r="50" spans="3:10" ht="14.25" x14ac:dyDescent="0.2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">
      <c r="C51" s="292"/>
      <c r="H51" s="401"/>
    </row>
    <row r="52" spans="3:10" ht="16.5" thickBot="1" x14ac:dyDescent="0.3">
      <c r="C52" s="463" t="s">
        <v>492</v>
      </c>
      <c r="D52" s="427"/>
      <c r="E52" s="427"/>
      <c r="F52" s="427"/>
      <c r="G52" s="427"/>
    </row>
    <row r="53" spans="3:10" x14ac:dyDescent="0.2">
      <c r="C53" s="472" t="s">
        <v>356</v>
      </c>
      <c r="D53" s="472"/>
      <c r="E53" s="472"/>
      <c r="F53" s="472"/>
      <c r="G53" s="473">
        <f>Superficie!I17</f>
        <v>6.5439135915796429</v>
      </c>
    </row>
    <row r="54" spans="3:10" ht="14.25" x14ac:dyDescent="0.2">
      <c r="C54" s="295" t="s">
        <v>355</v>
      </c>
      <c r="D54" s="295"/>
      <c r="E54" s="295"/>
      <c r="F54" s="293" t="s">
        <v>574</v>
      </c>
      <c r="G54" s="474">
        <f>Superficie!G17</f>
        <v>14.396609901475216</v>
      </c>
    </row>
    <row r="55" spans="3:10" x14ac:dyDescent="0.2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373</v>
      </c>
      <c r="G56" s="452">
        <f>Superficie!I9</f>
        <v>1079.7457426106412</v>
      </c>
      <c r="I56" s="490" t="s">
        <v>491</v>
      </c>
    </row>
    <row r="57" spans="3:10" x14ac:dyDescent="0.2">
      <c r="C57" s="295" t="s">
        <v>357</v>
      </c>
      <c r="D57" s="295"/>
      <c r="E57" s="295"/>
      <c r="F57" s="293"/>
      <c r="G57" s="475">
        <f>Superficie!G19</f>
        <v>0.59991800023357977</v>
      </c>
      <c r="I57" s="344"/>
    </row>
    <row r="58" spans="3:10" ht="15" x14ac:dyDescent="0.2">
      <c r="C58" s="480" t="s">
        <v>319</v>
      </c>
      <c r="D58" s="480"/>
      <c r="E58" s="480"/>
      <c r="F58" s="481"/>
      <c r="G58" s="482">
        <f>Superficie!K17</f>
        <v>8</v>
      </c>
      <c r="I58" s="344"/>
    </row>
    <row r="59" spans="3:10" ht="14.25" x14ac:dyDescent="0.2">
      <c r="C59" s="291" t="s">
        <v>318</v>
      </c>
      <c r="D59" s="291"/>
      <c r="E59" s="291"/>
      <c r="F59" s="293" t="s">
        <v>574</v>
      </c>
      <c r="G59" s="478">
        <f>Superficie!K18</f>
        <v>17.600000000000001</v>
      </c>
      <c r="I59" s="344"/>
    </row>
    <row r="60" spans="3:10" ht="14.25" x14ac:dyDescent="0.2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4.25" x14ac:dyDescent="0.2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373</v>
      </c>
      <c r="G61" s="479">
        <f>Superficie!K15</f>
        <v>1500</v>
      </c>
      <c r="H61" s="492"/>
      <c r="I61" s="490" t="s">
        <v>491</v>
      </c>
    </row>
    <row r="62" spans="3:10" ht="14.25" x14ac:dyDescent="0.2">
      <c r="C62" s="437" t="s">
        <v>360</v>
      </c>
      <c r="D62" s="437"/>
      <c r="E62" s="437"/>
      <c r="F62" s="438"/>
      <c r="G62" s="695">
        <f>Superficie!K19</f>
        <v>0.69515145460485328</v>
      </c>
      <c r="H62" s="685"/>
      <c r="I62" s="328"/>
    </row>
    <row r="63" spans="3:10" ht="15" x14ac:dyDescent="0.2">
      <c r="C63" s="291" t="s">
        <v>361</v>
      </c>
      <c r="D63" s="291"/>
      <c r="E63" s="291"/>
      <c r="F63" s="292"/>
      <c r="G63" s="446">
        <v>10</v>
      </c>
      <c r="I63" s="328"/>
    </row>
    <row r="64" spans="3:10" ht="14.25" x14ac:dyDescent="0.2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4" t="str">
        <f>IF(OR(Datos!AA51=1,Datos!AA51=4,Datos!AA51=5), "-", "Consultar la Hoja Datos")</f>
        <v>-</v>
      </c>
      <c r="I64" s="328"/>
    </row>
    <row r="65" spans="2:10" ht="14.25" x14ac:dyDescent="0.2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373</v>
      </c>
      <c r="G65" s="743">
        <v>2500</v>
      </c>
      <c r="H65" s="694"/>
      <c r="I65" s="490" t="s">
        <v>500</v>
      </c>
    </row>
    <row r="66" spans="2:10" ht="15" x14ac:dyDescent="0.25">
      <c r="B66" s="402"/>
      <c r="C66" s="372" t="s">
        <v>362</v>
      </c>
      <c r="D66" s="372"/>
      <c r="E66" s="372"/>
      <c r="F66" s="373" t="s">
        <v>574</v>
      </c>
      <c r="G66" s="476">
        <f>Superficie!M18</f>
        <v>22</v>
      </c>
      <c r="H66" s="402"/>
      <c r="I66" s="374"/>
      <c r="J66" s="402"/>
    </row>
    <row r="67" spans="2:10" ht="15" x14ac:dyDescent="0.25">
      <c r="C67" s="291" t="s">
        <v>363</v>
      </c>
      <c r="D67" s="291"/>
      <c r="E67" s="291"/>
      <c r="G67" s="403">
        <f>Superficie!N19</f>
        <v>0.79243285212548453</v>
      </c>
      <c r="I67" s="344"/>
    </row>
    <row r="68" spans="2:10" ht="14.25" x14ac:dyDescent="0.2">
      <c r="C68" s="437" t="s">
        <v>490</v>
      </c>
      <c r="D68" s="437"/>
      <c r="E68" s="437"/>
      <c r="F68" s="438"/>
      <c r="G68" s="690">
        <f>G65/G66</f>
        <v>113.63636363636364</v>
      </c>
      <c r="I68" s="490" t="s">
        <v>720</v>
      </c>
    </row>
    <row r="69" spans="2:10" ht="15" x14ac:dyDescent="0.25">
      <c r="C69" s="291" t="s">
        <v>374</v>
      </c>
      <c r="D69" s="291"/>
      <c r="E69" s="291"/>
      <c r="F69" s="290" t="s">
        <v>30</v>
      </c>
      <c r="G69" s="477">
        <f>Superficie!K24</f>
        <v>3.723673085106916</v>
      </c>
      <c r="H69" s="328"/>
      <c r="I69" s="491" t="s">
        <v>680</v>
      </c>
    </row>
    <row r="70" spans="2:10" ht="14.25" x14ac:dyDescent="0.2">
      <c r="C70" s="480" t="s">
        <v>586</v>
      </c>
      <c r="D70" s="480"/>
      <c r="E70" s="480"/>
      <c r="F70" s="565" t="s">
        <v>30</v>
      </c>
      <c r="G70" s="692">
        <v>2</v>
      </c>
      <c r="I70" s="491" t="s">
        <v>681</v>
      </c>
    </row>
    <row r="71" spans="2:10" ht="15.75" thickBot="1" x14ac:dyDescent="0.3">
      <c r="C71" s="434" t="s">
        <v>585</v>
      </c>
      <c r="D71" s="434"/>
      <c r="E71" s="434"/>
      <c r="F71" s="558" t="s">
        <v>30</v>
      </c>
      <c r="G71" s="691">
        <f>Superficie!N24</f>
        <v>4.0949783963059856</v>
      </c>
      <c r="I71" s="491" t="s">
        <v>682</v>
      </c>
    </row>
    <row r="72" spans="2:10" ht="15" x14ac:dyDescent="0.25">
      <c r="C72" s="291"/>
      <c r="D72" s="291"/>
      <c r="E72" s="291"/>
      <c r="F72" s="290"/>
      <c r="H72" s="403"/>
      <c r="I72" s="491" t="s">
        <v>683</v>
      </c>
    </row>
    <row r="73" spans="2:10" x14ac:dyDescent="0.2">
      <c r="D73" s="293" t="s">
        <v>280</v>
      </c>
      <c r="E73" s="295"/>
      <c r="F73" s="295" t="s">
        <v>369</v>
      </c>
      <c r="J73" s="383"/>
    </row>
    <row r="74" spans="2:10" x14ac:dyDescent="0.2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4.25" x14ac:dyDescent="0.25">
      <c r="C75" s="295"/>
      <c r="D75" s="293" t="s">
        <v>367</v>
      </c>
      <c r="E75" s="293" t="s">
        <v>366</v>
      </c>
      <c r="F75" s="295" t="s">
        <v>686</v>
      </c>
      <c r="I75" s="295"/>
    </row>
    <row r="76" spans="2:10" x14ac:dyDescent="0.2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">
      <c r="C77" s="317" t="s">
        <v>0</v>
      </c>
      <c r="D77" s="483">
        <f>Superficie!K58</f>
        <v>68.814868854166647</v>
      </c>
      <c r="E77" s="484">
        <f>Superficie!P58</f>
        <v>0.47761825658020279</v>
      </c>
      <c r="F77" s="452">
        <f>Superficie!Q58</f>
        <v>753.81744351573127</v>
      </c>
      <c r="I77" s="295"/>
    </row>
    <row r="78" spans="2:10" x14ac:dyDescent="0.2">
      <c r="C78" s="317" t="s">
        <v>1</v>
      </c>
      <c r="D78" s="483">
        <f>Superficie!K59</f>
        <v>86.501537500000012</v>
      </c>
      <c r="E78" s="484">
        <f>Superficie!P59</f>
        <v>0.66597298532235472</v>
      </c>
      <c r="F78" s="452">
        <f>Superficie!Q59</f>
        <v>932.11454405643417</v>
      </c>
      <c r="I78" s="295"/>
    </row>
    <row r="79" spans="2:10" x14ac:dyDescent="0.2">
      <c r="C79" s="317" t="s">
        <v>2</v>
      </c>
      <c r="D79" s="483">
        <f>Superficie!K60</f>
        <v>116.65164375000002</v>
      </c>
      <c r="E79" s="484">
        <f>Superficie!P60</f>
        <v>0.80708289157947199</v>
      </c>
      <c r="F79" s="452">
        <f>Superficie!Q60</f>
        <v>1204.3259916165841</v>
      </c>
      <c r="I79" s="295"/>
    </row>
    <row r="80" spans="2:10" x14ac:dyDescent="0.2">
      <c r="C80" s="317" t="s">
        <v>3</v>
      </c>
      <c r="D80" s="483">
        <f>Superficie!K61</f>
        <v>120.484284375</v>
      </c>
      <c r="E80" s="484">
        <f>Superficie!P61</f>
        <v>0.86454230991841363</v>
      </c>
      <c r="F80" s="452">
        <f>Superficie!Q61</f>
        <v>1200.4342881679154</v>
      </c>
      <c r="I80" s="295"/>
    </row>
    <row r="81" spans="3:11" x14ac:dyDescent="0.2">
      <c r="C81" s="317" t="s">
        <v>4</v>
      </c>
      <c r="D81" s="483">
        <f>Superficie!K62</f>
        <v>122.94027145833333</v>
      </c>
      <c r="E81" s="484">
        <f>Superficie!P62</f>
        <v>0.87637592971226241</v>
      </c>
      <c r="F81" s="452">
        <f>Superficie!Q62</f>
        <v>1232.2791356657751</v>
      </c>
      <c r="I81" s="295"/>
    </row>
    <row r="82" spans="3:11" x14ac:dyDescent="0.2">
      <c r="C82" s="317" t="s">
        <v>5</v>
      </c>
      <c r="D82" s="483">
        <f>Superficie!K63</f>
        <v>128.86963749999998</v>
      </c>
      <c r="E82" s="484">
        <f>Superficie!P63</f>
        <v>0.94973282518513635</v>
      </c>
      <c r="F82" s="452">
        <f>Superficie!Q63</f>
        <v>1265.9741015290226</v>
      </c>
      <c r="I82" s="295"/>
    </row>
    <row r="83" spans="3:11" x14ac:dyDescent="0.2">
      <c r="C83" s="317" t="s">
        <v>6</v>
      </c>
      <c r="D83" s="483">
        <f>Superficie!K64</f>
        <v>153.51932375000001</v>
      </c>
      <c r="E83" s="484">
        <f>Superficie!P64</f>
        <v>1.0590327245304614</v>
      </c>
      <c r="F83" s="452">
        <f>Superficie!Q64</f>
        <v>1348.7157599999998</v>
      </c>
      <c r="I83" s="295"/>
    </row>
    <row r="84" spans="3:11" x14ac:dyDescent="0.2">
      <c r="C84" s="317" t="s">
        <v>7</v>
      </c>
      <c r="D84" s="483">
        <f>Superficie!K65</f>
        <v>166.35260472222222</v>
      </c>
      <c r="E84" s="484">
        <f>Superficie!P65</f>
        <v>1.1062394874525907</v>
      </c>
      <c r="F84" s="452">
        <f>Superficie!Q65</f>
        <v>1377.4118399999998</v>
      </c>
      <c r="I84" s="295"/>
    </row>
    <row r="85" spans="3:11" x14ac:dyDescent="0.2">
      <c r="C85" s="317" t="s">
        <v>8</v>
      </c>
      <c r="D85" s="483">
        <f>Superficie!K66</f>
        <v>154.46703124999999</v>
      </c>
      <c r="E85" s="484">
        <f>Superficie!P66</f>
        <v>1.0638244930398746</v>
      </c>
      <c r="F85" s="452">
        <f>Superficie!Q66</f>
        <v>1360.7495999999996</v>
      </c>
      <c r="I85" s="295"/>
    </row>
    <row r="86" spans="3:11" x14ac:dyDescent="0.2">
      <c r="C86" s="317" t="s">
        <v>9</v>
      </c>
      <c r="D86" s="483">
        <f>Superficie!K67</f>
        <v>125.66854378472222</v>
      </c>
      <c r="E86" s="484">
        <f>Superficie!P67</f>
        <v>0.87883732114377655</v>
      </c>
      <c r="F86" s="452">
        <f>Superficie!Q67</f>
        <v>1260.9593037263749</v>
      </c>
      <c r="I86" s="295"/>
    </row>
    <row r="87" spans="3:11" x14ac:dyDescent="0.2">
      <c r="C87" s="317" t="s">
        <v>10</v>
      </c>
      <c r="D87" s="483">
        <f>Superficie!K68</f>
        <v>89.381825000000006</v>
      </c>
      <c r="E87" s="484">
        <f>Superficie!P68</f>
        <v>0.6568088300019469</v>
      </c>
      <c r="F87" s="452">
        <f>Superficie!Q68</f>
        <v>948.4718844996753</v>
      </c>
      <c r="I87" s="295"/>
    </row>
    <row r="88" spans="3:11" x14ac:dyDescent="0.2">
      <c r="C88" s="317" t="s">
        <v>11</v>
      </c>
      <c r="D88" s="485">
        <f>Superficie!K69</f>
        <v>64.070395277777777</v>
      </c>
      <c r="E88" s="486">
        <f>Superficie!P69</f>
        <v>0.44252214674717588</v>
      </c>
      <c r="F88" s="456">
        <f>Superficie!Q69</f>
        <v>698.42580086557837</v>
      </c>
      <c r="I88" s="295"/>
    </row>
    <row r="89" spans="3:11" ht="13.5" thickBot="1" x14ac:dyDescent="0.25">
      <c r="C89" s="457" t="s">
        <v>311</v>
      </c>
      <c r="D89" s="487"/>
      <c r="E89" s="488"/>
      <c r="F89" s="459">
        <f>SUM(F77:F88)</f>
        <v>13583.679693643089</v>
      </c>
      <c r="I89" s="295"/>
    </row>
    <row r="91" spans="3:11" ht="13.5" thickBot="1" x14ac:dyDescent="0.25">
      <c r="C91" s="429"/>
      <c r="D91" s="429"/>
      <c r="E91" s="429"/>
      <c r="F91" s="429"/>
      <c r="G91" s="489"/>
      <c r="H91" s="429"/>
      <c r="I91" s="429"/>
      <c r="J91" s="429"/>
      <c r="K91" s="429"/>
    </row>
    <row r="92" spans="3:11" ht="13.5" thickTop="1" x14ac:dyDescent="0.2">
      <c r="C92" s="546" t="s">
        <v>722</v>
      </c>
    </row>
  </sheetData>
  <mergeCells count="20"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5:K5"/>
    <mergeCell ref="G48:I48"/>
    <mergeCell ref="G49:I49"/>
    <mergeCell ref="G43:I43"/>
    <mergeCell ref="G44:I44"/>
    <mergeCell ref="G45:I45"/>
    <mergeCell ref="G46:I46"/>
  </mergeCells>
  <phoneticPr fontId="56" type="noConversion"/>
  <conditionalFormatting sqref="G68">
    <cfRule type="cellIs" dxfId="29" priority="1" stopIfTrue="1" operator="lessThan">
      <formula>50</formula>
    </cfRule>
    <cfRule type="cellIs" dxfId="28" priority="2" stopIfTrue="1" operator="greaterThan">
      <formula>100</formula>
    </cfRule>
  </conditionalFormatting>
  <conditionalFormatting sqref="G55 G60 G64">
    <cfRule type="cellIs" dxfId="27" priority="3" stopIfTrue="1" operator="notEqual">
      <formula>"""-"""</formula>
    </cfRule>
  </conditionalFormatting>
  <conditionalFormatting sqref="G67">
    <cfRule type="cellIs" dxfId="26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scale="5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133350</xdr:colOff>
                    <xdr:row>38</xdr:row>
                    <xdr:rowOff>200025</xdr:rowOff>
                  </from>
                  <to>
                    <xdr:col>9</xdr:col>
                    <xdr:colOff>1924050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171450</xdr:rowOff>
                  </from>
                  <to>
                    <xdr:col>9</xdr:col>
                    <xdr:colOff>1028700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161925</xdr:colOff>
                    <xdr:row>41</xdr:row>
                    <xdr:rowOff>114300</xdr:rowOff>
                  </from>
                  <to>
                    <xdr:col>9</xdr:col>
                    <xdr:colOff>1924050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Normal="100" workbookViewId="0">
      <selection activeCell="G8" sqref="G8"/>
    </sheetView>
  </sheetViews>
  <sheetFormatPr baseColWidth="10" defaultRowHeight="12.75" x14ac:dyDescent="0.2"/>
  <cols>
    <col min="1" max="1" width="3.42578125" customWidth="1"/>
    <col min="2" max="2" width="3.85546875" customWidth="1"/>
    <col min="3" max="3" width="14.5703125" customWidth="1"/>
    <col min="4" max="4" width="14.7109375" customWidth="1"/>
    <col min="5" max="5" width="16.7109375" customWidth="1"/>
    <col min="6" max="6" width="17.140625" customWidth="1"/>
    <col min="7" max="7" width="18.85546875" customWidth="1"/>
    <col min="8" max="8" width="19" customWidth="1"/>
    <col min="9" max="9" width="18.7109375" customWidth="1"/>
    <col min="11" max="11" width="4.42578125" customWidth="1"/>
    <col min="24" max="35" width="11.42578125" hidden="1" customWidth="1"/>
  </cols>
  <sheetData>
    <row r="1" spans="2:12" x14ac:dyDescent="0.2">
      <c r="B1" s="117"/>
      <c r="C1" s="534" t="s">
        <v>701</v>
      </c>
      <c r="D1" s="117"/>
      <c r="E1" s="117"/>
    </row>
    <row r="3" spans="2:12" ht="15.75" x14ac:dyDescent="0.25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5" thickBot="1" x14ac:dyDescent="0.25"/>
    <row r="5" spans="2:12" ht="15" x14ac:dyDescent="0.2">
      <c r="C5" s="516" t="s">
        <v>271</v>
      </c>
      <c r="D5" s="517"/>
      <c r="E5" s="517"/>
      <c r="F5" s="518"/>
      <c r="G5" s="778" t="s">
        <v>242</v>
      </c>
      <c r="H5" s="778"/>
      <c r="I5" s="3"/>
      <c r="J5" s="3"/>
    </row>
    <row r="6" spans="2:12" ht="15" x14ac:dyDescent="0.2">
      <c r="C6" s="436" t="s">
        <v>371</v>
      </c>
      <c r="D6" s="438"/>
      <c r="E6" s="438"/>
      <c r="F6" s="438"/>
      <c r="G6" s="519" t="s">
        <v>674</v>
      </c>
      <c r="H6" s="520"/>
    </row>
    <row r="7" spans="2:12" ht="15" x14ac:dyDescent="0.2">
      <c r="C7" s="292" t="s">
        <v>265</v>
      </c>
      <c r="D7" s="294"/>
      <c r="E7" s="294"/>
      <c r="F7" s="315" t="s">
        <v>279</v>
      </c>
      <c r="G7" s="755">
        <f>40+58/60+8.31/3600</f>
        <v>40.968975</v>
      </c>
      <c r="H7" s="3"/>
      <c r="I7" s="3"/>
    </row>
    <row r="8" spans="2:12" ht="15" x14ac:dyDescent="0.2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">
      <c r="C9" s="292" t="s">
        <v>687</v>
      </c>
      <c r="F9" s="315" t="s">
        <v>32</v>
      </c>
      <c r="G9" s="523">
        <v>45</v>
      </c>
      <c r="H9" s="344" t="s">
        <v>688</v>
      </c>
      <c r="I9" s="3"/>
    </row>
    <row r="10" spans="2:12" ht="18" customHeight="1" x14ac:dyDescent="0.35">
      <c r="C10" s="97" t="s">
        <v>690</v>
      </c>
      <c r="D10" s="33"/>
      <c r="F10" s="116"/>
      <c r="G10" s="515">
        <f>0.000035*G9^2</f>
        <v>7.0874999999999994E-2</v>
      </c>
      <c r="H10" s="405"/>
    </row>
    <row r="11" spans="2:12" ht="16.5" customHeight="1" thickBot="1" x14ac:dyDescent="0.4">
      <c r="C11" s="521" t="s">
        <v>707</v>
      </c>
      <c r="D11" s="522"/>
      <c r="E11" s="522"/>
      <c r="F11" s="522"/>
      <c r="G11" s="524"/>
      <c r="H11" s="344" t="s">
        <v>708</v>
      </c>
      <c r="I11" s="344"/>
    </row>
    <row r="12" spans="2:12" ht="15" x14ac:dyDescent="0.2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.75" x14ac:dyDescent="0.35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689</v>
      </c>
    </row>
    <row r="15" spans="2:12" ht="18.75" thickBot="1" x14ac:dyDescent="0.25">
      <c r="D15" s="97"/>
      <c r="E15" s="315" t="s">
        <v>12</v>
      </c>
      <c r="F15" s="315" t="s">
        <v>12</v>
      </c>
      <c r="G15" s="315" t="s">
        <v>603</v>
      </c>
      <c r="H15" s="315"/>
      <c r="I15" s="315" t="s">
        <v>603</v>
      </c>
    </row>
    <row r="16" spans="2:12" ht="15" x14ac:dyDescent="0.2">
      <c r="D16" s="327" t="s">
        <v>0</v>
      </c>
      <c r="E16" s="735">
        <v>5</v>
      </c>
      <c r="F16" s="735">
        <v>4</v>
      </c>
      <c r="G16" s="528">
        <v>1.6944444444444442</v>
      </c>
      <c r="H16" s="529">
        <v>1.41</v>
      </c>
      <c r="I16" s="530">
        <f>$G16*$H16*(1-$G$10)*(1-$G$11)</f>
        <v>2.219834479166666</v>
      </c>
    </row>
    <row r="17" spans="4:9" ht="15" x14ac:dyDescent="0.2">
      <c r="D17" s="327" t="s">
        <v>1</v>
      </c>
      <c r="E17" s="736">
        <v>6</v>
      </c>
      <c r="F17" s="736">
        <v>5</v>
      </c>
      <c r="G17" s="525">
        <v>2.6388888888888888</v>
      </c>
      <c r="H17" s="526">
        <v>1.26</v>
      </c>
      <c r="I17" s="527">
        <f>$G17*$H17*(1-$G$10)*(1-$G$11)</f>
        <v>3.0893406250000002</v>
      </c>
    </row>
    <row r="18" spans="4:9" ht="15" x14ac:dyDescent="0.2">
      <c r="D18" s="327" t="s">
        <v>2</v>
      </c>
      <c r="E18" s="736">
        <v>8</v>
      </c>
      <c r="F18" s="736">
        <v>8</v>
      </c>
      <c r="G18" s="525">
        <v>3.75</v>
      </c>
      <c r="H18" s="526">
        <v>1.08</v>
      </c>
      <c r="I18" s="527">
        <f>$G18*$H18*(1-$G$10)*(1-$G$11)</f>
        <v>3.7629562500000007</v>
      </c>
    </row>
    <row r="19" spans="4:9" ht="15" x14ac:dyDescent="0.2">
      <c r="D19" s="327" t="s">
        <v>3</v>
      </c>
      <c r="E19" s="736">
        <v>10</v>
      </c>
      <c r="F19" s="736">
        <v>10</v>
      </c>
      <c r="G19" s="525">
        <v>4.75</v>
      </c>
      <c r="H19" s="526">
        <v>0.91</v>
      </c>
      <c r="I19" s="527">
        <f>$G19*$H19*(1-$G$10)*(1-$G$11)</f>
        <v>4.0161428125</v>
      </c>
    </row>
    <row r="20" spans="4:9" ht="15" x14ac:dyDescent="0.2">
      <c r="D20" s="327" t="s">
        <v>4</v>
      </c>
      <c r="E20" s="736">
        <v>11</v>
      </c>
      <c r="F20" s="736">
        <v>14</v>
      </c>
      <c r="G20" s="525">
        <v>5.4722222222222223</v>
      </c>
      <c r="H20" s="526">
        <v>0.78</v>
      </c>
      <c r="I20" s="527">
        <f>$G20*$H20*(1-$G$10)*(1-$G$11)</f>
        <v>3.9658152083333333</v>
      </c>
    </row>
    <row r="21" spans="4:9" ht="15" x14ac:dyDescent="0.2">
      <c r="D21" s="327" t="s">
        <v>5</v>
      </c>
      <c r="E21" s="736">
        <v>12</v>
      </c>
      <c r="F21" s="736">
        <v>18</v>
      </c>
      <c r="G21" s="525">
        <v>6.333333333333333</v>
      </c>
      <c r="H21" s="526">
        <v>0.73</v>
      </c>
      <c r="I21" s="527">
        <f>$G21*$H21*(1-$G$10)*(1-$G$11)</f>
        <v>4.2956545833333326</v>
      </c>
    </row>
    <row r="22" spans="4:9" ht="15" x14ac:dyDescent="0.2">
      <c r="D22" s="327" t="s">
        <v>6</v>
      </c>
      <c r="E22" s="736">
        <v>13</v>
      </c>
      <c r="F22" s="736">
        <v>21</v>
      </c>
      <c r="G22" s="525">
        <v>6.8333333333333339</v>
      </c>
      <c r="H22" s="526">
        <v>0.78</v>
      </c>
      <c r="I22" s="527">
        <f>$G22*$H22*(1-$G$10)*(1-$G$11)</f>
        <v>4.9522362500000003</v>
      </c>
    </row>
    <row r="23" spans="4:9" ht="15" x14ac:dyDescent="0.2">
      <c r="D23" s="327" t="s">
        <v>7</v>
      </c>
      <c r="E23" s="736">
        <v>12</v>
      </c>
      <c r="F23" s="736">
        <v>21</v>
      </c>
      <c r="G23" s="525">
        <v>6.2777777777777777</v>
      </c>
      <c r="H23" s="526">
        <v>0.92</v>
      </c>
      <c r="I23" s="527">
        <f>$G23*$H23*(1-$G$10)*(1-$G$11)</f>
        <v>5.3662130555555558</v>
      </c>
    </row>
    <row r="24" spans="4:9" ht="15" x14ac:dyDescent="0.2">
      <c r="D24" s="327" t="s">
        <v>8</v>
      </c>
      <c r="E24" s="736">
        <v>11</v>
      </c>
      <c r="F24" s="736">
        <v>18</v>
      </c>
      <c r="G24" s="525">
        <v>4.8611111111111107</v>
      </c>
      <c r="H24" s="526">
        <v>1.1399999999999999</v>
      </c>
      <c r="I24" s="527">
        <f>$G24*$H24*(1-$G$10)*(1-$G$11)</f>
        <v>5.1489010416666661</v>
      </c>
    </row>
    <row r="25" spans="4:9" ht="15" x14ac:dyDescent="0.2">
      <c r="D25" s="327" t="s">
        <v>9</v>
      </c>
      <c r="E25" s="736">
        <v>10</v>
      </c>
      <c r="F25" s="736">
        <v>12</v>
      </c>
      <c r="G25" s="525">
        <v>3.1388888888888888</v>
      </c>
      <c r="H25" s="526">
        <v>1.39</v>
      </c>
      <c r="I25" s="527">
        <f>$G25*$H25*(1-$G$10)*(1-$G$11)</f>
        <v>4.0538239930555555</v>
      </c>
    </row>
    <row r="26" spans="4:9" ht="15" x14ac:dyDescent="0.2">
      <c r="D26" s="327" t="s">
        <v>10</v>
      </c>
      <c r="E26" s="736">
        <v>8</v>
      </c>
      <c r="F26" s="736">
        <v>7</v>
      </c>
      <c r="G26" s="525">
        <v>2.0555555555555558</v>
      </c>
      <c r="H26" s="526">
        <v>1.56</v>
      </c>
      <c r="I26" s="527">
        <f>$G26*$H26*(1-$G$10)*(1-$G$11)</f>
        <v>2.9793941666666668</v>
      </c>
    </row>
    <row r="27" spans="4:9" ht="15.75" thickBot="1" x14ac:dyDescent="0.25">
      <c r="D27" s="327" t="s">
        <v>11</v>
      </c>
      <c r="E27" s="737">
        <v>5</v>
      </c>
      <c r="F27" s="737">
        <v>4</v>
      </c>
      <c r="G27" s="531">
        <v>1.4444444444444444</v>
      </c>
      <c r="H27" s="532">
        <v>1.54</v>
      </c>
      <c r="I27" s="533">
        <f>$G27*$H27*(1-$G$10)*(1-$G$11)</f>
        <v>2.0667869444444444</v>
      </c>
    </row>
    <row r="28" spans="4:9" ht="19.5" x14ac:dyDescent="0.35">
      <c r="I28" s="406" t="s">
        <v>709</v>
      </c>
    </row>
    <row r="30" spans="4:9" x14ac:dyDescent="0.2">
      <c r="E30" s="345" t="s">
        <v>350</v>
      </c>
      <c r="F30" s="344"/>
    </row>
    <row r="31" spans="4:9" x14ac:dyDescent="0.2">
      <c r="E31" s="344"/>
      <c r="F31" s="344" t="s">
        <v>348</v>
      </c>
    </row>
    <row r="32" spans="4:9" x14ac:dyDescent="0.2">
      <c r="E32" s="344"/>
      <c r="F32" s="344" t="s">
        <v>346</v>
      </c>
    </row>
    <row r="33" spans="2:12" x14ac:dyDescent="0.2">
      <c r="E33" s="344"/>
      <c r="F33" s="344" t="s">
        <v>347</v>
      </c>
    </row>
    <row r="34" spans="2:12" x14ac:dyDescent="0.2">
      <c r="E34" s="344"/>
      <c r="F34" s="344" t="s">
        <v>349</v>
      </c>
    </row>
    <row r="35" spans="2:12" x14ac:dyDescent="0.2">
      <c r="E35" s="344"/>
      <c r="F35" s="344"/>
    </row>
    <row r="36" spans="2:12" x14ac:dyDescent="0.2">
      <c r="E36" s="345" t="s">
        <v>631</v>
      </c>
      <c r="F36" s="344"/>
    </row>
    <row r="37" spans="2:12" x14ac:dyDescent="0.2">
      <c r="E37" s="344"/>
      <c r="F37" s="344" t="s">
        <v>351</v>
      </c>
    </row>
    <row r="38" spans="2:12" x14ac:dyDescent="0.2">
      <c r="E38" s="344"/>
      <c r="F38" s="344" t="s">
        <v>354</v>
      </c>
    </row>
    <row r="39" spans="2:12" x14ac:dyDescent="0.2">
      <c r="E39" s="344"/>
      <c r="F39" s="344" t="s">
        <v>352</v>
      </c>
    </row>
    <row r="40" spans="2:12" x14ac:dyDescent="0.2">
      <c r="E40" s="344"/>
      <c r="F40" s="344" t="s">
        <v>353</v>
      </c>
    </row>
    <row r="42" spans="2:12" ht="13.5" thickBot="1" x14ac:dyDescent="0.25">
      <c r="B42" s="542"/>
      <c r="C42" s="422"/>
      <c r="D42" s="542"/>
      <c r="E42" s="542"/>
      <c r="F42" s="422"/>
      <c r="G42" s="422"/>
      <c r="H42" s="422"/>
      <c r="I42" s="422"/>
      <c r="J42" s="422"/>
      <c r="K42" s="422"/>
    </row>
    <row r="43" spans="2:12" ht="9" customHeight="1" thickTop="1" x14ac:dyDescent="0.2"/>
    <row r="44" spans="2:12" ht="9" customHeight="1" x14ac:dyDescent="0.25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"/>
    <row r="46" spans="2:12" ht="15.75" x14ac:dyDescent="0.25">
      <c r="B46" s="779" t="s">
        <v>635</v>
      </c>
      <c r="C46" s="780"/>
      <c r="D46" s="780"/>
      <c r="E46" s="780"/>
      <c r="F46" s="780"/>
      <c r="G46" s="780"/>
      <c r="H46" s="780"/>
      <c r="I46" s="780"/>
      <c r="J46" s="780"/>
      <c r="K46" s="781"/>
    </row>
    <row r="47" spans="2:12" ht="15" x14ac:dyDescent="0.2">
      <c r="D47" s="97"/>
    </row>
    <row r="48" spans="2:12" ht="15.75" x14ac:dyDescent="0.25">
      <c r="C48" s="319" t="s">
        <v>699</v>
      </c>
      <c r="I48" s="535" t="s">
        <v>701</v>
      </c>
    </row>
    <row r="49" spans="2:31" ht="13.5" thickBot="1" x14ac:dyDescent="0.25">
      <c r="AA49" s="331" t="s">
        <v>522</v>
      </c>
      <c r="AB49" s="294"/>
      <c r="AC49" s="294"/>
      <c r="AD49" s="294"/>
      <c r="AE49" s="294"/>
    </row>
    <row r="50" spans="2:31" ht="15.75" x14ac:dyDescent="0.25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521</v>
      </c>
      <c r="AB50" s="393"/>
      <c r="AC50" s="393"/>
      <c r="AD50" s="393"/>
      <c r="AE50" s="394"/>
    </row>
    <row r="51" spans="2:31" ht="15" x14ac:dyDescent="0.2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">
      <c r="D52" s="327" t="s">
        <v>703</v>
      </c>
      <c r="E52" s="750">
        <v>10</v>
      </c>
      <c r="F52" s="750"/>
      <c r="G52" s="750"/>
      <c r="H52" s="750"/>
      <c r="I52" s="750"/>
      <c r="AA52" s="397" t="s">
        <v>700</v>
      </c>
      <c r="AB52" s="294"/>
      <c r="AC52" s="294"/>
      <c r="AD52" s="294"/>
      <c r="AE52" s="396"/>
    </row>
    <row r="53" spans="2:31" ht="15" x14ac:dyDescent="0.2">
      <c r="D53" s="327" t="str">
        <f>IF(OR(AA51=4,AA51=5),"nº habitaciones","nº habit. / vivienda")</f>
        <v>nº habit. / vivienda</v>
      </c>
      <c r="E53" s="693">
        <v>2</v>
      </c>
      <c r="F53" s="750"/>
      <c r="G53" s="750"/>
      <c r="H53" s="750"/>
      <c r="I53" s="750"/>
      <c r="P53" s="3"/>
      <c r="AA53" s="397" t="s">
        <v>693</v>
      </c>
      <c r="AB53" s="294"/>
      <c r="AC53" s="294"/>
      <c r="AD53" s="294"/>
      <c r="AE53" s="396"/>
    </row>
    <row r="54" spans="2:31" ht="15" x14ac:dyDescent="0.2">
      <c r="D54" s="327" t="str">
        <f>IF(OR(AA51=4,AA51=5),"nº personas","nº personas / vivienda")</f>
        <v>nº personas / vivienda</v>
      </c>
      <c r="E54" s="693">
        <v>3</v>
      </c>
      <c r="F54" s="750"/>
      <c r="G54" s="750"/>
      <c r="H54" s="750"/>
      <c r="I54" s="750"/>
      <c r="P54" s="213"/>
      <c r="S54" s="3"/>
      <c r="AA54" s="397" t="s">
        <v>694</v>
      </c>
      <c r="AB54" s="294"/>
      <c r="AC54" s="294"/>
      <c r="AD54" s="294"/>
      <c r="AE54" s="396"/>
    </row>
    <row r="55" spans="2:31" ht="15" x14ac:dyDescent="0.2">
      <c r="D55" s="327" t="str">
        <f>IF(OR(AA51=4,AA51=5),"","nºpers. en viv. de ese tipo")</f>
        <v>nºpers. en viv. de ese tipo</v>
      </c>
      <c r="E55" s="752">
        <f>IF(OR(AA51=4,AA51=5),"",IF(E52*E54=0,"",E52*E54))</f>
        <v>30</v>
      </c>
      <c r="F55" s="537" t="str">
        <f>IF(OR(AB51=4,AB51=5),"",IF(F52*F54=0,"",F52*F54))</f>
        <v/>
      </c>
      <c r="G55" s="537" t="str">
        <f>IF(OR(AC51=4,AC51=5),"",IF(G52*G54=0,"",G52*G54))</f>
        <v/>
      </c>
      <c r="H55" s="537" t="str">
        <f>IF(OR(AD51=4,AD51=5),"",IF(H52*H54=0,"",H52*H54))</f>
        <v/>
      </c>
      <c r="I55" s="537" t="str">
        <f>IF(OR(AE51=4,AE51=5),"",IF(I52*I54=0,"",I52*I54))</f>
        <v/>
      </c>
      <c r="S55" s="213"/>
      <c r="AA55" s="397" t="s">
        <v>705</v>
      </c>
      <c r="AB55" s="294"/>
      <c r="AC55" s="294"/>
      <c r="AD55" s="294"/>
      <c r="AE55" s="396"/>
    </row>
    <row r="56" spans="2:31" ht="15.75" thickBot="1" x14ac:dyDescent="0.25">
      <c r="D56" s="327"/>
      <c r="E56" s="413"/>
      <c r="F56" s="413"/>
      <c r="G56" s="413"/>
      <c r="H56" s="413"/>
      <c r="I56" s="413"/>
      <c r="AA56" s="398" t="s">
        <v>706</v>
      </c>
      <c r="AB56" s="399"/>
      <c r="AC56" s="399"/>
      <c r="AD56" s="399"/>
      <c r="AE56" s="400"/>
    </row>
    <row r="57" spans="2:31" ht="15" x14ac:dyDescent="0.2">
      <c r="B57" s="541"/>
      <c r="D57" s="294"/>
      <c r="E57" s="327" t="str">
        <f>IF(OR(AA51=4,AA51=5),"","Nº total viviendas en el edificio")</f>
        <v>Nº total viviendas en el edificio</v>
      </c>
      <c r="F57" s="537">
        <f>IF(OR(AA51=4,AA51=5),"",SUM(E52:I52))</f>
        <v>10</v>
      </c>
      <c r="G57" s="315"/>
      <c r="H57" s="315"/>
      <c r="I57" s="315"/>
      <c r="M57" s="543"/>
    </row>
    <row r="58" spans="2:31" ht="15" x14ac:dyDescent="0.2">
      <c r="B58" s="541"/>
      <c r="D58" s="294"/>
      <c r="E58" s="327" t="str">
        <f>IF(OR(AA51=4,AA51=5),"","Nº total personas")</f>
        <v>Nº total personas</v>
      </c>
      <c r="F58" s="753">
        <f>IF(OR(AA51=4,AA51=5),"",SUM(E55:I55))</f>
        <v>30</v>
      </c>
      <c r="G58" s="315"/>
      <c r="I58" s="315"/>
      <c r="M58" s="543"/>
    </row>
    <row r="59" spans="2:31" ht="15" x14ac:dyDescent="0.2">
      <c r="B59" s="541"/>
      <c r="D59" s="327"/>
      <c r="E59" s="315"/>
      <c r="F59" s="315"/>
      <c r="G59" s="315"/>
      <c r="H59" s="315"/>
      <c r="I59" s="315"/>
      <c r="M59" s="543"/>
    </row>
    <row r="60" spans="2:31" ht="9" customHeight="1" x14ac:dyDescent="0.2">
      <c r="B60" s="541"/>
      <c r="D60" s="327"/>
      <c r="E60" s="315"/>
      <c r="F60" s="315"/>
      <c r="G60" s="315"/>
      <c r="H60" s="315"/>
      <c r="I60" s="315"/>
      <c r="M60" s="543"/>
    </row>
    <row r="61" spans="2:31" ht="9" customHeight="1" x14ac:dyDescent="0.2">
      <c r="B61" s="541"/>
      <c r="D61" s="327"/>
      <c r="E61" s="315"/>
      <c r="F61" s="315"/>
      <c r="G61" s="315"/>
      <c r="H61" s="315"/>
      <c r="I61" s="315"/>
      <c r="M61" s="543"/>
      <c r="AA61" s="5"/>
    </row>
    <row r="62" spans="2:31" ht="8.25" customHeight="1" x14ac:dyDescent="0.2">
      <c r="B62" s="541"/>
      <c r="D62" s="327"/>
      <c r="E62" s="315"/>
      <c r="F62" s="315"/>
      <c r="G62" s="315"/>
      <c r="H62" s="315"/>
      <c r="I62" s="315"/>
      <c r="M62" s="543"/>
    </row>
    <row r="63" spans="2:31" ht="15.75" x14ac:dyDescent="0.25">
      <c r="B63" s="742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3"/>
    </row>
    <row r="64" spans="2:31" ht="15.75" x14ac:dyDescent="0.25">
      <c r="B64" s="540"/>
      <c r="C64" s="368"/>
      <c r="D64" s="368"/>
      <c r="E64" s="368"/>
      <c r="F64" s="368"/>
      <c r="G64" s="368"/>
      <c r="H64" s="368"/>
      <c r="I64" s="368"/>
      <c r="J64" s="368"/>
      <c r="K64" s="493"/>
      <c r="M64" s="543"/>
    </row>
    <row r="65" spans="2:27" ht="15" x14ac:dyDescent="0.2">
      <c r="B65" s="541"/>
      <c r="D65" s="327"/>
      <c r="E65" s="315"/>
      <c r="F65" s="315"/>
      <c r="G65" s="315"/>
      <c r="H65" s="315"/>
      <c r="I65" s="315"/>
      <c r="K65" s="494"/>
      <c r="M65" s="543"/>
      <c r="AA65" s="385"/>
    </row>
    <row r="66" spans="2:27" ht="15.75" x14ac:dyDescent="0.25">
      <c r="B66" s="541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3"/>
    </row>
    <row r="67" spans="2:27" ht="14.25" customHeight="1" x14ac:dyDescent="0.2">
      <c r="B67" s="541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3"/>
      <c r="P67" s="105"/>
    </row>
    <row r="68" spans="2:27" ht="15" customHeight="1" x14ac:dyDescent="0.2">
      <c r="B68" s="541"/>
      <c r="D68" s="327" t="str">
        <f>IF(OR(AA51=1,AA51=4,AA51=5),"",IF(AA51=2,"Vol. acum. indv. calculado", "Vol. acum. indv. calculado (*)"))</f>
        <v/>
      </c>
      <c r="E68" s="746" t="str">
        <f>IF(OR(AA51=1,AA51=4,AA51=5),"",IF(OR(AA51=2,AA51=3),IF(E52=0,"",(Principal!$G$56/E52)*(E55/$F$58))))</f>
        <v/>
      </c>
      <c r="F68" s="746" t="str">
        <f>IF(OR(AA51=1,AA51=4,AA51=5),"",IF(OR(AA51=2,AA51=3),IF(F52=0,"",(Principal!$G$56/F52)*(F55/$F$58))))</f>
        <v/>
      </c>
      <c r="G68" s="746" t="str">
        <f>IF(OR(AA51=1,AA51=4,AA51=5),"",IF(OR(AA51=2,AA51=3),IF(G52=0,"",(Principal!$G$56/G52)*(G55/$F$58))))</f>
        <v/>
      </c>
      <c r="H68" s="746" t="str">
        <f>IF(OR(AA51=1,AA51=4,AA51=5),"",IF(OR(AA51=2,AA51=3),IF(H52=0,"",(Principal!$G$56/H52)*(H55/$F$58))))</f>
        <v/>
      </c>
      <c r="I68" s="746" t="str">
        <f>IF(OR(AA51=1,AA51=4,AA51=5),"",IF(OR(AA51=2,AA51=3),IF(I52=0,"",(Principal!$G$56/I52)*(I55/$F$58))))</f>
        <v/>
      </c>
      <c r="K68" s="494"/>
      <c r="M68" s="543"/>
    </row>
    <row r="69" spans="2:27" ht="15" x14ac:dyDescent="0.2">
      <c r="B69" s="541"/>
      <c r="D69" s="327" t="str">
        <f>IF(OR(AA51=1,AA51=4,AA51=5),"",IF(AA51=2,"Vol. acum. indv. sugerido","Vol. acum. indv. sugerido (*)"))</f>
        <v/>
      </c>
      <c r="E69" s="747" t="str">
        <f>IF(OR(AA51=1,AA51=4,AA51=5),"",IF(E52=0,"0",IF(E68&lt;100,100,IF((E68-FLOOR(E68,50))/FLOOR(E68,50)&gt;0.02,CEILING(E68,50),FLOOR(E68,50)))))</f>
        <v/>
      </c>
      <c r="F69" s="747" t="str">
        <f>IF(OR(AA51=1,AA51=4,AA51=5),"",IF(F52=0,"0",IF(F68&lt;100,100,IF((F68-FLOOR(F68,50))/FLOOR(F68,50)&gt;0.02,CEILING(F68,50),FLOOR(F68,50)))))</f>
        <v/>
      </c>
      <c r="G69" s="747" t="str">
        <f>IF(OR(AA51=1,AA51=4,AA51=5),"",IF(G52=0,"0",IF(G68&lt;100,100,IF((G68-FLOOR(G68,50))/FLOOR(G68,50)&gt;0.02,CEILING(G68,50),FLOOR(G68,50)))))</f>
        <v/>
      </c>
      <c r="H69" s="747" t="str">
        <f>IF(OR(AA51=1,AA51=4,AA51=5),"",IF(H52=0,"0",IF(H68&lt;100,100,IF((H68-FLOOR(H68,50))/FLOOR(H68,50)&gt;0.02,CEILING(H68,50),FLOOR(H68,50)))))</f>
        <v/>
      </c>
      <c r="I69" s="747" t="str">
        <f>IF(OR(AA51=1,AA51=4,AA51=5),"",IF(I52=0,"0",IF(I68&lt;100,100,IF((I68-FLOOR(I68,50))/FLOOR(I68,50)&gt;0.02,CEILING(I68,50),FLOOR(I68,50)))))</f>
        <v/>
      </c>
      <c r="K69" s="494"/>
      <c r="M69" s="543"/>
    </row>
    <row r="70" spans="2:27" ht="15" x14ac:dyDescent="0.2">
      <c r="B70" s="541"/>
      <c r="D70" s="327" t="str">
        <f>IF(OR(AA51=1,AA51=4,AA51=5),"","Vol. acum. indv. seleccionado")</f>
        <v/>
      </c>
      <c r="E70" s="745"/>
      <c r="F70" s="745"/>
      <c r="G70" s="745"/>
      <c r="H70" s="745"/>
      <c r="I70" s="745"/>
      <c r="K70" s="494"/>
      <c r="M70" s="543"/>
    </row>
    <row r="71" spans="2:27" ht="13.5" customHeight="1" x14ac:dyDescent="0.2">
      <c r="B71" s="541"/>
      <c r="D71" s="294"/>
      <c r="E71" s="5"/>
      <c r="K71" s="494"/>
      <c r="M71" s="543"/>
    </row>
    <row r="72" spans="2:27" ht="15" customHeight="1" x14ac:dyDescent="0.2">
      <c r="B72" s="541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3"/>
      <c r="AA72" s="385" t="s">
        <v>673</v>
      </c>
    </row>
    <row r="73" spans="2:27" ht="15" x14ac:dyDescent="0.2">
      <c r="B73" s="541"/>
      <c r="C73" s="369"/>
      <c r="D73" s="370"/>
      <c r="E73" s="371" t="str">
        <f>IF(OR(AA51=1,AA51=4,AA51=5),"",IF(AA51=2,"Volumen total sugerido","Vol. total sugerido para config. indiv. (*)"))</f>
        <v/>
      </c>
      <c r="F73" s="748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8" t="str">
        <f>IF(AA51=3,IF(AA73&gt;0,IF((AA73-FLOOR(AA73,500))/CEILING(AA73,500)&gt;0.04,CEILING(AA73,500),FLOOR(AA73,500)),0),"")</f>
        <v/>
      </c>
      <c r="J73" s="369"/>
      <c r="K73" s="495"/>
      <c r="M73" s="543"/>
      <c r="AA73" s="411" t="str">
        <f>IF(AA51=3,F72-(E70*E52+F70*F52+G70*G52+H70*H52+I70*I52),"")</f>
        <v/>
      </c>
    </row>
    <row r="74" spans="2:27" ht="15.75" x14ac:dyDescent="0.25">
      <c r="B74" s="541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49"/>
      <c r="K74" s="494"/>
      <c r="M74" s="543"/>
    </row>
    <row r="75" spans="2:27" ht="15" customHeight="1" x14ac:dyDescent="0.2">
      <c r="B75" s="541"/>
      <c r="C75" s="538" t="str">
        <f>IF(AA51=3,"(*) Volúmenes que se obtendrían en el caso de la configuración de acumulación INDIVIDUAL (guía para el usuario)","")</f>
        <v/>
      </c>
      <c r="E75" s="5"/>
      <c r="K75" s="494"/>
      <c r="M75" s="543"/>
    </row>
    <row r="76" spans="2:27" x14ac:dyDescent="0.2">
      <c r="B76" s="541"/>
      <c r="C76" s="538" t="str">
        <f>IF(AA51=3,"(**) Volúmen centralizado sugerido para la configuración MIXTA teniendo en cuenta el vol. acum. individual indicado por el usuario","")</f>
        <v/>
      </c>
      <c r="K76" s="494"/>
      <c r="M76" s="543"/>
    </row>
    <row r="77" spans="2:27" ht="13.5" thickBot="1" x14ac:dyDescent="0.25">
      <c r="B77" s="354"/>
      <c r="C77" s="539"/>
      <c r="D77" s="539"/>
      <c r="E77" s="539"/>
      <c r="F77" s="539"/>
      <c r="G77" s="539"/>
      <c r="H77" s="539"/>
      <c r="I77" s="539"/>
      <c r="J77" s="539"/>
      <c r="K77" s="539"/>
      <c r="L77" s="539"/>
      <c r="M77" s="354"/>
    </row>
    <row r="78" spans="2:27" ht="13.5" thickTop="1" x14ac:dyDescent="0.2">
      <c r="B78" s="546" t="s">
        <v>722</v>
      </c>
      <c r="C78" s="544"/>
      <c r="D78" s="544"/>
      <c r="E78" s="544"/>
      <c r="F78" s="544"/>
      <c r="G78" s="545"/>
      <c r="H78" s="544"/>
      <c r="I78" s="544"/>
      <c r="J78" s="544"/>
      <c r="K78" s="544"/>
    </row>
    <row r="80" spans="2:27" x14ac:dyDescent="0.2">
      <c r="H80" s="547"/>
    </row>
    <row r="89" spans="3:3" x14ac:dyDescent="0.2">
      <c r="C89" s="326"/>
    </row>
  </sheetData>
  <sheetProtection algorithmName="SHA-512" hashValue="gDI0zTtPJLRt6zlmejZTN0FPrFNgirCPbFc22PxW46cHTEtYsxz7JPSU4F3bwLPG4Q2MIbA572YkBJyPJT2WgA==" saltValue="2AF5/G/SOp3eiSlBG3NJpQ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5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314325</xdr:colOff>
                    <xdr:row>3</xdr:row>
                    <xdr:rowOff>142875</xdr:rowOff>
                  </from>
                  <to>
                    <xdr:col>9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314325</xdr:colOff>
                    <xdr:row>6</xdr:row>
                    <xdr:rowOff>142875</xdr:rowOff>
                  </from>
                  <to>
                    <xdr:col>9</xdr:col>
                    <xdr:colOff>371475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476250</xdr:colOff>
                    <xdr:row>46</xdr:row>
                    <xdr:rowOff>180975</xdr:rowOff>
                  </from>
                  <to>
                    <xdr:col>7</xdr:col>
                    <xdr:colOff>542925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5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140625" customWidth="1"/>
    <col min="33" max="33" width="0" hidden="1" customWidth="1"/>
    <col min="34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  <col min="57" max="57" width="0" hidden="1" customWidth="1"/>
  </cols>
  <sheetData>
    <row r="1" spans="1:25" ht="20.25" x14ac:dyDescent="0.3">
      <c r="B1" s="782" t="s">
        <v>730</v>
      </c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 s="782"/>
      <c r="T1" s="782"/>
      <c r="U1" s="782"/>
      <c r="V1" s="782"/>
      <c r="W1" s="782"/>
      <c r="X1" s="782"/>
      <c r="Y1" s="782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10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620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1100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thickBot="1" x14ac:dyDescent="0.25">
      <c r="C11" s="428" t="s">
        <v>426</v>
      </c>
      <c r="D11" s="427"/>
      <c r="E11" s="427"/>
      <c r="F11" s="427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33"/>
      <c r="L12" s="672" t="s">
        <v>432</v>
      </c>
      <c r="M12" s="198"/>
      <c r="N12" s="198"/>
    </row>
    <row r="13" spans="1:25" x14ac:dyDescent="0.2">
      <c r="I13" s="33"/>
      <c r="L13" s="575" t="s">
        <v>380</v>
      </c>
      <c r="M13" s="575" t="s">
        <v>381</v>
      </c>
      <c r="N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294"/>
      <c r="K14" s="294"/>
      <c r="L14" s="548" t="s">
        <v>385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316" t="s">
        <v>430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329" t="s">
        <v>431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294"/>
      <c r="K20" s="294"/>
      <c r="L20" s="576">
        <v>54</v>
      </c>
      <c r="M20" s="576">
        <v>1.2</v>
      </c>
      <c r="N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IF(AU25=1,0,INDEX($AJ$42:$AJ$48,$AU25,1)-2*INDEX($AK$42:$AK$48,$AU25,1))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5">
        <v>7.4</v>
      </c>
      <c r="L24" s="563"/>
      <c r="M24" s="595">
        <v>3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4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13.3</v>
      </c>
      <c r="L25" s="563"/>
      <c r="M25" s="595">
        <v>1</v>
      </c>
      <c r="N25" s="563"/>
      <c r="O25" s="595">
        <v>1</v>
      </c>
      <c r="P25" s="563"/>
      <c r="Q25" s="595"/>
      <c r="R25" s="563"/>
      <c r="S25" s="595"/>
      <c r="T25" s="563"/>
      <c r="U25" s="595"/>
      <c r="V25" s="364">
        <f t="shared" si="4"/>
        <v>0.89999999999999991</v>
      </c>
      <c r="W25" s="364">
        <f t="shared" si="5"/>
        <v>14.200000000000001</v>
      </c>
      <c r="X25" s="704">
        <f t="shared" si="6"/>
        <v>424.93661702814677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9.9</v>
      </c>
      <c r="L26" s="563"/>
      <c r="M26" s="595">
        <v>3</v>
      </c>
      <c r="N26" s="563"/>
      <c r="O26" s="595">
        <v>1</v>
      </c>
      <c r="P26" s="563"/>
      <c r="Q26" s="595"/>
      <c r="R26" s="563"/>
      <c r="S26" s="595"/>
      <c r="T26" s="563"/>
      <c r="U26" s="595"/>
      <c r="V26" s="364">
        <f t="shared" si="4"/>
        <v>1.55</v>
      </c>
      <c r="W26" s="364">
        <f t="shared" si="5"/>
        <v>11.450000000000001</v>
      </c>
      <c r="X26" s="704">
        <f t="shared" si="6"/>
        <v>354.21726826707794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">
      <c r="C27" s="595" t="s">
        <v>403</v>
      </c>
      <c r="D27" s="562"/>
      <c r="E27" s="595">
        <v>700</v>
      </c>
      <c r="F27" s="563"/>
      <c r="G27" s="364">
        <f t="shared" si="0"/>
        <v>20</v>
      </c>
      <c r="H27" s="703">
        <f t="shared" si="1"/>
        <v>0.61949999999999994</v>
      </c>
      <c r="I27" s="704">
        <f t="shared" si="2"/>
        <v>30.936005962190212</v>
      </c>
      <c r="J27" s="364">
        <f t="shared" si="3"/>
        <v>30</v>
      </c>
      <c r="K27" s="595">
        <v>10.4</v>
      </c>
      <c r="L27" s="563"/>
      <c r="M27" s="595">
        <v>3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1.35</v>
      </c>
      <c r="W27" s="364">
        <f t="shared" si="5"/>
        <v>11.75</v>
      </c>
      <c r="X27" s="704">
        <f t="shared" si="6"/>
        <v>363.49807005573501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">
      <c r="C28" s="595" t="s">
        <v>405</v>
      </c>
      <c r="D28" s="562"/>
      <c r="E28" s="595">
        <v>1400</v>
      </c>
      <c r="F28" s="563"/>
      <c r="G28" s="364">
        <f t="shared" si="0"/>
        <v>26</v>
      </c>
      <c r="H28" s="703">
        <f t="shared" si="1"/>
        <v>0.7331360946745562</v>
      </c>
      <c r="I28" s="704">
        <f t="shared" si="2"/>
        <v>29.925113875221601</v>
      </c>
      <c r="J28" s="364">
        <f t="shared" si="3"/>
        <v>30</v>
      </c>
      <c r="K28" s="595">
        <v>4.4000000000000004</v>
      </c>
      <c r="L28" s="563"/>
      <c r="M28" s="595">
        <v>1</v>
      </c>
      <c r="N28" s="563"/>
      <c r="O28" s="595">
        <v>1</v>
      </c>
      <c r="P28" s="563"/>
      <c r="Q28" s="595"/>
      <c r="R28" s="563"/>
      <c r="S28" s="595"/>
      <c r="T28" s="563"/>
      <c r="U28" s="595"/>
      <c r="V28" s="364">
        <f t="shared" si="4"/>
        <v>0.89999999999999991</v>
      </c>
      <c r="W28" s="364">
        <f t="shared" si="5"/>
        <v>5.3000000000000007</v>
      </c>
      <c r="X28" s="704">
        <f t="shared" si="6"/>
        <v>158.6031035386745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">
      <c r="C29" s="595" t="s">
        <v>406</v>
      </c>
      <c r="D29" s="562"/>
      <c r="E29" s="595">
        <v>2800</v>
      </c>
      <c r="F29" s="563"/>
      <c r="G29" s="364">
        <f t="shared" si="0"/>
        <v>33</v>
      </c>
      <c r="H29" s="703">
        <f t="shared" si="1"/>
        <v>0.91019283746556467</v>
      </c>
      <c r="I29" s="704">
        <f t="shared" si="2"/>
        <v>32.435492196492717</v>
      </c>
      <c r="J29" s="364">
        <f t="shared" si="3"/>
        <v>30</v>
      </c>
      <c r="K29" s="595">
        <v>3.8</v>
      </c>
      <c r="L29" s="563"/>
      <c r="M29" s="595">
        <v>3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2.92</v>
      </c>
      <c r="W29" s="364">
        <f t="shared" si="5"/>
        <v>6.72</v>
      </c>
      <c r="X29" s="704">
        <f t="shared" si="6"/>
        <v>217.96650756043104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">
      <c r="C30" s="595"/>
      <c r="D30" s="562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613"/>
      <c r="D39" s="571"/>
      <c r="E39" s="613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613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490" t="s">
        <v>496</v>
      </c>
      <c r="X40" s="195"/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1.8932027914756266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486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481" t="s">
        <v>449</v>
      </c>
      <c r="D44" s="556"/>
      <c r="E44" s="556"/>
      <c r="F44" s="556"/>
      <c r="G44" s="556"/>
      <c r="H44" s="622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490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490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1100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">
      <c r="B53" s="197"/>
      <c r="C53" s="436" t="s">
        <v>472</v>
      </c>
      <c r="D53" s="438"/>
      <c r="E53" s="438"/>
      <c r="F53" s="438"/>
      <c r="G53" s="448" t="s">
        <v>605</v>
      </c>
      <c r="H53" s="673">
        <f>H48+H49</f>
        <v>3.4232027914756267</v>
      </c>
      <c r="J53" s="375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>
        <v>63.7</v>
      </c>
      <c r="E61" s="35">
        <v>26</v>
      </c>
      <c r="F61" s="10">
        <f t="shared" si="8"/>
        <v>0.5309291584566751</v>
      </c>
      <c r="G61" s="713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>
        <v>13.4</v>
      </c>
      <c r="E62" s="35">
        <v>33</v>
      </c>
      <c r="F62" s="10">
        <f t="shared" si="8"/>
        <v>0.85529859993982116</v>
      </c>
      <c r="G62" s="713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83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83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650" t="s">
        <v>409</v>
      </c>
      <c r="G65" s="651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">
      <c r="B66" s="197"/>
      <c r="J66" s="383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294"/>
      <c r="D68" s="294"/>
      <c r="E68" s="294"/>
      <c r="F68" s="294"/>
      <c r="G68" s="290" t="s">
        <v>373</v>
      </c>
      <c r="H68" s="636">
        <f>H67*H5</f>
        <v>13</v>
      </c>
      <c r="J68" s="383"/>
    </row>
    <row r="69" spans="1:50" ht="15" x14ac:dyDescent="0.2">
      <c r="B69" s="197"/>
      <c r="D69" s="294"/>
      <c r="E69" s="294"/>
      <c r="F69" s="294"/>
      <c r="G69" s="290"/>
      <c r="H69" s="379"/>
      <c r="J69" s="383"/>
    </row>
    <row r="70" spans="1:50" ht="15" x14ac:dyDescent="0.2">
      <c r="B70" s="197"/>
      <c r="C70" s="436" t="s">
        <v>669</v>
      </c>
      <c r="D70" s="438"/>
      <c r="E70" s="438"/>
      <c r="F70" s="438"/>
      <c r="G70" s="448" t="s">
        <v>373</v>
      </c>
      <c r="H70" s="581">
        <v>0</v>
      </c>
      <c r="J70" s="490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35">
      <c r="B72" s="197"/>
      <c r="C72" s="292" t="s">
        <v>668</v>
      </c>
      <c r="D72" s="294"/>
      <c r="E72" s="294"/>
      <c r="F72" s="294"/>
      <c r="G72" s="294"/>
      <c r="H72" s="105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58.281188632883811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490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383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(($H$70+$G$65+$H$68)*INDEX(AK52:AK53,AR35,1))*($H$76/($H$76-$H$75))</f>
        <v>7.4599921450091289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4" priority="1" stopIfTrue="1" operator="greaterThan">
      <formula>40</formula>
    </cfRule>
  </conditionalFormatting>
  <conditionalFormatting sqref="H24:H39">
    <cfRule type="cellIs" dxfId="23" priority="2" stopIfTrue="1" operator="between">
      <formula>$AR$29</formula>
      <formula>$AR$30</formula>
    </cfRule>
    <cfRule type="cellIs" dxfId="22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6</xdr:col>
                    <xdr:colOff>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6</xdr:col>
                    <xdr:colOff>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6</xdr:col>
                    <xdr:colOff>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6</xdr:col>
                    <xdr:colOff>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6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6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6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6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6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6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6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6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247650</xdr:colOff>
                    <xdr:row>39</xdr:row>
                    <xdr:rowOff>219075</xdr:rowOff>
                  </from>
                  <to>
                    <xdr:col>10</xdr:col>
                    <xdr:colOff>104775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3" max="33" width="0" hidden="1" customWidth="1"/>
    <col min="34" max="35" width="11.42578125" hidden="1" customWidth="1"/>
    <col min="36" max="36" width="20" hidden="1" customWidth="1"/>
    <col min="37" max="56" width="11.42578125" hidden="1" customWidth="1"/>
    <col min="57" max="61" width="0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75" x14ac:dyDescent="0.25">
      <c r="C4" s="319" t="s">
        <v>474</v>
      </c>
      <c r="D4" s="294"/>
      <c r="E4" s="294"/>
      <c r="F4" s="294"/>
      <c r="G4" s="294"/>
    </row>
    <row r="5" spans="1:23" ht="15" x14ac:dyDescent="0.2">
      <c r="C5" s="481" t="s">
        <v>411</v>
      </c>
      <c r="D5" s="556"/>
      <c r="E5" s="556"/>
      <c r="F5" s="556"/>
      <c r="G5" s="556"/>
      <c r="H5" s="557">
        <f>Principal!G63</f>
        <v>10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3" ht="15" x14ac:dyDescent="0.2">
      <c r="C7" s="436" t="s">
        <v>485</v>
      </c>
      <c r="D7" s="438"/>
      <c r="E7" s="438"/>
      <c r="F7" s="438"/>
      <c r="G7" s="448" t="s">
        <v>416</v>
      </c>
      <c r="H7" s="638">
        <v>50</v>
      </c>
      <c r="K7" s="490" t="s">
        <v>475</v>
      </c>
    </row>
    <row r="8" spans="1:23" ht="15.75" x14ac:dyDescent="0.25">
      <c r="C8" s="328"/>
      <c r="D8" s="294"/>
      <c r="E8" s="294"/>
      <c r="F8" s="294"/>
      <c r="G8" s="293" t="s">
        <v>414</v>
      </c>
      <c r="H8" s="391">
        <f>H5*H6*H7</f>
        <v>1100</v>
      </c>
      <c r="I8" s="19"/>
    </row>
    <row r="9" spans="1:23" ht="18.75" customHeight="1" x14ac:dyDescent="0.2">
      <c r="C9" s="292" t="s">
        <v>476</v>
      </c>
      <c r="D9" s="294"/>
      <c r="E9" s="294"/>
      <c r="F9" s="294"/>
      <c r="G9" s="294"/>
      <c r="H9" s="315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3" ht="13.5" thickBot="1" x14ac:dyDescent="0.25">
      <c r="C12" s="294"/>
      <c r="D12" s="294"/>
      <c r="E12" s="294"/>
      <c r="F12" s="294"/>
      <c r="G12" s="294"/>
      <c r="K12" s="597" t="s">
        <v>432</v>
      </c>
      <c r="L12" s="598"/>
      <c r="M12" s="598"/>
    </row>
    <row r="13" spans="1:23" x14ac:dyDescent="0.2">
      <c r="D13" s="290"/>
      <c r="E13" s="290"/>
      <c r="F13" s="294"/>
      <c r="G13" s="294"/>
      <c r="I13" s="33"/>
      <c r="K13" s="601" t="s">
        <v>380</v>
      </c>
      <c r="L13" s="601" t="s">
        <v>381</v>
      </c>
      <c r="M13" s="601" t="s">
        <v>382</v>
      </c>
    </row>
    <row r="14" spans="1:23" x14ac:dyDescent="0.2">
      <c r="D14" s="290"/>
      <c r="E14" s="290"/>
      <c r="F14" s="294"/>
      <c r="G14" s="294"/>
      <c r="K14" s="548" t="s">
        <v>385</v>
      </c>
      <c r="L14" s="294"/>
      <c r="M14" s="294"/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">
      <c r="C16" s="408" t="s">
        <v>430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">
      <c r="C17" s="409" t="s">
        <v>609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5" thickBot="1" x14ac:dyDescent="0.25">
      <c r="K20" s="576">
        <v>54</v>
      </c>
      <c r="L20" s="576">
        <v>1.2</v>
      </c>
      <c r="M20" s="558">
        <v>51.6</v>
      </c>
      <c r="AI20" s="785" t="s">
        <v>421</v>
      </c>
      <c r="AJ20" s="786"/>
      <c r="AK20" s="786"/>
      <c r="AL20" s="786"/>
      <c r="AM20" s="786"/>
      <c r="AN20" s="786"/>
      <c r="AO20" s="786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87" t="s">
        <v>443</v>
      </c>
      <c r="L22" s="787"/>
      <c r="M22" s="787"/>
      <c r="N22" s="787"/>
      <c r="O22" s="787"/>
      <c r="P22" s="787"/>
      <c r="Q22" s="787"/>
      <c r="R22" s="787"/>
      <c r="S22" s="787"/>
      <c r="T22" s="787"/>
      <c r="U22" s="565" t="s">
        <v>446</v>
      </c>
      <c r="V22" s="565" t="s">
        <v>447</v>
      </c>
      <c r="W22" s="565" t="s">
        <v>608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95">
        <v>2800</v>
      </c>
      <c r="E24" s="563"/>
      <c r="F24" s="704">
        <f t="shared" ref="F24:F39" si="0">IF(AU25=1,0,INDEX($AJ$42:$AJ$48,$AU25,1)-2*INDEX($AK$42:$AK$48,$AU25,1))</f>
        <v>33</v>
      </c>
      <c r="G24" s="703">
        <f t="shared" ref="G24:G39" si="1">IF(AU25=1,0,0.354*D24/(F24^2))</f>
        <v>0.91019283746556467</v>
      </c>
      <c r="H24" s="704">
        <f>IF(AU25=1,0,378*(D24^1.75)/(F24^4.75))</f>
        <v>24.950378612686706</v>
      </c>
      <c r="I24" s="364">
        <f t="shared" ref="I24:I39" si="2">IF(AU25=1,0,INDEX($AM$42:$AM$48,$AU25,1))</f>
        <v>20</v>
      </c>
      <c r="J24" s="595">
        <v>12</v>
      </c>
      <c r="K24" s="563"/>
      <c r="L24" s="595">
        <v>12</v>
      </c>
      <c r="M24" s="563"/>
      <c r="N24" s="561"/>
      <c r="O24" s="563"/>
      <c r="P24" s="561"/>
      <c r="Q24" s="563"/>
      <c r="R24" s="561"/>
      <c r="S24" s="563"/>
      <c r="T24" s="561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4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/>
      <c r="D25" s="595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563"/>
      <c r="L25" s="595"/>
      <c r="M25" s="563"/>
      <c r="N25" s="561"/>
      <c r="O25" s="563"/>
      <c r="P25" s="561"/>
      <c r="Q25" s="563"/>
      <c r="R25" s="561"/>
      <c r="S25" s="563"/>
      <c r="T25" s="561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95"/>
      <c r="D26" s="595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563"/>
      <c r="L26" s="595"/>
      <c r="M26" s="563"/>
      <c r="N26" s="561"/>
      <c r="O26" s="563"/>
      <c r="P26" s="561"/>
      <c r="Q26" s="563"/>
      <c r="R26" s="561"/>
      <c r="S26" s="563"/>
      <c r="T26" s="561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95"/>
      <c r="D27" s="595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563"/>
      <c r="L27" s="595"/>
      <c r="M27" s="563"/>
      <c r="N27" s="561"/>
      <c r="O27" s="563"/>
      <c r="P27" s="561"/>
      <c r="Q27" s="563"/>
      <c r="R27" s="561"/>
      <c r="S27" s="563"/>
      <c r="T27" s="561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95"/>
      <c r="D28" s="595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563"/>
      <c r="L28" s="595"/>
      <c r="M28" s="563"/>
      <c r="N28" s="561"/>
      <c r="O28" s="563"/>
      <c r="P28" s="561"/>
      <c r="Q28" s="563"/>
      <c r="R28" s="561"/>
      <c r="S28" s="563"/>
      <c r="T28" s="561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95"/>
      <c r="D29" s="595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563"/>
      <c r="L29" s="595"/>
      <c r="M29" s="563"/>
      <c r="N29" s="561"/>
      <c r="O29" s="563"/>
      <c r="P29" s="561"/>
      <c r="Q29" s="563"/>
      <c r="R29" s="561"/>
      <c r="S29" s="563"/>
      <c r="T29" s="561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95"/>
      <c r="D30" s="595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563"/>
      <c r="L30" s="595"/>
      <c r="M30" s="563"/>
      <c r="N30" s="561"/>
      <c r="O30" s="563"/>
      <c r="P30" s="561"/>
      <c r="Q30" s="563"/>
      <c r="R30" s="561"/>
      <c r="S30" s="563"/>
      <c r="T30" s="561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95"/>
      <c r="D31" s="595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563"/>
      <c r="L31" s="595"/>
      <c r="M31" s="563"/>
      <c r="N31" s="561"/>
      <c r="O31" s="563"/>
      <c r="P31" s="561"/>
      <c r="Q31" s="563"/>
      <c r="R31" s="561"/>
      <c r="S31" s="563"/>
      <c r="T31" s="561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95"/>
      <c r="D32" s="595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563"/>
      <c r="L32" s="595"/>
      <c r="M32" s="563"/>
      <c r="N32" s="561"/>
      <c r="O32" s="563"/>
      <c r="P32" s="561"/>
      <c r="Q32" s="563"/>
      <c r="R32" s="561"/>
      <c r="S32" s="563"/>
      <c r="T32" s="561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95"/>
      <c r="D33" s="595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563"/>
      <c r="L33" s="595"/>
      <c r="M33" s="563"/>
      <c r="N33" s="561"/>
      <c r="O33" s="563"/>
      <c r="P33" s="561"/>
      <c r="Q33" s="563"/>
      <c r="R33" s="561"/>
      <c r="S33" s="563"/>
      <c r="T33" s="561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95"/>
      <c r="D34" s="595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563"/>
      <c r="L34" s="595"/>
      <c r="M34" s="563"/>
      <c r="N34" s="561"/>
      <c r="O34" s="563"/>
      <c r="P34" s="561"/>
      <c r="Q34" s="563"/>
      <c r="R34" s="561"/>
      <c r="S34" s="563"/>
      <c r="T34" s="561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95"/>
      <c r="D35" s="595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563"/>
      <c r="L35" s="595"/>
      <c r="M35" s="563"/>
      <c r="N35" s="561"/>
      <c r="O35" s="563"/>
      <c r="P35" s="561"/>
      <c r="Q35" s="563"/>
      <c r="R35" s="561"/>
      <c r="S35" s="563"/>
      <c r="T35" s="561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95"/>
      <c r="D36" s="595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563"/>
      <c r="L36" s="595"/>
      <c r="M36" s="563"/>
      <c r="N36" s="561"/>
      <c r="O36" s="563"/>
      <c r="P36" s="561"/>
      <c r="Q36" s="563"/>
      <c r="R36" s="561"/>
      <c r="S36" s="563"/>
      <c r="T36" s="561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95"/>
      <c r="D37" s="595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563"/>
      <c r="L37" s="595"/>
      <c r="M37" s="563"/>
      <c r="N37" s="561"/>
      <c r="O37" s="563"/>
      <c r="P37" s="561"/>
      <c r="Q37" s="563"/>
      <c r="R37" s="561"/>
      <c r="S37" s="563"/>
      <c r="T37" s="561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95"/>
      <c r="D38" s="595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563"/>
      <c r="L38" s="595"/>
      <c r="M38" s="563"/>
      <c r="N38" s="561"/>
      <c r="O38" s="563"/>
      <c r="P38" s="561"/>
      <c r="Q38" s="563"/>
      <c r="R38" s="561"/>
      <c r="S38" s="563"/>
      <c r="T38" s="561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25">
      <c r="C39" s="639"/>
      <c r="D39" s="639"/>
      <c r="E39" s="641"/>
      <c r="F39" s="705">
        <f t="shared" si="0"/>
        <v>0</v>
      </c>
      <c r="G39" s="706">
        <f t="shared" si="1"/>
        <v>0</v>
      </c>
      <c r="H39" s="707">
        <f t="shared" si="6"/>
        <v>0</v>
      </c>
      <c r="I39" s="705">
        <f t="shared" si="2"/>
        <v>0</v>
      </c>
      <c r="J39" s="639"/>
      <c r="K39" s="641"/>
      <c r="L39" s="639"/>
      <c r="M39" s="641"/>
      <c r="N39" s="717"/>
      <c r="O39" s="641"/>
      <c r="P39" s="717"/>
      <c r="Q39" s="641"/>
      <c r="R39" s="717"/>
      <c r="S39" s="641"/>
      <c r="T39" s="717"/>
      <c r="U39" s="705">
        <f t="shared" si="3"/>
        <v>0</v>
      </c>
      <c r="V39" s="705">
        <f t="shared" si="4"/>
        <v>0</v>
      </c>
      <c r="W39" s="707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490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0.55090435976812235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479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481" t="s">
        <v>480</v>
      </c>
      <c r="D44" s="556"/>
      <c r="E44" s="556"/>
      <c r="F44" s="556"/>
      <c r="G44" s="556"/>
      <c r="H44" s="622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1.4</v>
      </c>
      <c r="J45" s="490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">
      <c r="B47" s="197"/>
      <c r="C47" s="436" t="s">
        <v>482</v>
      </c>
      <c r="D47" s="438"/>
      <c r="E47" s="438"/>
      <c r="F47" s="438"/>
      <c r="G47" s="448" t="s">
        <v>605</v>
      </c>
      <c r="H47" s="625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319" t="s">
        <v>483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481" t="s">
        <v>438</v>
      </c>
      <c r="D50" s="556"/>
      <c r="E50" s="556"/>
      <c r="F50" s="556"/>
      <c r="G50" s="565" t="s">
        <v>414</v>
      </c>
      <c r="H50" s="674">
        <f>H8</f>
        <v>1100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">
      <c r="B51" s="197"/>
      <c r="C51" s="436" t="s">
        <v>472</v>
      </c>
      <c r="D51" s="438"/>
      <c r="E51" s="438"/>
      <c r="F51" s="438"/>
      <c r="G51" s="448" t="s">
        <v>605</v>
      </c>
      <c r="H51" s="673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">
      <c r="B54" s="197"/>
      <c r="C54" s="292" t="s">
        <v>565</v>
      </c>
      <c r="D54" s="294"/>
      <c r="E54" s="294"/>
      <c r="F54" s="294"/>
      <c r="G54" s="294"/>
      <c r="J54" s="490" t="s">
        <v>568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292"/>
      <c r="D56" s="294"/>
      <c r="E56" s="294"/>
      <c r="F56" s="294"/>
      <c r="G56" s="290" t="str">
        <f>IF(AT46=1,"kW","m2")</f>
        <v>kW</v>
      </c>
      <c r="H56" s="599">
        <f>IF(AT46=1,H55*Principal!G66/1000,H55*Principal!G66)</f>
        <v>13.2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481" t="str">
        <f>IF(AT46=1,"Caudal lado primario","Caudal fluido caloportador")</f>
        <v>Caudal lado primario</v>
      </c>
      <c r="D57" s="556"/>
      <c r="E57" s="556"/>
      <c r="F57" s="556"/>
      <c r="G57" s="565" t="s">
        <v>414</v>
      </c>
      <c r="H57" s="674">
        <f>CH_Prim!H8</f>
        <v>1100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292" t="s">
        <v>417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481" t="str">
        <f>IF(AT46=1,"Caudal lado secundario","")</f>
        <v>Caudal lado secundario</v>
      </c>
      <c r="D60" s="556"/>
      <c r="E60" s="556"/>
      <c r="F60" s="556"/>
      <c r="G60" s="565" t="str">
        <f>IF(AT46=1,"litros/h","")</f>
        <v>litros/h</v>
      </c>
      <c r="H60" s="740">
        <f>IF(AT46=1,H8,"")</f>
        <v>1100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8">
        <v>42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6.5" thickBot="1" x14ac:dyDescent="0.3">
      <c r="B64" s="676"/>
      <c r="C64" s="605"/>
      <c r="D64" s="422"/>
      <c r="E64" s="422"/>
      <c r="F64" s="422"/>
      <c r="G64" s="606"/>
      <c r="H64" s="67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75" thickTop="1" x14ac:dyDescent="0.2">
      <c r="B65" s="675" t="s">
        <v>722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">
      <c r="C66" s="97"/>
      <c r="G66" s="3"/>
      <c r="H66" s="600"/>
    </row>
    <row r="67" spans="2:39" ht="11.25" customHeight="1" x14ac:dyDescent="0.2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21" priority="1" stopIfTrue="1" operator="greaterThan">
      <formula>40</formula>
    </cfRule>
  </conditionalFormatting>
  <conditionalFormatting sqref="G24:G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104775</xdr:colOff>
                    <xdr:row>9</xdr:row>
                    <xdr:rowOff>47625</xdr:rowOff>
                  </from>
                  <to>
                    <xdr:col>8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942975</xdr:colOff>
                    <xdr:row>53</xdr:row>
                    <xdr:rowOff>9525</xdr:rowOff>
                  </from>
                  <to>
                    <xdr:col>8</xdr:col>
                    <xdr:colOff>200025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47625</xdr:colOff>
                    <xdr:row>39</xdr:row>
                    <xdr:rowOff>219075</xdr:rowOff>
                  </from>
                  <to>
                    <xdr:col>9</xdr:col>
                    <xdr:colOff>657225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7" width="11.42578125" hidden="1" customWidth="1"/>
    <col min="58" max="62" width="0" hidden="1" customWidth="1"/>
  </cols>
  <sheetData>
    <row r="1" spans="1:25" ht="15.75" x14ac:dyDescent="0.25">
      <c r="B1" s="791"/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671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5" spans="1:25" ht="15.75" x14ac:dyDescent="0.25">
      <c r="C5" s="580" t="s">
        <v>672</v>
      </c>
      <c r="D5" s="438"/>
      <c r="E5" s="438"/>
      <c r="F5" s="438"/>
      <c r="G5" s="438"/>
      <c r="H5" s="244"/>
      <c r="J5" s="237"/>
    </row>
    <row r="6" spans="1:25" ht="15" x14ac:dyDescent="0.2">
      <c r="C6" s="292" t="s">
        <v>675</v>
      </c>
      <c r="D6" s="294"/>
      <c r="E6" s="294"/>
      <c r="F6" s="294"/>
      <c r="G6" s="294"/>
      <c r="H6" s="636">
        <f>Principal!H12</f>
        <v>10</v>
      </c>
    </row>
    <row r="7" spans="1:25" ht="15" x14ac:dyDescent="0.2">
      <c r="C7" s="436" t="s">
        <v>676</v>
      </c>
      <c r="D7" s="438"/>
      <c r="E7" s="438"/>
      <c r="F7" s="438"/>
      <c r="G7" s="448" t="s">
        <v>414</v>
      </c>
      <c r="H7" s="638">
        <v>200</v>
      </c>
      <c r="J7" s="620" t="s">
        <v>677</v>
      </c>
    </row>
    <row r="8" spans="1:25" ht="15.75" x14ac:dyDescent="0.25">
      <c r="C8" s="292" t="s">
        <v>678</v>
      </c>
      <c r="D8" s="294"/>
      <c r="E8" s="294"/>
      <c r="F8" s="294"/>
      <c r="G8" s="293" t="s">
        <v>414</v>
      </c>
      <c r="H8" s="391">
        <f>H6*H7</f>
        <v>2000</v>
      </c>
      <c r="I8" s="19"/>
    </row>
    <row r="9" spans="1:25" ht="18.75" customHeight="1" x14ac:dyDescent="0.2">
      <c r="C9" s="387" t="s">
        <v>417</v>
      </c>
      <c r="D9" s="294"/>
      <c r="E9" s="294"/>
    </row>
    <row r="10" spans="1:25" ht="18.75" customHeight="1" x14ac:dyDescent="0.2">
      <c r="C10" s="387" t="s">
        <v>422</v>
      </c>
      <c r="D10" s="294"/>
      <c r="E10" s="294"/>
    </row>
    <row r="11" spans="1:25" ht="15.75" customHeight="1" x14ac:dyDescent="0.2">
      <c r="C11" s="678" t="s">
        <v>426</v>
      </c>
      <c r="D11" s="438"/>
      <c r="E11" s="438"/>
      <c r="F11" s="244"/>
      <c r="G11" s="448" t="s">
        <v>425</v>
      </c>
      <c r="H11" s="448" t="str">
        <f>IF(AR25=1, "1,5 - 2", IF(OR(AR25=2,AR25=3), "2,5 - 3"))</f>
        <v>1,5 - 2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5"/>
      <c r="L24" s="563"/>
      <c r="M24" s="595"/>
      <c r="N24" s="563"/>
      <c r="O24" s="595"/>
      <c r="P24" s="563"/>
      <c r="Q24" s="561"/>
      <c r="R24" s="563"/>
      <c r="S24" s="561"/>
      <c r="T24" s="563"/>
      <c r="U24" s="561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26</v>
      </c>
      <c r="H25" s="703">
        <f t="shared" si="1"/>
        <v>0</v>
      </c>
      <c r="I25" s="704">
        <f t="shared" si="2"/>
        <v>0</v>
      </c>
      <c r="J25" s="364">
        <f t="shared" si="3"/>
        <v>20</v>
      </c>
      <c r="K25" s="595"/>
      <c r="L25" s="563"/>
      <c r="M25" s="595"/>
      <c r="N25" s="563"/>
      <c r="O25" s="595"/>
      <c r="P25" s="563"/>
      <c r="Q25" s="561"/>
      <c r="R25" s="563"/>
      <c r="S25" s="561"/>
      <c r="T25" s="563"/>
      <c r="U25" s="561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20</v>
      </c>
      <c r="H26" s="703">
        <f t="shared" si="1"/>
        <v>0</v>
      </c>
      <c r="I26" s="704">
        <f t="shared" si="2"/>
        <v>0</v>
      </c>
      <c r="J26" s="364">
        <f t="shared" si="3"/>
        <v>20</v>
      </c>
      <c r="K26" s="595"/>
      <c r="L26" s="563"/>
      <c r="M26" s="595"/>
      <c r="N26" s="563"/>
      <c r="O26" s="595"/>
      <c r="P26" s="563"/>
      <c r="Q26" s="561"/>
      <c r="R26" s="563"/>
      <c r="S26" s="561"/>
      <c r="T26" s="563"/>
      <c r="U26" s="561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392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26</v>
      </c>
      <c r="H27" s="703">
        <f t="shared" si="1"/>
        <v>0</v>
      </c>
      <c r="I27" s="704">
        <f t="shared" si="2"/>
        <v>0</v>
      </c>
      <c r="J27" s="364">
        <f t="shared" si="3"/>
        <v>20</v>
      </c>
      <c r="K27" s="595"/>
      <c r="L27" s="563"/>
      <c r="M27" s="595"/>
      <c r="N27" s="563"/>
      <c r="O27" s="595"/>
      <c r="P27" s="563"/>
      <c r="Q27" s="561"/>
      <c r="R27" s="563"/>
      <c r="S27" s="561"/>
      <c r="T27" s="563"/>
      <c r="U27" s="561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33</v>
      </c>
      <c r="H28" s="703">
        <f t="shared" si="1"/>
        <v>0</v>
      </c>
      <c r="I28" s="704">
        <f t="shared" si="2"/>
        <v>0</v>
      </c>
      <c r="J28" s="364">
        <f t="shared" si="3"/>
        <v>20</v>
      </c>
      <c r="K28" s="595"/>
      <c r="L28" s="563"/>
      <c r="M28" s="595"/>
      <c r="N28" s="563"/>
      <c r="O28" s="595"/>
      <c r="P28" s="563"/>
      <c r="Q28" s="561"/>
      <c r="R28" s="563"/>
      <c r="S28" s="561"/>
      <c r="T28" s="563"/>
      <c r="U28" s="561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 t="s">
        <v>406</v>
      </c>
      <c r="D29" s="562"/>
      <c r="E29" s="595">
        <v>2400</v>
      </c>
      <c r="F29" s="563"/>
      <c r="G29" s="364">
        <f t="shared" si="0"/>
        <v>33</v>
      </c>
      <c r="H29" s="703">
        <f t="shared" si="1"/>
        <v>0.78016528925619821</v>
      </c>
      <c r="I29" s="704">
        <f t="shared" si="2"/>
        <v>19.051108850267916</v>
      </c>
      <c r="J29" s="364">
        <f t="shared" si="3"/>
        <v>20</v>
      </c>
      <c r="K29" s="595">
        <v>8.5</v>
      </c>
      <c r="L29" s="563"/>
      <c r="M29" s="595">
        <v>4</v>
      </c>
      <c r="N29" s="563"/>
      <c r="O29" s="595"/>
      <c r="P29" s="563"/>
      <c r="Q29" s="561"/>
      <c r="R29" s="563"/>
      <c r="S29" s="561"/>
      <c r="T29" s="563"/>
      <c r="U29" s="561"/>
      <c r="V29" s="364">
        <f t="shared" si="4"/>
        <v>3.36</v>
      </c>
      <c r="W29" s="364">
        <f t="shared" si="5"/>
        <v>11.86</v>
      </c>
      <c r="X29" s="704">
        <f t="shared" si="6"/>
        <v>225.94615096417746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 t="s">
        <v>591</v>
      </c>
      <c r="D30" s="563"/>
      <c r="E30" s="595">
        <v>2400</v>
      </c>
      <c r="F30" s="563"/>
      <c r="G30" s="364">
        <f t="shared" si="0"/>
        <v>33</v>
      </c>
      <c r="H30" s="703">
        <f t="shared" si="1"/>
        <v>0.78016528925619821</v>
      </c>
      <c r="I30" s="704">
        <f t="shared" si="2"/>
        <v>19.051108850267916</v>
      </c>
      <c r="J30" s="364">
        <f t="shared" si="3"/>
        <v>20</v>
      </c>
      <c r="K30" s="595">
        <v>0.5</v>
      </c>
      <c r="L30" s="563"/>
      <c r="M30" s="595">
        <v>1</v>
      </c>
      <c r="N30" s="563"/>
      <c r="O30" s="595">
        <v>1</v>
      </c>
      <c r="P30" s="563"/>
      <c r="Q30" s="561"/>
      <c r="R30" s="563"/>
      <c r="S30" s="561"/>
      <c r="T30" s="563"/>
      <c r="U30" s="561"/>
      <c r="V30" s="364">
        <f t="shared" si="4"/>
        <v>1.24</v>
      </c>
      <c r="W30" s="364">
        <f t="shared" si="5"/>
        <v>1.74</v>
      </c>
      <c r="X30" s="704">
        <f t="shared" si="6"/>
        <v>33.148929399466176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200</v>
      </c>
      <c r="F31" s="563"/>
      <c r="G31" s="364">
        <f t="shared" si="0"/>
        <v>13</v>
      </c>
      <c r="H31" s="703">
        <f t="shared" si="1"/>
        <v>0.41893491124260351</v>
      </c>
      <c r="I31" s="704">
        <f t="shared" si="2"/>
        <v>20.561905970514413</v>
      </c>
      <c r="J31" s="364">
        <f t="shared" si="3"/>
        <v>20</v>
      </c>
      <c r="K31" s="595">
        <v>4</v>
      </c>
      <c r="L31" s="563"/>
      <c r="M31" s="595">
        <v>6</v>
      </c>
      <c r="N31" s="563"/>
      <c r="O31" s="595">
        <v>1</v>
      </c>
      <c r="P31" s="563"/>
      <c r="Q31" s="561"/>
      <c r="R31" s="563"/>
      <c r="S31" s="561"/>
      <c r="T31" s="563"/>
      <c r="U31" s="561"/>
      <c r="V31" s="364">
        <f t="shared" si="4"/>
        <v>2.13</v>
      </c>
      <c r="W31" s="364">
        <f t="shared" si="5"/>
        <v>6.13</v>
      </c>
      <c r="X31" s="704">
        <f t="shared" si="6"/>
        <v>126.04448359925335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400</v>
      </c>
      <c r="F32" s="563"/>
      <c r="G32" s="364">
        <f t="shared" si="0"/>
        <v>16</v>
      </c>
      <c r="H32" s="703">
        <f t="shared" si="1"/>
        <v>0.55312499999999998</v>
      </c>
      <c r="I32" s="704">
        <f t="shared" si="2"/>
        <v>25.794485336148696</v>
      </c>
      <c r="J32" s="364">
        <f t="shared" si="3"/>
        <v>20</v>
      </c>
      <c r="K32" s="595">
        <v>2.8</v>
      </c>
      <c r="L32" s="563"/>
      <c r="M32" s="595"/>
      <c r="N32" s="563"/>
      <c r="O32" s="595">
        <v>1</v>
      </c>
      <c r="P32" s="563"/>
      <c r="Q32" s="561"/>
      <c r="R32" s="563"/>
      <c r="S32" s="561"/>
      <c r="T32" s="563"/>
      <c r="U32" s="561"/>
      <c r="V32" s="364">
        <f t="shared" si="4"/>
        <v>0.15</v>
      </c>
      <c r="W32" s="364">
        <f t="shared" si="5"/>
        <v>2.9499999999999997</v>
      </c>
      <c r="X32" s="704">
        <f t="shared" si="6"/>
        <v>76.093731741638649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800</v>
      </c>
      <c r="F33" s="563"/>
      <c r="G33" s="364">
        <f t="shared" si="0"/>
        <v>20</v>
      </c>
      <c r="H33" s="703">
        <f t="shared" si="1"/>
        <v>0.70799999999999996</v>
      </c>
      <c r="I33" s="704">
        <f t="shared" si="2"/>
        <v>30.061233547394529</v>
      </c>
      <c r="J33" s="364">
        <f t="shared" si="3"/>
        <v>20</v>
      </c>
      <c r="K33" s="595">
        <v>2.8</v>
      </c>
      <c r="L33" s="563"/>
      <c r="M33" s="595"/>
      <c r="N33" s="563"/>
      <c r="O33" s="595">
        <v>1</v>
      </c>
      <c r="P33" s="563"/>
      <c r="Q33" s="561"/>
      <c r="R33" s="563"/>
      <c r="S33" s="561"/>
      <c r="T33" s="563"/>
      <c r="U33" s="561"/>
      <c r="V33" s="364">
        <f t="shared" si="4"/>
        <v>0.2</v>
      </c>
      <c r="W33" s="364">
        <f t="shared" si="5"/>
        <v>3</v>
      </c>
      <c r="X33" s="704">
        <f t="shared" si="6"/>
        <v>90.183700642183595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1200</v>
      </c>
      <c r="F34" s="563"/>
      <c r="G34" s="364">
        <f t="shared" si="0"/>
        <v>26</v>
      </c>
      <c r="H34" s="703">
        <f t="shared" si="1"/>
        <v>0.62840236686390527</v>
      </c>
      <c r="I34" s="704">
        <f t="shared" si="2"/>
        <v>17.576628661585584</v>
      </c>
      <c r="J34" s="364">
        <f t="shared" si="3"/>
        <v>20</v>
      </c>
      <c r="K34" s="595">
        <v>2.8</v>
      </c>
      <c r="L34" s="563"/>
      <c r="M34" s="595"/>
      <c r="N34" s="563"/>
      <c r="O34" s="595">
        <v>1</v>
      </c>
      <c r="P34" s="563"/>
      <c r="Q34" s="561"/>
      <c r="R34" s="563"/>
      <c r="S34" s="561"/>
      <c r="T34" s="563"/>
      <c r="U34" s="561"/>
      <c r="V34" s="364">
        <f t="shared" si="4"/>
        <v>0.3</v>
      </c>
      <c r="W34" s="364">
        <f t="shared" si="5"/>
        <v>3.0999999999999996</v>
      </c>
      <c r="X34" s="704">
        <f t="shared" si="6"/>
        <v>54.487548850915303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1600</v>
      </c>
      <c r="F35" s="563"/>
      <c r="G35" s="364">
        <f t="shared" si="0"/>
        <v>26</v>
      </c>
      <c r="H35" s="703">
        <f t="shared" si="1"/>
        <v>0.83786982248520703</v>
      </c>
      <c r="I35" s="704">
        <f t="shared" si="2"/>
        <v>29.078926291741773</v>
      </c>
      <c r="J35" s="364">
        <f t="shared" si="3"/>
        <v>20</v>
      </c>
      <c r="K35" s="595">
        <v>2.8</v>
      </c>
      <c r="L35" s="563"/>
      <c r="M35" s="595"/>
      <c r="N35" s="563"/>
      <c r="O35" s="595">
        <v>1</v>
      </c>
      <c r="P35" s="563"/>
      <c r="Q35" s="561"/>
      <c r="R35" s="563"/>
      <c r="S35" s="561"/>
      <c r="T35" s="563"/>
      <c r="U35" s="561"/>
      <c r="V35" s="364">
        <f t="shared" si="4"/>
        <v>0.3</v>
      </c>
      <c r="W35" s="364">
        <f t="shared" si="5"/>
        <v>3.0999999999999996</v>
      </c>
      <c r="X35" s="704">
        <f t="shared" si="6"/>
        <v>90.144671504399483</v>
      </c>
      <c r="AI35" s="221"/>
      <c r="AJ35" s="200" t="s">
        <v>377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2000</v>
      </c>
      <c r="F36" s="563"/>
      <c r="G36" s="364">
        <f t="shared" si="0"/>
        <v>33</v>
      </c>
      <c r="H36" s="703">
        <f t="shared" si="1"/>
        <v>0.65013774104683197</v>
      </c>
      <c r="I36" s="704">
        <f t="shared" si="2"/>
        <v>13.846916643801602</v>
      </c>
      <c r="J36" s="364">
        <f t="shared" si="3"/>
        <v>20</v>
      </c>
      <c r="K36" s="595">
        <v>2.8</v>
      </c>
      <c r="L36" s="563"/>
      <c r="M36" s="595"/>
      <c r="N36" s="563"/>
      <c r="O36" s="595">
        <v>1</v>
      </c>
      <c r="P36" s="563"/>
      <c r="Q36" s="561"/>
      <c r="R36" s="563"/>
      <c r="S36" s="561"/>
      <c r="T36" s="563"/>
      <c r="U36" s="561"/>
      <c r="V36" s="364">
        <f t="shared" si="4"/>
        <v>0.4</v>
      </c>
      <c r="W36" s="364">
        <f t="shared" si="5"/>
        <v>3.1999999999999997</v>
      </c>
      <c r="X36" s="704">
        <f t="shared" si="6"/>
        <v>44.310133260165124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2400</v>
      </c>
      <c r="F37" s="563"/>
      <c r="G37" s="364">
        <f t="shared" si="0"/>
        <v>33</v>
      </c>
      <c r="H37" s="703">
        <f t="shared" si="1"/>
        <v>0.78016528925619821</v>
      </c>
      <c r="I37" s="704">
        <f t="shared" si="2"/>
        <v>19.051108850267916</v>
      </c>
      <c r="J37" s="364">
        <f t="shared" si="3"/>
        <v>20</v>
      </c>
      <c r="K37" s="595">
        <v>15</v>
      </c>
      <c r="L37" s="563"/>
      <c r="M37" s="595">
        <v>3</v>
      </c>
      <c r="N37" s="563"/>
      <c r="O37" s="595"/>
      <c r="P37" s="563"/>
      <c r="Q37" s="561"/>
      <c r="R37" s="563"/>
      <c r="S37" s="561"/>
      <c r="T37" s="563"/>
      <c r="U37" s="561"/>
      <c r="V37" s="364">
        <f t="shared" si="4"/>
        <v>2.52</v>
      </c>
      <c r="W37" s="364">
        <f t="shared" si="5"/>
        <v>17.52</v>
      </c>
      <c r="X37" s="704">
        <f t="shared" si="6"/>
        <v>333.7754270566939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2400</v>
      </c>
      <c r="F38" s="563"/>
      <c r="G38" s="364">
        <f t="shared" si="0"/>
        <v>33</v>
      </c>
      <c r="H38" s="703">
        <f t="shared" si="1"/>
        <v>0.78016528925619821</v>
      </c>
      <c r="I38" s="704">
        <f t="shared" si="2"/>
        <v>19.051108850267916</v>
      </c>
      <c r="J38" s="364">
        <f t="shared" si="3"/>
        <v>20</v>
      </c>
      <c r="K38" s="595">
        <v>8.5</v>
      </c>
      <c r="L38" s="563"/>
      <c r="M38" s="595">
        <v>4</v>
      </c>
      <c r="N38" s="563"/>
      <c r="O38" s="595">
        <v>1</v>
      </c>
      <c r="P38" s="563"/>
      <c r="Q38" s="561"/>
      <c r="R38" s="563"/>
      <c r="S38" s="561"/>
      <c r="T38" s="563"/>
      <c r="U38" s="561"/>
      <c r="V38" s="364">
        <f t="shared" si="4"/>
        <v>3.76</v>
      </c>
      <c r="W38" s="364">
        <f t="shared" si="5"/>
        <v>12.26</v>
      </c>
      <c r="X38" s="704">
        <f t="shared" si="6"/>
        <v>233.56659450428464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717"/>
      <c r="R39" s="641"/>
      <c r="S39" s="717"/>
      <c r="T39" s="641"/>
      <c r="U39" s="717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1.3077013715231776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740</v>
      </c>
      <c r="D45" s="556"/>
      <c r="E45" s="556"/>
      <c r="F45" s="556"/>
      <c r="G45" s="565"/>
      <c r="H45" s="741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741</v>
      </c>
      <c r="D46" s="438"/>
      <c r="E46" s="438"/>
      <c r="F46" s="438"/>
      <c r="G46" s="448" t="s">
        <v>605</v>
      </c>
      <c r="H46" s="638">
        <v>0.5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739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633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84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G51" s="294"/>
      <c r="J51" s="384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2000</v>
      </c>
      <c r="J52" s="384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1.8077013715231776</v>
      </c>
      <c r="J53" s="384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84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84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8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5.6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5.6</v>
      </c>
      <c r="E61" s="293">
        <v>20</v>
      </c>
      <c r="F61" s="699">
        <f t="shared" si="8"/>
        <v>0.31415926535897931</v>
      </c>
      <c r="G61" s="700">
        <f t="shared" si="9"/>
        <v>1.759291886010284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11.2</v>
      </c>
      <c r="E62" s="293">
        <v>26</v>
      </c>
      <c r="F62" s="699">
        <f t="shared" si="8"/>
        <v>0.5309291584566751</v>
      </c>
      <c r="G62" s="700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70.599999999999994</v>
      </c>
      <c r="E63" s="293">
        <v>33</v>
      </c>
      <c r="F63" s="699">
        <f t="shared" si="8"/>
        <v>0.85529859993982116</v>
      </c>
      <c r="G63" s="700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84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">
      <c r="B67" s="197"/>
      <c r="J67" s="384"/>
      <c r="AT67" s="3"/>
      <c r="AU67" s="3"/>
      <c r="AV67" s="3"/>
      <c r="AW67" s="3"/>
      <c r="AX67" s="3"/>
    </row>
    <row r="68" spans="1:50" ht="15" x14ac:dyDescent="0.2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">
      <c r="B69" s="197"/>
      <c r="C69" s="436" t="s">
        <v>664</v>
      </c>
      <c r="D69" s="438"/>
      <c r="E69" s="438"/>
      <c r="F69" s="438"/>
      <c r="G69" s="448"/>
      <c r="H69" s="467"/>
      <c r="I69" s="244"/>
      <c r="J69" s="349"/>
    </row>
    <row r="70" spans="1:50" ht="15" x14ac:dyDescent="0.2">
      <c r="B70" s="197"/>
      <c r="C70" s="585"/>
      <c r="D70" s="680"/>
      <c r="E70" s="681" t="s">
        <v>636</v>
      </c>
      <c r="F70" s="681" t="s">
        <v>637</v>
      </c>
      <c r="G70" s="681" t="s">
        <v>638</v>
      </c>
      <c r="H70" s="681" t="s">
        <v>639</v>
      </c>
      <c r="I70" s="681" t="s">
        <v>640</v>
      </c>
      <c r="J70" s="349"/>
    </row>
    <row r="71" spans="1:50" x14ac:dyDescent="0.2">
      <c r="B71" s="197"/>
      <c r="D71" s="378" t="s">
        <v>666</v>
      </c>
      <c r="E71" s="335">
        <f>Datos!E52</f>
        <v>10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">
      <c r="B72" s="197"/>
      <c r="D72" s="378" t="s">
        <v>662</v>
      </c>
      <c r="E72" s="635">
        <f>Datos!E70</f>
        <v>0</v>
      </c>
      <c r="F72" s="635">
        <f>Datos!F70</f>
        <v>0</v>
      </c>
      <c r="G72" s="635">
        <f>Datos!G70</f>
        <v>0</v>
      </c>
      <c r="H72" s="635">
        <f>Datos!H70</f>
        <v>0</v>
      </c>
      <c r="I72" s="635">
        <f>Datos!I70</f>
        <v>0</v>
      </c>
      <c r="J72" s="349"/>
    </row>
    <row r="73" spans="1:50" x14ac:dyDescent="0.2">
      <c r="B73" s="197"/>
      <c r="C73" s="244"/>
      <c r="D73" s="656" t="s">
        <v>663</v>
      </c>
      <c r="E73" s="614">
        <v>4.5</v>
      </c>
      <c r="F73" s="657"/>
      <c r="G73" s="657"/>
      <c r="H73" s="657"/>
      <c r="I73" s="657"/>
      <c r="J73" s="490" t="s">
        <v>667</v>
      </c>
    </row>
    <row r="74" spans="1:50" ht="13.5" thickBot="1" x14ac:dyDescent="0.25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35">
      <c r="B75" s="197"/>
      <c r="C75" s="516" t="s">
        <v>665</v>
      </c>
      <c r="D75" s="517"/>
      <c r="E75" s="517"/>
      <c r="F75" s="517"/>
      <c r="G75" s="518" t="s">
        <v>373</v>
      </c>
      <c r="H75" s="682">
        <f>SUMPRODUCT(E71:I71,E73:I73)</f>
        <v>45</v>
      </c>
      <c r="J75" s="383"/>
    </row>
    <row r="76" spans="1:50" ht="14.25" customHeight="1" x14ac:dyDescent="0.2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35">
      <c r="B77" s="197"/>
      <c r="C77" s="292" t="s">
        <v>661</v>
      </c>
      <c r="D77" s="294"/>
      <c r="E77" s="294"/>
      <c r="F77" s="294"/>
      <c r="G77" s="294"/>
      <c r="J77" s="383"/>
    </row>
    <row r="78" spans="1:50" ht="15" x14ac:dyDescent="0.2">
      <c r="B78" s="197"/>
      <c r="C78" s="292" t="s">
        <v>564</v>
      </c>
      <c r="D78" s="294"/>
      <c r="E78" s="294"/>
      <c r="F78" s="294"/>
      <c r="G78" s="290" t="s">
        <v>373</v>
      </c>
      <c r="H78" s="637">
        <f>$G$66+H75</f>
        <v>115.27758474043634</v>
      </c>
      <c r="J78" s="383"/>
    </row>
    <row r="79" spans="1:50" x14ac:dyDescent="0.2">
      <c r="B79" s="196"/>
      <c r="C79" s="294"/>
      <c r="D79" s="294"/>
      <c r="E79" s="294"/>
      <c r="F79" s="294"/>
      <c r="G79" s="294"/>
      <c r="J79" s="383"/>
    </row>
    <row r="80" spans="1:50" ht="15" x14ac:dyDescent="0.2">
      <c r="C80" s="481" t="s">
        <v>526</v>
      </c>
      <c r="D80" s="556"/>
      <c r="E80" s="556"/>
      <c r="F80" s="556"/>
      <c r="G80" s="565" t="s">
        <v>469</v>
      </c>
      <c r="H80" s="643">
        <v>1.5</v>
      </c>
      <c r="J80" s="490" t="s">
        <v>684</v>
      </c>
    </row>
    <row r="81" spans="2:39" ht="15" x14ac:dyDescent="0.2">
      <c r="C81" s="292" t="s">
        <v>527</v>
      </c>
      <c r="D81" s="294"/>
      <c r="E81" s="294"/>
      <c r="F81" s="294"/>
      <c r="G81" s="290" t="s">
        <v>469</v>
      </c>
      <c r="H81" s="523">
        <v>4</v>
      </c>
      <c r="J81" s="490" t="s">
        <v>470</v>
      </c>
      <c r="K81" s="110"/>
      <c r="L81" s="217"/>
      <c r="M81" s="5"/>
    </row>
    <row r="82" spans="2:39" ht="15" x14ac:dyDescent="0.2">
      <c r="C82" s="292" t="s">
        <v>525</v>
      </c>
      <c r="D82" s="294"/>
      <c r="E82" s="294"/>
      <c r="F82" s="294"/>
      <c r="G82" s="290"/>
      <c r="H82" s="637">
        <f>H81/(H81-H80)</f>
        <v>1.6</v>
      </c>
      <c r="J82" s="383"/>
      <c r="K82" s="110"/>
      <c r="L82" s="217"/>
      <c r="M82" s="5"/>
    </row>
    <row r="83" spans="2:39" ht="16.5" thickBot="1" x14ac:dyDescent="0.3">
      <c r="C83" s="428" t="s">
        <v>471</v>
      </c>
      <c r="D83" s="427"/>
      <c r="E83" s="427"/>
      <c r="F83" s="427"/>
      <c r="G83" s="558" t="s">
        <v>373</v>
      </c>
      <c r="H83" s="659">
        <f>$H$78*($H$81/($H$81-$H$80))*INDEX(AK52:AK53,AR35,1)</f>
        <v>7.9310978301420203</v>
      </c>
      <c r="J83" s="490" t="s">
        <v>569</v>
      </c>
    </row>
    <row r="84" spans="2:39" ht="15.75" x14ac:dyDescent="0.25">
      <c r="B84" s="5"/>
      <c r="C84" s="97"/>
      <c r="G84" s="3"/>
      <c r="H84" s="554"/>
      <c r="J84" s="237"/>
      <c r="AJ84" s="246"/>
      <c r="AK84" s="213"/>
      <c r="AL84" s="246"/>
      <c r="AM84" s="213"/>
    </row>
    <row r="85" spans="2:39" ht="13.5" thickBot="1" x14ac:dyDescent="0.25">
      <c r="B85" s="422"/>
      <c r="C85" s="422"/>
      <c r="D85" s="422"/>
      <c r="E85" s="422"/>
      <c r="F85" s="422"/>
      <c r="G85" s="422"/>
      <c r="H85" s="422"/>
      <c r="I85" s="596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">
      <c r="B86" s="410" t="s">
        <v>523</v>
      </c>
      <c r="H86" s="6"/>
      <c r="I86" s="6"/>
      <c r="AJ86" s="105"/>
      <c r="AK86" s="197"/>
      <c r="AL86" s="105"/>
      <c r="AM86" s="197"/>
    </row>
    <row r="87" spans="2:39" ht="15.75" customHeight="1" x14ac:dyDescent="0.2">
      <c r="AJ87" s="105"/>
      <c r="AK87" s="197"/>
      <c r="AL87" s="105"/>
      <c r="AM87" s="197"/>
    </row>
    <row r="88" spans="2:39" ht="15" customHeight="1" x14ac:dyDescent="0.2">
      <c r="AJ88" s="105"/>
      <c r="AK88" s="197"/>
      <c r="AL88" s="105"/>
      <c r="AM88" s="197"/>
    </row>
    <row r="89" spans="2:39" x14ac:dyDescent="0.2">
      <c r="AJ89" s="105"/>
      <c r="AK89" s="197"/>
      <c r="AL89" s="105"/>
      <c r="AM89" s="197"/>
    </row>
    <row r="90" spans="2:39" x14ac:dyDescent="0.2">
      <c r="H90" s="6"/>
      <c r="I90" s="195"/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AJ92" s="105"/>
      <c r="AK92" s="197"/>
      <c r="AL92" s="105"/>
      <c r="AM92" s="197"/>
    </row>
    <row r="93" spans="2:39" x14ac:dyDescent="0.2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">
      <c r="AJ96" s="105"/>
      <c r="AK96" s="197"/>
      <c r="AL96" s="105"/>
      <c r="AM96" s="197"/>
    </row>
    <row r="97" spans="1:39" x14ac:dyDescent="0.2">
      <c r="H97" s="172"/>
      <c r="I97" s="192"/>
      <c r="J97" s="5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AJ99" s="105"/>
      <c r="AK99" s="197"/>
      <c r="AL99" s="105"/>
      <c r="AM99" s="197"/>
    </row>
    <row r="100" spans="1:39" x14ac:dyDescent="0.2">
      <c r="A100" s="5"/>
      <c r="AJ100" s="286"/>
      <c r="AK100" s="287"/>
      <c r="AL100" s="286"/>
      <c r="AM100" s="287"/>
    </row>
    <row r="104" spans="1:39" x14ac:dyDescent="0.2">
      <c r="C104" s="6"/>
      <c r="D104" s="6"/>
      <c r="E104" s="7"/>
    </row>
    <row r="105" spans="1:39" x14ac:dyDescent="0.2">
      <c r="D105" s="6"/>
      <c r="G105" s="6"/>
      <c r="H105" s="192"/>
      <c r="I105" s="5"/>
    </row>
    <row r="106" spans="1:39" x14ac:dyDescent="0.2">
      <c r="D106" s="6"/>
      <c r="E106" s="7"/>
      <c r="G106" s="6"/>
      <c r="H106" s="5"/>
      <c r="I106" s="5"/>
    </row>
    <row r="108" spans="1:39" x14ac:dyDescent="0.2">
      <c r="C108" s="6"/>
      <c r="D108" s="6"/>
      <c r="E108" s="19"/>
    </row>
    <row r="109" spans="1:39" x14ac:dyDescent="0.2">
      <c r="D109" s="6"/>
      <c r="E109" s="19"/>
      <c r="G109" s="6"/>
      <c r="H109" s="192"/>
      <c r="I109" s="5"/>
    </row>
    <row r="110" spans="1:39" x14ac:dyDescent="0.2">
      <c r="D110" s="6"/>
      <c r="E110" s="7"/>
      <c r="G110" s="6"/>
      <c r="H110" s="5"/>
      <c r="I110" s="5"/>
    </row>
    <row r="119" spans="2:4" x14ac:dyDescent="0.2">
      <c r="C119" s="7"/>
    </row>
    <row r="120" spans="2:4" x14ac:dyDescent="0.2">
      <c r="B120" s="5"/>
    </row>
    <row r="122" spans="2:4" x14ac:dyDescent="0.2">
      <c r="B122" s="5"/>
    </row>
    <row r="124" spans="2:4" x14ac:dyDescent="0.2">
      <c r="C124" s="6"/>
      <c r="D124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8" priority="1" stopIfTrue="1" operator="greaterThan">
      <formula>40</formula>
    </cfRule>
  </conditionalFormatting>
  <conditionalFormatting sqref="H24:H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733425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733425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733425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733425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733425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733425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733425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733425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733425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733425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733425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733425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219075</xdr:rowOff>
                  </from>
                  <to>
                    <xdr:col>10</xdr:col>
                    <xdr:colOff>209550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2" t="s">
        <v>733</v>
      </c>
      <c r="C3" s="762"/>
      <c r="D3" s="762"/>
      <c r="E3" s="762"/>
      <c r="F3" s="762"/>
      <c r="G3" s="762"/>
      <c r="H3" s="762"/>
      <c r="I3" s="762"/>
      <c r="J3" s="762"/>
      <c r="K3" s="762"/>
      <c r="L3" s="762"/>
      <c r="M3" s="762"/>
      <c r="N3" s="762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0.3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6.6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0.65999999999999992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683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45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2" t="s">
        <v>588</v>
      </c>
      <c r="C16" s="762"/>
      <c r="D16" s="762"/>
      <c r="E16" s="762"/>
      <c r="F16" s="762"/>
      <c r="G16" s="762"/>
      <c r="H16" s="762"/>
      <c r="I16" s="762"/>
      <c r="J16" s="762"/>
      <c r="K16" s="762"/>
      <c r="L16" s="762"/>
      <c r="M16" s="762"/>
      <c r="N16" s="762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4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opLeftCell="A9" zoomScale="115" zoomScaleNormal="115" zoomScaleSheetLayoutView="75" workbookViewId="0">
      <selection activeCell="C24" sqref="C2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6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5703125" customWidth="1"/>
    <col min="34" max="34" width="0" hidden="1" customWidth="1"/>
    <col min="35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</cols>
  <sheetData>
    <row r="1" spans="1:25" ht="20.25" x14ac:dyDescent="0.3">
      <c r="B1" s="793" t="s">
        <v>723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724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10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1100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573" t="s">
        <v>432</v>
      </c>
      <c r="K12" s="574"/>
      <c r="L12" s="574"/>
    </row>
    <row r="13" spans="1:25" x14ac:dyDescent="0.2">
      <c r="I13" s="33"/>
      <c r="J13" s="575" t="s">
        <v>380</v>
      </c>
      <c r="K13" s="575" t="s">
        <v>381</v>
      </c>
      <c r="L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548" t="s">
        <v>385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408" t="s">
        <v>430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409" t="s">
        <v>431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576">
        <v>54</v>
      </c>
      <c r="K20" s="576">
        <v>1.2</v>
      </c>
      <c r="L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IF(AU25=1,0,INDEX($AJ$42:$AJ$48,$AU25,1)-2*INDEX($AK$42:$AK$48,$AU25,1))</f>
        <v>0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IF(AU25=1,0,IF(OR($AR$25=1,$AR$25=2),INDEX($AM$42:$AM$48,$AU25,1),IF($AR$25=3,INDEX($AM$42:$AM$48,$AU25,1)+10)))</f>
        <v>0</v>
      </c>
      <c r="K24" s="595"/>
      <c r="L24" s="563"/>
      <c r="M24" s="595"/>
      <c r="N24" s="563"/>
      <c r="O24" s="595"/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">
      <c r="C30" s="561"/>
      <c r="D30" s="562"/>
      <c r="E30" s="561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61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">
      <c r="C31" s="561"/>
      <c r="D31" s="562"/>
      <c r="E31" s="561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61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61"/>
      <c r="D32" s="562"/>
      <c r="E32" s="561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61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61"/>
      <c r="D33" s="562"/>
      <c r="E33" s="561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61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61"/>
      <c r="D34" s="562"/>
      <c r="E34" s="561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61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61"/>
      <c r="D35" s="562"/>
      <c r="E35" s="561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61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61"/>
      <c r="D36" s="562"/>
      <c r="E36" s="561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61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61"/>
      <c r="D37" s="562"/>
      <c r="E37" s="561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61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61"/>
      <c r="D38" s="562"/>
      <c r="E38" s="561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61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570"/>
      <c r="D39" s="571"/>
      <c r="E39" s="570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570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577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/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486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 t="s">
        <v>449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/>
      <c r="J45" s="347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/>
      <c r="J46" s="347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0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/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1100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5" thickBot="1" x14ac:dyDescent="0.25">
      <c r="B53" s="197"/>
      <c r="C53" s="428" t="s">
        <v>472</v>
      </c>
      <c r="D53" s="427"/>
      <c r="E53" s="427"/>
      <c r="F53" s="427"/>
      <c r="G53" s="558" t="s">
        <v>605</v>
      </c>
      <c r="H53" s="584">
        <f>H48+H49</f>
        <v>0</v>
      </c>
      <c r="J53" s="375"/>
      <c r="L53" s="589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580" t="s">
        <v>456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551" t="s">
        <v>458</v>
      </c>
      <c r="D58" s="560" t="s">
        <v>465</v>
      </c>
      <c r="E58" s="333" t="s">
        <v>466</v>
      </c>
      <c r="F58" s="290" t="s">
        <v>461</v>
      </c>
      <c r="G58" s="290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/>
      <c r="E61" s="35">
        <v>26</v>
      </c>
      <c r="F61" s="10">
        <f t="shared" si="8"/>
        <v>0.5309291584566751</v>
      </c>
      <c r="G61" s="713">
        <f t="shared" si="9"/>
        <v>0</v>
      </c>
      <c r="J61" s="347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/>
      <c r="E62" s="35">
        <v>33</v>
      </c>
      <c r="F62" s="10">
        <f t="shared" si="8"/>
        <v>0.85529859993982116</v>
      </c>
      <c r="G62" s="713">
        <f t="shared" si="9"/>
        <v>0</v>
      </c>
      <c r="J62" s="347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47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47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587" t="s">
        <v>409</v>
      </c>
      <c r="G65" s="588">
        <f>SUM(G59:G64)</f>
        <v>0</v>
      </c>
      <c r="J65" s="347"/>
      <c r="AT65" s="3"/>
      <c r="AU65" s="3"/>
      <c r="AV65" s="3"/>
      <c r="AW65" s="3"/>
      <c r="AX65" s="3"/>
    </row>
    <row r="66" spans="1:50" x14ac:dyDescent="0.2">
      <c r="B66" s="197"/>
      <c r="J66" s="347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/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438"/>
      <c r="D68" s="438"/>
      <c r="E68" s="438"/>
      <c r="F68" s="438"/>
      <c r="G68" s="448" t="s">
        <v>373</v>
      </c>
      <c r="H68" s="591">
        <f>H67*H5</f>
        <v>0</v>
      </c>
      <c r="J68" s="347"/>
    </row>
    <row r="69" spans="1:50" ht="15" x14ac:dyDescent="0.2">
      <c r="B69" s="197"/>
      <c r="D69" s="294"/>
      <c r="E69" s="294"/>
      <c r="F69" s="294"/>
      <c r="G69" s="290"/>
      <c r="H69" s="379"/>
      <c r="J69" s="347"/>
    </row>
    <row r="70" spans="1:50" ht="15" x14ac:dyDescent="0.2">
      <c r="B70" s="197"/>
      <c r="C70" s="441" t="s">
        <v>669</v>
      </c>
      <c r="D70" s="443"/>
      <c r="E70" s="443"/>
      <c r="F70" s="443"/>
      <c r="G70" s="444" t="s">
        <v>373</v>
      </c>
      <c r="H70" s="592"/>
      <c r="J70" s="347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35">
      <c r="B72" s="197"/>
      <c r="C72" s="481" t="s">
        <v>668</v>
      </c>
      <c r="D72" s="556"/>
      <c r="E72" s="556"/>
      <c r="F72" s="556"/>
      <c r="G72" s="556"/>
      <c r="H72" s="593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0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/>
      <c r="J75" s="347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/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 t="e">
        <f>H76/(H76-H75)</f>
        <v>#DIV/0!</v>
      </c>
      <c r="J77" s="490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 t="e">
        <f>(($H$70+$G$65)+$H$68)*INDEX(AK52:AK53,AR35,1)*($H$76/($H$76-$H$75))</f>
        <v>#DIV/0!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sheetProtection algorithmName="SHA-512" hashValue="uaDlzUYW5kC+nD9f7X7/sPn5QICN+9BQuQgqj8ZNeejgR49mYdKrhk83M+I30jkCqc9Z4fLU6mVsNA0nFTtUUw==" saltValue="IpW5OqMjvPQzjlG6w4Uqpg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285750</xdr:colOff>
                    <xdr:row>39</xdr:row>
                    <xdr:rowOff>219075</xdr:rowOff>
                  </from>
                  <to>
                    <xdr:col>10</xdr:col>
                    <xdr:colOff>142875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topLeftCell="A34" zoomScale="115" zoomScaleNormal="115" workbookViewId="0">
      <selection activeCell="H61" sqref="H61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4" max="35" width="11.42578125" hidden="1" customWidth="1"/>
    <col min="36" max="36" width="20" hidden="1" customWidth="1"/>
    <col min="37" max="56" width="11.42578125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762" t="s">
        <v>725</v>
      </c>
      <c r="C3" s="762"/>
      <c r="D3" s="762"/>
      <c r="E3" s="762"/>
      <c r="F3" s="762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  <c r="U3" s="762"/>
      <c r="V3" s="762"/>
      <c r="W3" s="762"/>
    </row>
    <row r="4" spans="1:23" ht="15.75" x14ac:dyDescent="0.25">
      <c r="C4" s="580" t="s">
        <v>474</v>
      </c>
      <c r="D4" s="438"/>
      <c r="E4" s="438"/>
      <c r="F4" s="438"/>
      <c r="G4" s="438"/>
      <c r="H4" s="244"/>
    </row>
    <row r="5" spans="1:23" ht="15" x14ac:dyDescent="0.2">
      <c r="C5" s="292" t="s">
        <v>411</v>
      </c>
      <c r="D5" s="294"/>
      <c r="E5" s="294"/>
      <c r="F5" s="294"/>
      <c r="G5" s="294"/>
      <c r="H5" s="315">
        <f>Principal!G63</f>
        <v>10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3" ht="15" x14ac:dyDescent="0.2">
      <c r="C7" s="292" t="s">
        <v>485</v>
      </c>
      <c r="D7" s="294"/>
      <c r="E7" s="294"/>
      <c r="F7" s="294"/>
      <c r="G7" s="290" t="s">
        <v>416</v>
      </c>
      <c r="H7" s="721">
        <v>50</v>
      </c>
      <c r="J7" s="408" t="s">
        <v>475</v>
      </c>
    </row>
    <row r="8" spans="1:23" ht="15.75" x14ac:dyDescent="0.25">
      <c r="C8" s="696"/>
      <c r="D8" s="438"/>
      <c r="E8" s="438"/>
      <c r="F8" s="438"/>
      <c r="G8" s="455" t="s">
        <v>414</v>
      </c>
      <c r="H8" s="697">
        <f>H5*H6*H7</f>
        <v>1100</v>
      </c>
      <c r="I8" s="19"/>
    </row>
    <row r="9" spans="1:23" ht="18.75" customHeight="1" x14ac:dyDescent="0.2">
      <c r="C9" s="481" t="s">
        <v>476</v>
      </c>
      <c r="D9" s="556"/>
      <c r="E9" s="556"/>
      <c r="F9" s="556"/>
      <c r="G9" s="556"/>
      <c r="H9" s="557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thickBot="1" x14ac:dyDescent="0.25">
      <c r="C11" s="292" t="s">
        <v>426</v>
      </c>
      <c r="D11" s="294"/>
      <c r="E11" s="294"/>
      <c r="F11" s="294"/>
      <c r="G11" s="290" t="s">
        <v>425</v>
      </c>
      <c r="H11" s="290" t="str">
        <f>IF(AR25=1, "1,5 - 2", IF(OR(AR25=2,AR25=3), "2,5 - 3"))</f>
        <v>1,5 - 2</v>
      </c>
      <c r="J11" s="597" t="s">
        <v>432</v>
      </c>
      <c r="K11" s="598"/>
      <c r="L11" s="598"/>
    </row>
    <row r="12" spans="1:23" x14ac:dyDescent="0.2">
      <c r="C12" s="438"/>
      <c r="D12" s="438"/>
      <c r="E12" s="438"/>
      <c r="F12" s="438"/>
      <c r="G12" s="438"/>
      <c r="H12" s="244"/>
      <c r="J12" s="601" t="s">
        <v>380</v>
      </c>
      <c r="K12" s="601" t="s">
        <v>381</v>
      </c>
      <c r="L12" s="601" t="s">
        <v>382</v>
      </c>
    </row>
    <row r="13" spans="1:23" x14ac:dyDescent="0.2">
      <c r="D13" s="290"/>
      <c r="E13" s="290"/>
      <c r="F13" s="294"/>
      <c r="G13" s="294"/>
      <c r="I13" s="33"/>
      <c r="J13" s="548" t="s">
        <v>385</v>
      </c>
      <c r="K13" s="294"/>
      <c r="L13" s="294"/>
    </row>
    <row r="14" spans="1:23" x14ac:dyDescent="0.2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">
      <c r="C16" s="408" t="s">
        <v>430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">
      <c r="C17" s="409" t="s">
        <v>609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5" thickBot="1" x14ac:dyDescent="0.25">
      <c r="B19" s="6"/>
      <c r="H19" s="19"/>
      <c r="I19" s="33"/>
      <c r="J19" s="576">
        <v>54</v>
      </c>
      <c r="K19" s="576">
        <v>1.2</v>
      </c>
      <c r="L19" s="558">
        <v>51.6</v>
      </c>
    </row>
    <row r="20" spans="2:55" x14ac:dyDescent="0.2">
      <c r="AI20" s="785" t="s">
        <v>421</v>
      </c>
      <c r="AJ20" s="786"/>
      <c r="AK20" s="786"/>
      <c r="AL20" s="786"/>
      <c r="AM20" s="786"/>
      <c r="AN20" s="786"/>
      <c r="AO20" s="786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87" t="s">
        <v>443</v>
      </c>
      <c r="L22" s="787"/>
      <c r="M22" s="787"/>
      <c r="N22" s="787"/>
      <c r="O22" s="787"/>
      <c r="P22" s="787"/>
      <c r="Q22" s="787"/>
      <c r="R22" s="787"/>
      <c r="S22" s="787"/>
      <c r="T22" s="787"/>
      <c r="U22" s="565" t="s">
        <v>446</v>
      </c>
      <c r="V22" s="565" t="s">
        <v>447</v>
      </c>
      <c r="W22" s="565" t="s">
        <v>608</v>
      </c>
      <c r="AI22" s="221"/>
      <c r="AK22" s="788" t="s">
        <v>420</v>
      </c>
      <c r="AL22" s="788"/>
      <c r="AM22" s="788"/>
      <c r="AN22" s="788"/>
      <c r="AO22" s="788"/>
      <c r="AP22" s="789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95"/>
      <c r="E24" s="563"/>
      <c r="F24" s="704">
        <f t="shared" ref="F24:F39" si="0">IF(AU25=1,0,INDEX($AJ$42:$AJ$48,$AU25,1)-2*INDEX($AK$42:$AK$48,$AU25,1))</f>
        <v>0</v>
      </c>
      <c r="G24" s="703">
        <f t="shared" ref="G24:G39" si="1">IF(AU25=1,0,0.354*D24/(F24^2))</f>
        <v>0</v>
      </c>
      <c r="H24" s="704">
        <f>IF(AU25=1,0,378*(D24^1.75)/(F24^4.75))</f>
        <v>0</v>
      </c>
      <c r="I24" s="364">
        <f t="shared" ref="I24:I39" si="2">IF(AU25=1,0,INDEX($AM$42:$AM$48,$AU25,1))</f>
        <v>0</v>
      </c>
      <c r="J24" s="595"/>
      <c r="K24" s="719"/>
      <c r="L24" s="595"/>
      <c r="M24" s="719"/>
      <c r="N24" s="595"/>
      <c r="O24" s="719"/>
      <c r="P24" s="595"/>
      <c r="Q24" s="719"/>
      <c r="R24" s="595"/>
      <c r="S24" s="719"/>
      <c r="T24" s="595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0</v>
      </c>
      <c r="V24" s="364">
        <f t="shared" ref="V24:V39" si="4">J24+U24</f>
        <v>0</v>
      </c>
      <c r="W24" s="704">
        <f t="shared" ref="W24:W39" si="5">H24*V24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20"/>
    </row>
    <row r="25" spans="2:55" ht="18" customHeight="1" x14ac:dyDescent="0.2">
      <c r="C25" s="561"/>
      <c r="D25" s="561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719"/>
      <c r="L25" s="595"/>
      <c r="M25" s="719"/>
      <c r="N25" s="595"/>
      <c r="O25" s="719"/>
      <c r="P25" s="595"/>
      <c r="Q25" s="719"/>
      <c r="R25" s="595"/>
      <c r="S25" s="719"/>
      <c r="T25" s="595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61"/>
      <c r="D26" s="561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719"/>
      <c r="L26" s="595"/>
      <c r="M26" s="719"/>
      <c r="N26" s="595"/>
      <c r="O26" s="719"/>
      <c r="P26" s="595"/>
      <c r="Q26" s="719"/>
      <c r="R26" s="595"/>
      <c r="S26" s="719"/>
      <c r="T26" s="595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61"/>
      <c r="D27" s="561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719"/>
      <c r="L27" s="595"/>
      <c r="M27" s="719"/>
      <c r="N27" s="595"/>
      <c r="O27" s="719"/>
      <c r="P27" s="595"/>
      <c r="Q27" s="719"/>
      <c r="R27" s="595"/>
      <c r="S27" s="719"/>
      <c r="T27" s="595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61"/>
      <c r="D28" s="561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719"/>
      <c r="L28" s="595"/>
      <c r="M28" s="719"/>
      <c r="N28" s="595"/>
      <c r="O28" s="719"/>
      <c r="P28" s="595"/>
      <c r="Q28" s="719"/>
      <c r="R28" s="595"/>
      <c r="S28" s="719"/>
      <c r="T28" s="595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61"/>
      <c r="D29" s="561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719"/>
      <c r="L29" s="595"/>
      <c r="M29" s="719"/>
      <c r="N29" s="595"/>
      <c r="O29" s="719"/>
      <c r="P29" s="595"/>
      <c r="Q29" s="719"/>
      <c r="R29" s="595"/>
      <c r="S29" s="719"/>
      <c r="T29" s="595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1.5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61"/>
      <c r="D30" s="561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719"/>
      <c r="L30" s="595"/>
      <c r="M30" s="719"/>
      <c r="N30" s="595"/>
      <c r="O30" s="719"/>
      <c r="P30" s="595"/>
      <c r="Q30" s="719"/>
      <c r="R30" s="595"/>
      <c r="S30" s="719"/>
      <c r="T30" s="595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2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61"/>
      <c r="D31" s="561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719"/>
      <c r="L31" s="595"/>
      <c r="M31" s="719"/>
      <c r="N31" s="595"/>
      <c r="O31" s="719"/>
      <c r="P31" s="595"/>
      <c r="Q31" s="719"/>
      <c r="R31" s="595"/>
      <c r="S31" s="719"/>
      <c r="T31" s="595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61"/>
      <c r="D32" s="561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719"/>
      <c r="L32" s="595"/>
      <c r="M32" s="719"/>
      <c r="N32" s="595"/>
      <c r="O32" s="719"/>
      <c r="P32" s="595"/>
      <c r="Q32" s="719"/>
      <c r="R32" s="595"/>
      <c r="S32" s="719"/>
      <c r="T32" s="595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61"/>
      <c r="D33" s="561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719"/>
      <c r="L33" s="595"/>
      <c r="M33" s="719"/>
      <c r="N33" s="595"/>
      <c r="O33" s="719"/>
      <c r="P33" s="595"/>
      <c r="Q33" s="719"/>
      <c r="R33" s="595"/>
      <c r="S33" s="719"/>
      <c r="T33" s="595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61"/>
      <c r="D34" s="561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719"/>
      <c r="L34" s="595"/>
      <c r="M34" s="719"/>
      <c r="N34" s="595"/>
      <c r="O34" s="719"/>
      <c r="P34" s="595"/>
      <c r="Q34" s="719"/>
      <c r="R34" s="595"/>
      <c r="S34" s="719"/>
      <c r="T34" s="595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61"/>
      <c r="D35" s="561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719"/>
      <c r="L35" s="595"/>
      <c r="M35" s="719"/>
      <c r="N35" s="595"/>
      <c r="O35" s="719"/>
      <c r="P35" s="595"/>
      <c r="Q35" s="719"/>
      <c r="R35" s="595"/>
      <c r="S35" s="719"/>
      <c r="T35" s="595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61"/>
      <c r="D36" s="561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719"/>
      <c r="L36" s="595"/>
      <c r="M36" s="719"/>
      <c r="N36" s="595"/>
      <c r="O36" s="719"/>
      <c r="P36" s="595"/>
      <c r="Q36" s="719"/>
      <c r="R36" s="595"/>
      <c r="S36" s="719"/>
      <c r="T36" s="595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61"/>
      <c r="D37" s="561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719"/>
      <c r="L37" s="595"/>
      <c r="M37" s="719"/>
      <c r="N37" s="595"/>
      <c r="O37" s="719"/>
      <c r="P37" s="595"/>
      <c r="Q37" s="719"/>
      <c r="R37" s="595"/>
      <c r="S37" s="719"/>
      <c r="T37" s="595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61"/>
      <c r="D38" s="561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719"/>
      <c r="L38" s="595"/>
      <c r="M38" s="719"/>
      <c r="N38" s="595"/>
      <c r="O38" s="719"/>
      <c r="P38" s="595"/>
      <c r="Q38" s="719"/>
      <c r="R38" s="595"/>
      <c r="S38" s="719"/>
      <c r="T38" s="595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">
      <c r="C39" s="570"/>
      <c r="D39" s="570"/>
      <c r="E39" s="572"/>
      <c r="F39" s="709">
        <f t="shared" si="0"/>
        <v>0</v>
      </c>
      <c r="G39" s="710">
        <f t="shared" si="1"/>
        <v>0</v>
      </c>
      <c r="H39" s="711">
        <f t="shared" si="6"/>
        <v>0</v>
      </c>
      <c r="I39" s="709">
        <f t="shared" si="2"/>
        <v>0</v>
      </c>
      <c r="J39" s="613"/>
      <c r="K39" s="722"/>
      <c r="L39" s="613"/>
      <c r="M39" s="722"/>
      <c r="N39" s="613"/>
      <c r="O39" s="722"/>
      <c r="P39" s="613"/>
      <c r="Q39" s="722"/>
      <c r="R39" s="613"/>
      <c r="S39" s="722"/>
      <c r="T39" s="613"/>
      <c r="U39" s="709">
        <f t="shared" si="3"/>
        <v>0</v>
      </c>
      <c r="V39" s="709">
        <f t="shared" si="4"/>
        <v>0</v>
      </c>
      <c r="W39" s="711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347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0.30573991949513935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H42" s="40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479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292" t="s">
        <v>480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436" t="s">
        <v>450</v>
      </c>
      <c r="D45" s="438"/>
      <c r="E45" s="438"/>
      <c r="F45" s="438"/>
      <c r="G45" s="448" t="s">
        <v>605</v>
      </c>
      <c r="H45" s="581"/>
      <c r="J45" s="347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75" thickBot="1" x14ac:dyDescent="0.25">
      <c r="B47" s="197"/>
      <c r="C47" s="428" t="s">
        <v>482</v>
      </c>
      <c r="D47" s="427"/>
      <c r="E47" s="427"/>
      <c r="F47" s="427"/>
      <c r="G47" s="558" t="s">
        <v>605</v>
      </c>
      <c r="H47" s="602">
        <f>$H$41+$H$45</f>
        <v>0.30573991949513935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580" t="s">
        <v>483</v>
      </c>
      <c r="D49" s="438"/>
      <c r="E49" s="438"/>
      <c r="F49" s="438"/>
      <c r="G49" s="438"/>
      <c r="H49" s="583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292" t="s">
        <v>438</v>
      </c>
      <c r="D50" s="294"/>
      <c r="E50" s="294"/>
      <c r="F50" s="294"/>
      <c r="G50" s="290" t="s">
        <v>414</v>
      </c>
      <c r="H50" s="550">
        <f>H8</f>
        <v>1100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5" thickBot="1" x14ac:dyDescent="0.25">
      <c r="B51" s="197"/>
      <c r="C51" s="428" t="s">
        <v>472</v>
      </c>
      <c r="D51" s="427"/>
      <c r="E51" s="427"/>
      <c r="F51" s="427"/>
      <c r="G51" s="558" t="s">
        <v>605</v>
      </c>
      <c r="H51" s="584">
        <f>H47</f>
        <v>0.30573991949513935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">
      <c r="B54" s="197"/>
      <c r="C54" s="292" t="s">
        <v>565</v>
      </c>
      <c r="D54" s="294"/>
      <c r="E54" s="294"/>
      <c r="F54" s="294"/>
      <c r="G54" s="294"/>
      <c r="J54" s="347" t="s">
        <v>568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/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436"/>
      <c r="D56" s="438"/>
      <c r="E56" s="438"/>
      <c r="F56" s="438"/>
      <c r="G56" s="448" t="str">
        <f>IF(AT46=1,"kW","m2")</f>
        <v>kW</v>
      </c>
      <c r="H56" s="738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414</v>
      </c>
      <c r="H57" s="550">
        <f>CH_Prim!H8</f>
        <v>1100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/>
      <c r="J58" s="33"/>
      <c r="AT58" s="3"/>
      <c r="AU58" s="3"/>
      <c r="AV58" s="3"/>
      <c r="AW58" s="3"/>
      <c r="AX58" s="3"/>
    </row>
    <row r="59" spans="2:55" ht="15" x14ac:dyDescent="0.2">
      <c r="B59" s="197"/>
      <c r="C59" s="436" t="s">
        <v>417</v>
      </c>
      <c r="D59" s="438"/>
      <c r="E59" s="438"/>
      <c r="F59" s="438"/>
      <c r="G59" s="448"/>
      <c r="H59" s="739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0">
        <f>IF(AT46=1,H8,"")</f>
        <v>1100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79"/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5.75" thickBot="1" x14ac:dyDescent="0.25">
      <c r="B64" s="422"/>
      <c r="C64" s="605"/>
      <c r="D64" s="422"/>
      <c r="E64" s="422"/>
      <c r="F64" s="422"/>
      <c r="G64" s="606"/>
      <c r="H64" s="60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5" thickTop="1" x14ac:dyDescent="0.2">
      <c r="B65" s="546" t="s">
        <v>722</v>
      </c>
      <c r="H65" s="6"/>
      <c r="I65" s="6"/>
    </row>
    <row r="67" spans="2:39" ht="15" customHeight="1" x14ac:dyDescent="0.2"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9525</xdr:rowOff>
                  </from>
                  <to>
                    <xdr:col>8</xdr:col>
                    <xdr:colOff>209550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95250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66675</xdr:colOff>
                    <xdr:row>39</xdr:row>
                    <xdr:rowOff>200025</xdr:rowOff>
                  </from>
                  <to>
                    <xdr:col>9</xdr:col>
                    <xdr:colOff>704850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topLeftCell="A33" zoomScaleNormal="100" workbookViewId="0">
      <selection activeCell="P66" sqref="P66"/>
    </sheetView>
  </sheetViews>
  <sheetFormatPr baseColWidth="10" defaultRowHeight="12.75" x14ac:dyDescent="0.2"/>
  <cols>
    <col min="1" max="1" width="4.28515625" customWidth="1"/>
    <col min="2" max="2" width="4" customWidth="1"/>
    <col min="3" max="7" width="12.42578125" customWidth="1"/>
    <col min="9" max="10" width="11.7109375" customWidth="1"/>
    <col min="12" max="12" width="11.7109375" customWidth="1"/>
    <col min="13" max="13" width="10.28515625" customWidth="1"/>
    <col min="14" max="14" width="9" customWidth="1"/>
    <col min="15" max="15" width="7.5703125" customWidth="1"/>
    <col min="16" max="16" width="9.5703125" customWidth="1"/>
    <col min="17" max="17" width="4.140625" customWidth="1"/>
    <col min="19" max="19" width="8.7109375" customWidth="1"/>
    <col min="26" max="26" width="4.42578125" customWidth="1"/>
    <col min="39" max="40" width="11.42578125" hidden="1" customWidth="1"/>
    <col min="41" max="41" width="16.7109375" hidden="1" customWidth="1"/>
    <col min="42" max="50" width="11.42578125" hidden="1" customWidth="1"/>
    <col min="51" max="51" width="14.7109375" hidden="1" customWidth="1"/>
    <col min="52" max="52" width="17" hidden="1" customWidth="1"/>
    <col min="53" max="59" width="11.42578125" hidden="1" customWidth="1"/>
    <col min="60" max="60" width="15.28515625" hidden="1" customWidth="1"/>
    <col min="61" max="69" width="11.42578125" hidden="1" customWidth="1"/>
  </cols>
  <sheetData>
    <row r="1" spans="2:51" x14ac:dyDescent="0.2">
      <c r="C1" s="238"/>
      <c r="D1" s="238"/>
      <c r="E1" s="238"/>
      <c r="F1" s="238"/>
      <c r="G1" s="238"/>
    </row>
    <row r="2" spans="2:51" x14ac:dyDescent="0.2">
      <c r="C2" s="238"/>
      <c r="D2" s="238"/>
      <c r="E2" s="238"/>
      <c r="F2" s="238"/>
      <c r="G2" s="238"/>
    </row>
    <row r="3" spans="2:51" ht="15.75" x14ac:dyDescent="0.25">
      <c r="B3" s="460" t="s">
        <v>726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">
      <c r="AX4" s="105"/>
    </row>
    <row r="5" spans="2:51" ht="15" x14ac:dyDescent="0.2">
      <c r="C5" s="481" t="s">
        <v>476</v>
      </c>
      <c r="D5" s="556"/>
      <c r="E5" s="556"/>
      <c r="F5" s="556"/>
      <c r="G5" s="556"/>
      <c r="H5" s="609" t="s">
        <v>384</v>
      </c>
      <c r="O5" s="237"/>
      <c r="AX5" s="282"/>
      <c r="AY5" s="3"/>
    </row>
    <row r="6" spans="2:51" ht="18" customHeight="1" x14ac:dyDescent="0.2">
      <c r="C6" s="292" t="s">
        <v>422</v>
      </c>
      <c r="D6" s="294"/>
      <c r="E6" s="294"/>
      <c r="F6" s="294"/>
      <c r="G6" s="294"/>
      <c r="O6" s="237"/>
      <c r="AX6" s="282"/>
      <c r="AY6" s="3"/>
    </row>
    <row r="7" spans="2:51" ht="15.75" thickBot="1" x14ac:dyDescent="0.25">
      <c r="C7" s="428" t="s">
        <v>426</v>
      </c>
      <c r="D7" s="427"/>
      <c r="E7" s="427"/>
      <c r="F7" s="427"/>
      <c r="G7" s="558" t="s">
        <v>425</v>
      </c>
      <c r="H7" s="558" t="str">
        <f>IF(AW22=1, "2", IF(AW22=2, "3"))</f>
        <v>2</v>
      </c>
      <c r="O7" s="237"/>
      <c r="AX7" s="282"/>
      <c r="AY7" s="3"/>
    </row>
    <row r="8" spans="2:51" ht="18" customHeight="1" thickBot="1" x14ac:dyDescent="0.25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">
      <c r="H9" s="33"/>
      <c r="I9" s="33"/>
      <c r="M9" s="601" t="s">
        <v>380</v>
      </c>
      <c r="N9" s="601" t="s">
        <v>381</v>
      </c>
      <c r="O9" s="601" t="s">
        <v>382</v>
      </c>
    </row>
    <row r="10" spans="2:51" ht="15.75" x14ac:dyDescent="0.25">
      <c r="G10" s="25"/>
      <c r="M10" s="548" t="s">
        <v>385</v>
      </c>
      <c r="N10" s="294"/>
      <c r="O10" s="294"/>
    </row>
    <row r="11" spans="2:51" ht="15.75" x14ac:dyDescent="0.25">
      <c r="C11" s="319" t="s">
        <v>657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">
      <c r="C12" s="408" t="s">
        <v>430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">
      <c r="C13" s="409" t="s">
        <v>431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75" x14ac:dyDescent="0.25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5" thickBot="1" x14ac:dyDescent="0.25">
      <c r="B16" s="6"/>
      <c r="D16" s="329"/>
      <c r="E16" s="329"/>
      <c r="F16" s="329"/>
      <c r="H16" s="33"/>
      <c r="M16" s="576">
        <v>54</v>
      </c>
      <c r="N16" s="576">
        <v>1.2</v>
      </c>
      <c r="O16" s="558">
        <v>51.6</v>
      </c>
    </row>
    <row r="17" spans="2:67" x14ac:dyDescent="0.2">
      <c r="D17" s="294"/>
      <c r="E17" s="294"/>
      <c r="F17" s="294"/>
      <c r="AN17" s="785" t="s">
        <v>421</v>
      </c>
      <c r="AO17" s="786"/>
      <c r="AP17" s="786"/>
      <c r="AQ17" s="786"/>
      <c r="AR17" s="786"/>
      <c r="AS17" s="786"/>
      <c r="AT17" s="229"/>
      <c r="AU17" s="230"/>
      <c r="BJ17" t="s">
        <v>544</v>
      </c>
    </row>
    <row r="18" spans="2:67" x14ac:dyDescent="0.2">
      <c r="C18" s="331" t="s">
        <v>658</v>
      </c>
      <c r="D18" s="294"/>
      <c r="E18" s="350"/>
      <c r="F18" s="294"/>
      <c r="AN18" s="221"/>
      <c r="AU18" s="220"/>
      <c r="BI18" t="s">
        <v>543</v>
      </c>
      <c r="BN18" s="247" t="s">
        <v>528</v>
      </c>
      <c r="BO18" s="215" t="s">
        <v>532</v>
      </c>
    </row>
    <row r="19" spans="2:67" x14ac:dyDescent="0.2">
      <c r="C19" s="556"/>
      <c r="D19" s="565" t="s">
        <v>652</v>
      </c>
      <c r="E19" s="565" t="s">
        <v>528</v>
      </c>
      <c r="F19" s="565" t="s">
        <v>530</v>
      </c>
      <c r="G19" s="795" t="s">
        <v>438</v>
      </c>
      <c r="H19" s="795"/>
      <c r="I19" s="565" t="s">
        <v>380</v>
      </c>
      <c r="J19" s="565" t="s">
        <v>434</v>
      </c>
      <c r="K19" s="565" t="s">
        <v>435</v>
      </c>
      <c r="L19" s="565" t="s">
        <v>440</v>
      </c>
      <c r="M19" s="565" t="s">
        <v>550</v>
      </c>
      <c r="N19" s="565" t="s">
        <v>442</v>
      </c>
      <c r="O19" s="556" t="s">
        <v>550</v>
      </c>
      <c r="P19" s="796"/>
      <c r="Q19" s="796"/>
      <c r="R19" s="796"/>
      <c r="S19" s="796"/>
      <c r="T19" s="796"/>
      <c r="U19" s="796"/>
      <c r="V19" s="796"/>
      <c r="W19" s="796"/>
      <c r="X19" s="796"/>
      <c r="Y19" s="796"/>
      <c r="Z19" s="3"/>
      <c r="AA19" s="3"/>
      <c r="AN19" s="221"/>
      <c r="AP19" s="788" t="s">
        <v>420</v>
      </c>
      <c r="AQ19" s="788"/>
      <c r="AR19" s="788"/>
      <c r="AS19" s="788"/>
      <c r="AT19" s="788"/>
      <c r="AU19" s="797"/>
      <c r="BI19" t="s">
        <v>539</v>
      </c>
      <c r="BJ19" t="s">
        <v>538</v>
      </c>
      <c r="BK19" t="s">
        <v>541</v>
      </c>
      <c r="BL19" t="s">
        <v>540</v>
      </c>
      <c r="BM19" t="s">
        <v>542</v>
      </c>
      <c r="BN19" s="248" t="s">
        <v>529</v>
      </c>
      <c r="BO19" s="276" t="s">
        <v>531</v>
      </c>
    </row>
    <row r="20" spans="2:67" ht="11.25" customHeight="1" thickBot="1" x14ac:dyDescent="0.25">
      <c r="B20" s="6"/>
      <c r="C20" s="558" t="s">
        <v>390</v>
      </c>
      <c r="D20" s="558" t="s">
        <v>651</v>
      </c>
      <c r="E20" s="558" t="s">
        <v>529</v>
      </c>
      <c r="F20" s="558" t="s">
        <v>531</v>
      </c>
      <c r="G20" s="558" t="s">
        <v>484</v>
      </c>
      <c r="H20" s="558" t="s">
        <v>437</v>
      </c>
      <c r="I20" s="567" t="s">
        <v>433</v>
      </c>
      <c r="J20" s="567" t="s">
        <v>433</v>
      </c>
      <c r="K20" s="558" t="s">
        <v>436</v>
      </c>
      <c r="L20" s="567" t="s">
        <v>570</v>
      </c>
      <c r="M20" s="567" t="s">
        <v>551</v>
      </c>
      <c r="N20" s="567" t="s">
        <v>441</v>
      </c>
      <c r="O20" s="558" t="s">
        <v>579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419</v>
      </c>
      <c r="AQ20" s="184"/>
      <c r="AR20" s="184"/>
      <c r="AS20" s="184"/>
      <c r="AT20" s="184"/>
      <c r="AU20" s="231"/>
      <c r="BI20" s="3" t="s">
        <v>533</v>
      </c>
      <c r="BJ20" t="s">
        <v>536</v>
      </c>
      <c r="BK20" s="3" t="s">
        <v>534</v>
      </c>
      <c r="BL20" t="s">
        <v>537</v>
      </c>
      <c r="BM20" t="s">
        <v>535</v>
      </c>
      <c r="BN20" s="99">
        <v>1</v>
      </c>
      <c r="BO20" s="123">
        <v>1</v>
      </c>
    </row>
    <row r="21" spans="2:67" ht="18" customHeight="1" x14ac:dyDescent="0.2">
      <c r="C21" s="610"/>
      <c r="D21" s="562"/>
      <c r="E21" s="595"/>
      <c r="F21" s="723" t="e">
        <f>BM21</f>
        <v>#N/A</v>
      </c>
      <c r="G21" s="611"/>
      <c r="H21" s="725">
        <f>G21*3600</f>
        <v>0</v>
      </c>
      <c r="I21" s="563"/>
      <c r="J21" s="364">
        <f t="shared" ref="J21:J36" si="0">IF(AZ22=1,0,INDEX($M$10:$M$16,$AZ22,1)-2*INDEX($N$10:$N$16,$AZ22,1))</f>
        <v>0</v>
      </c>
      <c r="K21" s="703">
        <f>IF(AZ22=1,0,0.354*H21/(J21^2))</f>
        <v>0</v>
      </c>
      <c r="L21" s="364">
        <f t="shared" ref="L21:L36" si="1">IF(AZ22=1,0,INDEX($AR$38:$AR$44,$AZ22,1))</f>
        <v>0</v>
      </c>
      <c r="M21" s="364">
        <f t="shared" ref="M21:M36" si="2">IF(AZ22=1,0,INDEX($AP$51:$AP$57,$AZ22,1))</f>
        <v>0</v>
      </c>
      <c r="N21" s="595"/>
      <c r="O21" s="364">
        <f>M21*N21</f>
        <v>0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389</v>
      </c>
      <c r="AY21" s="202" t="s">
        <v>390</v>
      </c>
      <c r="AZ21" s="202" t="s">
        <v>391</v>
      </c>
      <c r="BA21" s="783" t="s">
        <v>418</v>
      </c>
      <c r="BB21" s="783"/>
      <c r="BC21" s="783"/>
      <c r="BD21" s="783"/>
      <c r="BE21" s="783"/>
      <c r="BF21" s="783"/>
      <c r="BG21" s="784"/>
      <c r="BI21" s="300" t="e">
        <f t="shared" ref="BI21:BI27" si="3">CHOOSE(MATCH(E21,$BN$20:$BN$45,1),$BO$20,$BO$21,$BO$22,$BO$23,$BO$24,$BO$25,$BO$26,$BO$27,$BO$28,$BO$29,$BO$30,$BO$31,$BO$32,$BO$33,$BO$34,$BO$35,$BO$36,$BO$37,$BO$38,$BO$45)</f>
        <v>#N/A</v>
      </c>
      <c r="BJ21" s="310" t="e">
        <f t="shared" ref="BJ21:BJ27" si="4">CHOOSE(MATCH(E21,$BN$20:$BN$45,1),$BN$20,$BN$21,$BN$22,$BN$23,$BN$24,$BN$25,$BN$26,$BN$27,$BN$28,$BN$29,$BN$30,$BN$31,$BN$32,$BN$33,$BN$34,$BN$35,$BN$36,$BO$37,$BN$38,$BN$45)</f>
        <v>#N/A</v>
      </c>
      <c r="BK21" s="310" t="e">
        <f t="shared" ref="BK21:BK27" si="5">CHOOSE(MATCH(E21,$BN$20:$BN$45,1)+1,$BO$20,$BO$21,$BO$22,$BO$23,$BO$24,$BO$25,$BO$26,$BO$27,$BO$28,$BO$29,$BO$30,$BO$31,$BO$32,$BO$33,$BO$34,$BO$35,$BO$36,$BO$37,$BO$38,$BO$45)</f>
        <v>#N/A</v>
      </c>
      <c r="BL21" s="310" t="e">
        <f t="shared" ref="BL21:BL27" si="6">CHOOSE(MATCH(E21,$BN$20:$BN$45,1)+1,$BN$20,$BN$21,$BN$22,$BN$23,$BN$24,$BN$25,$BN$26,$BN$27,$BN$28,$BN$29,$BN$30,$BN$31,$BN$32,$BN$33,$BN$34,$BN$35,$BN$36,$BO$37,$BN$38,$BN$45)</f>
        <v>#N/A</v>
      </c>
      <c r="BM21" s="311" t="e">
        <f t="shared" ref="BM21:BM27" si="7">BI21+((BK21-BI21)/(BL21-BJ21))*(E21-BJ21)</f>
        <v>#N/A</v>
      </c>
      <c r="BN21" s="99">
        <v>2</v>
      </c>
      <c r="BO21" s="183">
        <v>0.75</v>
      </c>
    </row>
    <row r="22" spans="2:67" ht="18" customHeight="1" x14ac:dyDescent="0.2">
      <c r="C22" s="610"/>
      <c r="D22" s="562"/>
      <c r="E22" s="595"/>
      <c r="F22" s="723" t="e">
        <f t="shared" ref="F22:F36" si="8">BM22</f>
        <v>#N/A</v>
      </c>
      <c r="G22" s="611"/>
      <c r="H22" s="725">
        <f t="shared" ref="H22:H36" si="9">G22*3600</f>
        <v>0</v>
      </c>
      <c r="I22" s="563"/>
      <c r="J22" s="364">
        <f t="shared" si="0"/>
        <v>0</v>
      </c>
      <c r="K22" s="703">
        <f t="shared" ref="K22:K36" si="10">IF(AZ23=1,0,0.354*H22/(J22^2))</f>
        <v>0</v>
      </c>
      <c r="L22" s="364">
        <f t="shared" si="1"/>
        <v>0</v>
      </c>
      <c r="M22" s="364">
        <f t="shared" si="2"/>
        <v>0</v>
      </c>
      <c r="N22" s="595"/>
      <c r="O22" s="364">
        <f t="shared" ref="O22:O27" si="11">M22*N22</f>
        <v>0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385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>
        <f t="shared" ref="AY22:AY37" si="12">C21</f>
        <v>0</v>
      </c>
      <c r="AZ22" s="299">
        <v>1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 t="e">
        <f t="shared" si="3"/>
        <v>#N/A</v>
      </c>
      <c r="BJ22" s="310" t="e">
        <f t="shared" si="4"/>
        <v>#N/A</v>
      </c>
      <c r="BK22" s="310" t="e">
        <f t="shared" si="5"/>
        <v>#N/A</v>
      </c>
      <c r="BL22" s="310" t="e">
        <f t="shared" si="6"/>
        <v>#N/A</v>
      </c>
      <c r="BM22" s="311" t="e">
        <f t="shared" si="7"/>
        <v>#N/A</v>
      </c>
      <c r="BN22" s="99">
        <v>3</v>
      </c>
      <c r="BO22" s="275">
        <v>0.6</v>
      </c>
    </row>
    <row r="23" spans="2:67" ht="18" customHeight="1" x14ac:dyDescent="0.2">
      <c r="C23" s="610"/>
      <c r="D23" s="562"/>
      <c r="E23" s="595"/>
      <c r="F23" s="723" t="e">
        <f t="shared" si="8"/>
        <v>#N/A</v>
      </c>
      <c r="G23" s="611"/>
      <c r="H23" s="725">
        <f t="shared" si="9"/>
        <v>0</v>
      </c>
      <c r="I23" s="563"/>
      <c r="J23" s="364">
        <f t="shared" si="0"/>
        <v>0</v>
      </c>
      <c r="K23" s="703">
        <f t="shared" si="10"/>
        <v>0</v>
      </c>
      <c r="L23" s="364">
        <f t="shared" si="1"/>
        <v>0</v>
      </c>
      <c r="M23" s="364">
        <f t="shared" si="2"/>
        <v>0</v>
      </c>
      <c r="N23" s="595"/>
      <c r="O23" s="364">
        <f t="shared" si="11"/>
        <v>0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698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393</v>
      </c>
      <c r="AY23" s="99">
        <f t="shared" si="12"/>
        <v>0</v>
      </c>
      <c r="AZ23" s="299">
        <v>1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 t="e">
        <f t="shared" si="3"/>
        <v>#N/A</v>
      </c>
      <c r="BJ23" s="310" t="e">
        <f t="shared" si="4"/>
        <v>#N/A</v>
      </c>
      <c r="BK23" s="310" t="e">
        <f t="shared" si="5"/>
        <v>#N/A</v>
      </c>
      <c r="BL23" s="310" t="e">
        <f t="shared" si="6"/>
        <v>#N/A</v>
      </c>
      <c r="BM23" s="311" t="e">
        <f t="shared" si="7"/>
        <v>#N/A</v>
      </c>
      <c r="BN23" s="99">
        <v>4</v>
      </c>
      <c r="BO23" s="183">
        <v>0.55000000000000004</v>
      </c>
    </row>
    <row r="24" spans="2:67" ht="18" customHeight="1" x14ac:dyDescent="0.2">
      <c r="C24" s="610"/>
      <c r="D24" s="562"/>
      <c r="E24" s="595"/>
      <c r="F24" s="723" t="e">
        <f t="shared" si="8"/>
        <v>#N/A</v>
      </c>
      <c r="G24" s="611"/>
      <c r="H24" s="725">
        <f t="shared" si="9"/>
        <v>0</v>
      </c>
      <c r="I24" s="563"/>
      <c r="J24" s="364">
        <f t="shared" si="0"/>
        <v>0</v>
      </c>
      <c r="K24" s="703">
        <f t="shared" si="10"/>
        <v>0</v>
      </c>
      <c r="L24" s="364">
        <f t="shared" si="1"/>
        <v>0</v>
      </c>
      <c r="M24" s="364">
        <f t="shared" si="2"/>
        <v>0</v>
      </c>
      <c r="N24" s="595"/>
      <c r="O24" s="364">
        <f t="shared" si="11"/>
        <v>0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394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424</v>
      </c>
      <c r="AY24" s="99">
        <f t="shared" si="12"/>
        <v>0</v>
      </c>
      <c r="AZ24" s="299">
        <v>1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 t="e">
        <f t="shared" si="3"/>
        <v>#N/A</v>
      </c>
      <c r="BJ24" s="310" t="e">
        <f t="shared" si="4"/>
        <v>#N/A</v>
      </c>
      <c r="BK24" s="310" t="e">
        <f t="shared" si="5"/>
        <v>#N/A</v>
      </c>
      <c r="BL24" s="310" t="e">
        <f t="shared" si="6"/>
        <v>#N/A</v>
      </c>
      <c r="BM24" s="311" t="e">
        <f t="shared" si="7"/>
        <v>#N/A</v>
      </c>
      <c r="BN24" s="99">
        <v>5</v>
      </c>
      <c r="BO24" s="183">
        <v>0.53</v>
      </c>
    </row>
    <row r="25" spans="2:67" ht="18" customHeight="1" x14ac:dyDescent="0.2">
      <c r="C25" s="610"/>
      <c r="D25" s="562"/>
      <c r="E25" s="595"/>
      <c r="F25" s="723" t="e">
        <f t="shared" si="8"/>
        <v>#N/A</v>
      </c>
      <c r="G25" s="611"/>
      <c r="H25" s="725">
        <f t="shared" si="9"/>
        <v>0</v>
      </c>
      <c r="I25" s="563"/>
      <c r="J25" s="364">
        <f t="shared" si="0"/>
        <v>0</v>
      </c>
      <c r="K25" s="703">
        <f t="shared" si="10"/>
        <v>0</v>
      </c>
      <c r="L25" s="364">
        <f t="shared" si="1"/>
        <v>0</v>
      </c>
      <c r="M25" s="364">
        <f t="shared" si="2"/>
        <v>0</v>
      </c>
      <c r="N25" s="595"/>
      <c r="O25" s="364">
        <f t="shared" si="11"/>
        <v>0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395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423</v>
      </c>
      <c r="AY25" s="99">
        <f t="shared" si="12"/>
        <v>0</v>
      </c>
      <c r="AZ25" s="299">
        <v>1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 t="e">
        <f t="shared" si="3"/>
        <v>#N/A</v>
      </c>
      <c r="BJ25" s="310" t="e">
        <f t="shared" si="4"/>
        <v>#N/A</v>
      </c>
      <c r="BK25" s="310" t="e">
        <f t="shared" si="5"/>
        <v>#N/A</v>
      </c>
      <c r="BL25" s="310" t="e">
        <f t="shared" si="6"/>
        <v>#N/A</v>
      </c>
      <c r="BM25" s="311" t="e">
        <f t="shared" si="7"/>
        <v>#N/A</v>
      </c>
      <c r="BN25" s="99">
        <v>6</v>
      </c>
      <c r="BO25" s="183">
        <v>0.5</v>
      </c>
    </row>
    <row r="26" spans="2:67" s="105" customFormat="1" ht="18" customHeight="1" x14ac:dyDescent="0.2">
      <c r="C26" s="610"/>
      <c r="D26" s="562"/>
      <c r="E26" s="595"/>
      <c r="F26" s="723" t="e">
        <f t="shared" si="8"/>
        <v>#N/A</v>
      </c>
      <c r="G26" s="611"/>
      <c r="H26" s="725">
        <f t="shared" si="9"/>
        <v>0</v>
      </c>
      <c r="I26" s="563"/>
      <c r="J26" s="364">
        <f t="shared" si="0"/>
        <v>0</v>
      </c>
      <c r="K26" s="703">
        <f t="shared" si="10"/>
        <v>0</v>
      </c>
      <c r="L26" s="364">
        <f t="shared" si="1"/>
        <v>0</v>
      </c>
      <c r="M26" s="364">
        <f t="shared" si="2"/>
        <v>0</v>
      </c>
      <c r="N26" s="595"/>
      <c r="O26" s="364">
        <f t="shared" si="11"/>
        <v>0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397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427</v>
      </c>
      <c r="AW26" s="296"/>
      <c r="AY26" s="99">
        <f t="shared" si="12"/>
        <v>0</v>
      </c>
      <c r="AZ26" s="302">
        <v>1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 t="e">
        <f t="shared" si="3"/>
        <v>#N/A</v>
      </c>
      <c r="BJ26" s="310" t="e">
        <f t="shared" si="4"/>
        <v>#N/A</v>
      </c>
      <c r="BK26" s="310" t="e">
        <f t="shared" si="5"/>
        <v>#N/A</v>
      </c>
      <c r="BL26" s="310" t="e">
        <f t="shared" si="6"/>
        <v>#N/A</v>
      </c>
      <c r="BM26" s="311" t="e">
        <f t="shared" si="7"/>
        <v>#N/A</v>
      </c>
      <c r="BN26" s="99">
        <v>7</v>
      </c>
      <c r="BO26" s="183">
        <v>0.49</v>
      </c>
    </row>
    <row r="27" spans="2:67" s="105" customFormat="1" ht="18" customHeight="1" x14ac:dyDescent="0.2">
      <c r="C27" s="610"/>
      <c r="D27" s="562"/>
      <c r="E27" s="595"/>
      <c r="F27" s="723" t="e">
        <f t="shared" si="8"/>
        <v>#N/A</v>
      </c>
      <c r="G27" s="611"/>
      <c r="H27" s="725">
        <f t="shared" si="9"/>
        <v>0</v>
      </c>
      <c r="I27" s="563"/>
      <c r="J27" s="364">
        <f t="shared" si="0"/>
        <v>0</v>
      </c>
      <c r="K27" s="703">
        <f t="shared" si="10"/>
        <v>0</v>
      </c>
      <c r="L27" s="364">
        <f t="shared" si="1"/>
        <v>0</v>
      </c>
      <c r="M27" s="364">
        <f t="shared" si="2"/>
        <v>0</v>
      </c>
      <c r="N27" s="595"/>
      <c r="O27" s="364">
        <f t="shared" si="11"/>
        <v>0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400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428</v>
      </c>
      <c r="AW27" s="296">
        <f>IF(AW22=1,2,IF(AW22=2,3))</f>
        <v>2</v>
      </c>
      <c r="AY27" s="99">
        <f t="shared" si="12"/>
        <v>0</v>
      </c>
      <c r="AZ27" s="302">
        <v>1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 t="e">
        <f t="shared" si="3"/>
        <v>#N/A</v>
      </c>
      <c r="BJ27" s="310" t="e">
        <f t="shared" si="4"/>
        <v>#N/A</v>
      </c>
      <c r="BK27" s="310" t="e">
        <f t="shared" si="5"/>
        <v>#N/A</v>
      </c>
      <c r="BL27" s="310" t="e">
        <f t="shared" si="6"/>
        <v>#N/A</v>
      </c>
      <c r="BM27" s="311" t="e">
        <f t="shared" si="7"/>
        <v>#N/A</v>
      </c>
      <c r="BN27" s="99">
        <v>8</v>
      </c>
      <c r="BO27" s="183">
        <v>0.48</v>
      </c>
    </row>
    <row r="28" spans="2:67" s="105" customFormat="1" ht="18" customHeight="1" x14ac:dyDescent="0.2">
      <c r="C28" s="610"/>
      <c r="D28" s="562"/>
      <c r="E28" s="595"/>
      <c r="F28" s="723">
        <f t="shared" si="8"/>
        <v>0</v>
      </c>
      <c r="G28" s="611"/>
      <c r="H28" s="725">
        <f t="shared" si="9"/>
        <v>0</v>
      </c>
      <c r="I28" s="563"/>
      <c r="J28" s="364">
        <f t="shared" si="0"/>
        <v>0</v>
      </c>
      <c r="K28" s="703">
        <f t="shared" si="10"/>
        <v>0</v>
      </c>
      <c r="L28" s="364">
        <f t="shared" si="1"/>
        <v>0</v>
      </c>
      <c r="M28" s="364">
        <f t="shared" si="2"/>
        <v>0</v>
      </c>
      <c r="N28" s="595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402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>
        <f t="shared" si="12"/>
        <v>0</v>
      </c>
      <c r="AZ28" s="302">
        <v>1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">
      <c r="C29" s="610"/>
      <c r="D29" s="562"/>
      <c r="E29" s="595"/>
      <c r="F29" s="723">
        <f t="shared" si="8"/>
        <v>0</v>
      </c>
      <c r="G29" s="611"/>
      <c r="H29" s="725">
        <f t="shared" si="9"/>
        <v>0</v>
      </c>
      <c r="I29" s="563"/>
      <c r="J29" s="364">
        <f t="shared" si="0"/>
        <v>0</v>
      </c>
      <c r="K29" s="703">
        <f t="shared" si="10"/>
        <v>0</v>
      </c>
      <c r="L29" s="364">
        <f t="shared" si="1"/>
        <v>0</v>
      </c>
      <c r="M29" s="364">
        <f t="shared" si="2"/>
        <v>0</v>
      </c>
      <c r="N29" s="595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404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">
      <c r="C30" s="610"/>
      <c r="D30" s="562"/>
      <c r="E30" s="595"/>
      <c r="F30" s="723">
        <f t="shared" si="8"/>
        <v>0</v>
      </c>
      <c r="G30" s="611"/>
      <c r="H30" s="725">
        <f t="shared" si="9"/>
        <v>0</v>
      </c>
      <c r="I30" s="563"/>
      <c r="J30" s="364">
        <f t="shared" si="0"/>
        <v>0</v>
      </c>
      <c r="K30" s="703">
        <f t="shared" si="10"/>
        <v>0</v>
      </c>
      <c r="L30" s="364">
        <f t="shared" si="1"/>
        <v>0</v>
      </c>
      <c r="M30" s="364">
        <f t="shared" si="2"/>
        <v>0</v>
      </c>
      <c r="N30" s="595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656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">
      <c r="C31" s="610"/>
      <c r="D31" s="562"/>
      <c r="E31" s="595"/>
      <c r="F31" s="723">
        <f t="shared" si="8"/>
        <v>0</v>
      </c>
      <c r="G31" s="611"/>
      <c r="H31" s="725">
        <f t="shared" si="9"/>
        <v>0</v>
      </c>
      <c r="I31" s="563"/>
      <c r="J31" s="364">
        <f t="shared" si="0"/>
        <v>0</v>
      </c>
      <c r="K31" s="703">
        <f t="shared" si="10"/>
        <v>0</v>
      </c>
      <c r="L31" s="364">
        <f t="shared" si="1"/>
        <v>0</v>
      </c>
      <c r="M31" s="364">
        <f t="shared" si="2"/>
        <v>0</v>
      </c>
      <c r="N31" s="595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">
      <c r="C32" s="610"/>
      <c r="D32" s="562"/>
      <c r="E32" s="595"/>
      <c r="F32" s="723">
        <f t="shared" si="8"/>
        <v>0</v>
      </c>
      <c r="G32" s="611"/>
      <c r="H32" s="725">
        <f t="shared" si="9"/>
        <v>0</v>
      </c>
      <c r="I32" s="563"/>
      <c r="J32" s="364">
        <f t="shared" si="0"/>
        <v>0</v>
      </c>
      <c r="K32" s="703">
        <f t="shared" si="10"/>
        <v>0</v>
      </c>
      <c r="L32" s="364">
        <f t="shared" si="1"/>
        <v>0</v>
      </c>
      <c r="M32" s="364">
        <f t="shared" si="2"/>
        <v>0</v>
      </c>
      <c r="N32" s="595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">
      <c r="C33" s="610"/>
      <c r="D33" s="562"/>
      <c r="E33" s="595"/>
      <c r="F33" s="723">
        <f t="shared" si="8"/>
        <v>0</v>
      </c>
      <c r="G33" s="611"/>
      <c r="H33" s="725">
        <f t="shared" si="9"/>
        <v>0</v>
      </c>
      <c r="I33" s="563"/>
      <c r="J33" s="364">
        <f t="shared" si="0"/>
        <v>0</v>
      </c>
      <c r="K33" s="703">
        <f t="shared" si="10"/>
        <v>0</v>
      </c>
      <c r="L33" s="364">
        <f t="shared" si="1"/>
        <v>0</v>
      </c>
      <c r="M33" s="364">
        <f t="shared" si="2"/>
        <v>0</v>
      </c>
      <c r="N33" s="595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">
      <c r="C34" s="610"/>
      <c r="D34" s="562"/>
      <c r="E34" s="595"/>
      <c r="F34" s="723">
        <f t="shared" si="8"/>
        <v>0</v>
      </c>
      <c r="G34" s="611"/>
      <c r="H34" s="725">
        <f t="shared" si="9"/>
        <v>0</v>
      </c>
      <c r="I34" s="563"/>
      <c r="J34" s="364">
        <f t="shared" si="0"/>
        <v>0</v>
      </c>
      <c r="K34" s="703">
        <f t="shared" si="10"/>
        <v>0</v>
      </c>
      <c r="L34" s="364">
        <f t="shared" si="1"/>
        <v>0</v>
      </c>
      <c r="M34" s="364">
        <f t="shared" si="2"/>
        <v>0</v>
      </c>
      <c r="N34" s="595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">
      <c r="C35" s="610"/>
      <c r="D35" s="562"/>
      <c r="E35" s="595"/>
      <c r="F35" s="723">
        <f t="shared" si="8"/>
        <v>0</v>
      </c>
      <c r="G35" s="611"/>
      <c r="H35" s="725">
        <f t="shared" si="9"/>
        <v>0</v>
      </c>
      <c r="I35" s="563"/>
      <c r="J35" s="364">
        <f t="shared" si="0"/>
        <v>0</v>
      </c>
      <c r="K35" s="703">
        <f t="shared" si="10"/>
        <v>0</v>
      </c>
      <c r="L35" s="364">
        <f t="shared" si="1"/>
        <v>0</v>
      </c>
      <c r="M35" s="364">
        <f t="shared" si="2"/>
        <v>0</v>
      </c>
      <c r="N35" s="595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">
      <c r="C36" s="612"/>
      <c r="D36" s="571"/>
      <c r="E36" s="613"/>
      <c r="F36" s="724">
        <f t="shared" si="8"/>
        <v>0</v>
      </c>
      <c r="G36" s="614"/>
      <c r="H36" s="726">
        <f t="shared" si="9"/>
        <v>0</v>
      </c>
      <c r="I36" s="572"/>
      <c r="J36" s="709">
        <f t="shared" si="0"/>
        <v>0</v>
      </c>
      <c r="K36" s="710">
        <f t="shared" si="10"/>
        <v>0</v>
      </c>
      <c r="L36" s="709">
        <f t="shared" si="1"/>
        <v>0</v>
      </c>
      <c r="M36" s="709">
        <f t="shared" si="2"/>
        <v>0</v>
      </c>
      <c r="N36" s="613"/>
      <c r="O36" s="709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376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">
      <c r="AO37" s="119" t="s">
        <v>380</v>
      </c>
      <c r="AP37" s="175" t="s">
        <v>381</v>
      </c>
      <c r="AQ37" s="120" t="s">
        <v>382</v>
      </c>
      <c r="AR37" s="176" t="s">
        <v>383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">
      <c r="C38" s="441" t="s">
        <v>650</v>
      </c>
      <c r="D38" s="585"/>
      <c r="E38" s="585"/>
      <c r="F38" s="585"/>
      <c r="G38" s="615"/>
      <c r="H38" s="616"/>
      <c r="AO38" s="179" t="s">
        <v>385</v>
      </c>
      <c r="AP38" s="21"/>
      <c r="AQ38" s="16"/>
      <c r="AR38" s="180"/>
      <c r="AT38" s="174" t="s">
        <v>386</v>
      </c>
      <c r="AU38" s="255"/>
      <c r="AV38" s="120" t="s">
        <v>498</v>
      </c>
      <c r="AY38" s="3"/>
      <c r="AZ38" s="3"/>
      <c r="BA38" s="300">
        <v>1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387</v>
      </c>
      <c r="AU39" s="175" t="s">
        <v>388</v>
      </c>
      <c r="AV39" s="156" t="s">
        <v>383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25">
      <c r="C40" s="319" t="s">
        <v>584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">
      <c r="C41" s="441" t="s">
        <v>552</v>
      </c>
      <c r="D41" s="441"/>
      <c r="E41" s="441"/>
      <c r="F41" s="441"/>
      <c r="G41" s="536" t="s">
        <v>12</v>
      </c>
      <c r="H41" s="592"/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">
      <c r="C42" s="97"/>
      <c r="D42" s="97"/>
      <c r="E42" s="97"/>
      <c r="F42" s="97"/>
      <c r="G42" s="35"/>
      <c r="H42" s="553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">
      <c r="C43" s="556"/>
      <c r="D43" s="565" t="s">
        <v>438</v>
      </c>
      <c r="E43" s="565" t="s">
        <v>380</v>
      </c>
      <c r="F43" s="565" t="s">
        <v>434</v>
      </c>
      <c r="G43" s="565" t="s">
        <v>581</v>
      </c>
      <c r="H43" s="565" t="s">
        <v>477</v>
      </c>
      <c r="I43" s="565" t="s">
        <v>440</v>
      </c>
      <c r="J43" s="565" t="s">
        <v>550</v>
      </c>
      <c r="K43" s="565" t="s">
        <v>442</v>
      </c>
      <c r="L43" s="787" t="s">
        <v>443</v>
      </c>
      <c r="M43" s="787"/>
      <c r="N43" s="787"/>
      <c r="O43" s="787"/>
      <c r="P43" s="787"/>
      <c r="Q43" s="787"/>
      <c r="R43" s="787"/>
      <c r="S43" s="787"/>
      <c r="T43" s="787"/>
      <c r="U43" s="787"/>
      <c r="V43" s="787"/>
      <c r="W43" s="565" t="s">
        <v>446</v>
      </c>
      <c r="X43" s="565" t="s">
        <v>447</v>
      </c>
      <c r="Y43" s="565" t="s">
        <v>611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25">
      <c r="C44" s="558" t="s">
        <v>390</v>
      </c>
      <c r="D44" s="558" t="s">
        <v>437</v>
      </c>
      <c r="E44" s="567" t="s">
        <v>589</v>
      </c>
      <c r="F44" s="567" t="s">
        <v>589</v>
      </c>
      <c r="G44" s="558" t="s">
        <v>582</v>
      </c>
      <c r="H44" s="567" t="s">
        <v>606</v>
      </c>
      <c r="I44" s="567" t="s">
        <v>570</v>
      </c>
      <c r="J44" s="567" t="s">
        <v>551</v>
      </c>
      <c r="K44" s="567" t="s">
        <v>441</v>
      </c>
      <c r="L44" s="568"/>
      <c r="M44" s="617" t="s">
        <v>444</v>
      </c>
      <c r="N44" s="568"/>
      <c r="O44" s="568"/>
      <c r="P44" s="618" t="s">
        <v>444</v>
      </c>
      <c r="Q44" s="568"/>
      <c r="R44" s="569" t="s">
        <v>444</v>
      </c>
      <c r="S44" s="568"/>
      <c r="T44" s="569" t="s">
        <v>444</v>
      </c>
      <c r="U44" s="568"/>
      <c r="V44" s="569" t="s">
        <v>444</v>
      </c>
      <c r="W44" s="567" t="s">
        <v>445</v>
      </c>
      <c r="X44" s="567" t="s">
        <v>448</v>
      </c>
      <c r="Y44" s="567" t="s">
        <v>610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">
      <c r="C45" s="730" t="s">
        <v>545</v>
      </c>
      <c r="D45" s="731" t="e">
        <f>IF((0.354*((H38+(J45*K45))/(1.16*H41))/F45^2)&lt;0.5, CEILING((0.51*F45^2)/0.354,10),(H38+(J45*K45))/(1.16*H41))</f>
        <v>#DIV/0!</v>
      </c>
      <c r="E45" s="619"/>
      <c r="F45" s="727">
        <f>IF(AO58=1,0,INDEX(AO50:AO57,$AO58,1)-2*INDEX(AR50:AR57,$AO58,1))</f>
        <v>0</v>
      </c>
      <c r="G45" s="728" t="e">
        <f>IF(AV50=1,0,0.354*D45/(F45^2))</f>
        <v>#DIV/0!</v>
      </c>
      <c r="H45" s="729" t="e">
        <f>IF(AV50=1,0,378*(D45^1.75)/(F45^4.75))</f>
        <v>#DIV/0!</v>
      </c>
      <c r="I45" s="727">
        <f>IF(AO58=1,0,INDEX(AS50:AS57,AO58,1))</f>
        <v>0</v>
      </c>
      <c r="J45" s="727">
        <f>IF(AO58=1,0,INDEX($AP$50:$AP$57,AO58,1))</f>
        <v>0</v>
      </c>
      <c r="K45" s="621"/>
      <c r="L45" s="732"/>
      <c r="M45" s="733"/>
      <c r="N45" s="732"/>
      <c r="O45" s="732"/>
      <c r="P45" s="734"/>
      <c r="Q45" s="732"/>
      <c r="R45" s="621"/>
      <c r="S45" s="732"/>
      <c r="T45" s="621"/>
      <c r="U45" s="732"/>
      <c r="V45" s="621"/>
      <c r="W45" s="727">
        <f>IF(AO58=1,0,INDEX(AP22:AU30,BA38,AO58-1)*M45+INDEX(AP22:AU30,BB38,AO58-1)*P45+INDEX(AP22:AU30,BC38,AO58-1)*R45+INDEX(AP22:AU30,BD38,AO58-1)*T45+INDEX(AP22:AU30,BE38,AO58-1)*V45)</f>
        <v>0</v>
      </c>
      <c r="X45" s="727">
        <f>K45+W45</f>
        <v>0</v>
      </c>
      <c r="Y45" s="729" t="e">
        <f>H45*X45</f>
        <v>#DIV/0!</v>
      </c>
      <c r="BN45" s="100">
        <v>1000</v>
      </c>
      <c r="BO45" s="188">
        <v>0.25</v>
      </c>
    </row>
    <row r="46" spans="2:67" ht="15.75" customHeight="1" x14ac:dyDescent="0.2">
      <c r="G46" s="490" t="s">
        <v>583</v>
      </c>
      <c r="H46" s="620"/>
      <c r="I46" s="620"/>
      <c r="J46" s="620"/>
      <c r="K46" s="620"/>
      <c r="AL46" s="198"/>
      <c r="AM46" s="198"/>
      <c r="AN46" s="198"/>
      <c r="AO46" s="278" t="s">
        <v>546</v>
      </c>
      <c r="AP46" s="206"/>
      <c r="AQ46" s="207"/>
    </row>
    <row r="47" spans="2:67" ht="17.25" customHeight="1" x14ac:dyDescent="0.2">
      <c r="C47" s="481" t="s">
        <v>685</v>
      </c>
      <c r="D47" s="622"/>
      <c r="E47" s="622"/>
      <c r="F47" s="622"/>
      <c r="G47" s="623"/>
      <c r="H47" s="624">
        <f>J45*K45</f>
        <v>0</v>
      </c>
      <c r="AL47" s="198"/>
      <c r="AM47" s="198"/>
      <c r="AN47" s="198"/>
      <c r="AO47" s="359"/>
      <c r="AP47" s="360"/>
      <c r="AQ47" s="361"/>
    </row>
    <row r="48" spans="2:67" ht="15.75" customHeight="1" x14ac:dyDescent="0.2">
      <c r="B48" s="6"/>
      <c r="C48" s="292" t="s">
        <v>600</v>
      </c>
      <c r="D48" s="294"/>
      <c r="E48" s="294"/>
      <c r="F48" s="294"/>
      <c r="G48" s="290"/>
      <c r="H48" s="600">
        <f>H38+H47</f>
        <v>0</v>
      </c>
      <c r="I48" s="33"/>
      <c r="AL48" s="101"/>
      <c r="AM48" s="3"/>
      <c r="AN48" s="3"/>
      <c r="AO48" s="177"/>
      <c r="AP48" s="184" t="s">
        <v>547</v>
      </c>
      <c r="AQ48" s="185" t="s">
        <v>549</v>
      </c>
    </row>
    <row r="49" spans="1:56" ht="15.75" customHeight="1" x14ac:dyDescent="0.2">
      <c r="C49" s="436" t="s">
        <v>556</v>
      </c>
      <c r="D49" s="438"/>
      <c r="E49" s="438"/>
      <c r="F49" s="438"/>
      <c r="G49" s="448" t="s">
        <v>605</v>
      </c>
      <c r="H49" s="625" t="e">
        <f>Y45/1000</f>
        <v>#DIV/0!</v>
      </c>
      <c r="AO49" s="181" t="s">
        <v>380</v>
      </c>
      <c r="AP49" s="187" t="s">
        <v>548</v>
      </c>
      <c r="AQ49" s="188" t="s">
        <v>548</v>
      </c>
      <c r="AR49" s="169" t="s">
        <v>553</v>
      </c>
      <c r="AS49" s="120" t="s">
        <v>554</v>
      </c>
    </row>
    <row r="50" spans="1:56" x14ac:dyDescent="0.2">
      <c r="C50" s="294"/>
      <c r="D50" s="294"/>
      <c r="E50" s="294"/>
      <c r="F50" s="294"/>
      <c r="G50" s="294"/>
      <c r="AO50" s="279" t="s">
        <v>385</v>
      </c>
      <c r="AP50" s="3">
        <v>6</v>
      </c>
      <c r="AQ50" s="183">
        <v>7.6</v>
      </c>
      <c r="AR50" s="180"/>
      <c r="AS50" s="16"/>
    </row>
    <row r="51" spans="1:56" ht="15.75" customHeight="1" x14ac:dyDescent="0.25">
      <c r="C51" s="580" t="s">
        <v>557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">
      <c r="C52" s="292" t="s">
        <v>580</v>
      </c>
      <c r="D52" s="294"/>
      <c r="E52" s="294"/>
      <c r="F52" s="294"/>
      <c r="G52" s="290" t="s">
        <v>578</v>
      </c>
      <c r="H52" s="579"/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75" x14ac:dyDescent="0.25">
      <c r="C53" s="292" t="s">
        <v>438</v>
      </c>
      <c r="D53" s="294"/>
      <c r="E53" s="294"/>
      <c r="F53" s="294"/>
      <c r="G53" s="290" t="s">
        <v>414</v>
      </c>
      <c r="H53" s="608" t="e">
        <f>D45*H52</f>
        <v>#DIV/0!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5" thickBot="1" x14ac:dyDescent="0.3">
      <c r="C54" s="428" t="s">
        <v>472</v>
      </c>
      <c r="D54" s="427"/>
      <c r="E54" s="427"/>
      <c r="F54" s="427"/>
      <c r="G54" s="558" t="s">
        <v>605</v>
      </c>
      <c r="H54" s="626" t="e">
        <f>H49</f>
        <v>#DIV/0!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">
      <c r="AN58" t="s">
        <v>555</v>
      </c>
      <c r="AO58" s="297">
        <v>1</v>
      </c>
    </row>
    <row r="59" spans="1:56" ht="15.75" x14ac:dyDescent="0.25">
      <c r="B59" s="460" t="s">
        <v>588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">
      <c r="B60" s="197"/>
      <c r="AO60">
        <v>2</v>
      </c>
      <c r="AX60" s="792"/>
      <c r="AY60" s="792"/>
      <c r="AZ60" s="792"/>
      <c r="BA60" s="792"/>
      <c r="BB60" s="792"/>
      <c r="BC60" s="792"/>
      <c r="BD60" s="792"/>
    </row>
    <row r="61" spans="1:56" ht="15.75" x14ac:dyDescent="0.25">
      <c r="B61" s="197"/>
      <c r="C61" s="627" t="s">
        <v>590</v>
      </c>
      <c r="D61" s="565"/>
      <c r="E61" s="565"/>
      <c r="F61" s="565"/>
      <c r="G61" s="565" t="s">
        <v>558</v>
      </c>
      <c r="H61" s="632"/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75" x14ac:dyDescent="0.2">
      <c r="A62" s="5"/>
      <c r="B62" s="197"/>
      <c r="C62" s="628" t="s">
        <v>559</v>
      </c>
      <c r="D62" s="629"/>
      <c r="E62" s="629"/>
      <c r="F62" s="629"/>
      <c r="G62" s="630" t="s">
        <v>560</v>
      </c>
      <c r="H62" s="631">
        <f>H61*25/14.3</f>
        <v>0</v>
      </c>
      <c r="I62" s="197"/>
      <c r="J62" s="351" t="s">
        <v>561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25">
      <c r="B64" s="798"/>
      <c r="C64" s="798"/>
      <c r="D64" s="798"/>
      <c r="E64" s="798"/>
      <c r="F64" s="798"/>
      <c r="G64" s="798"/>
      <c r="H64" s="798"/>
      <c r="I64" s="798"/>
      <c r="J64" s="798"/>
      <c r="K64" s="798"/>
      <c r="L64" s="798"/>
      <c r="M64" s="798"/>
      <c r="N64" s="798"/>
      <c r="O64" s="798"/>
      <c r="P64" s="798"/>
      <c r="Q64" s="798"/>
      <c r="R64" s="798"/>
      <c r="S64" s="798"/>
      <c r="T64" s="798"/>
      <c r="U64" s="798"/>
      <c r="V64" s="798"/>
      <c r="W64" s="798"/>
      <c r="X64" s="798"/>
      <c r="Y64" s="798"/>
      <c r="AY64" s="3"/>
      <c r="AZ64" s="3"/>
      <c r="BA64" s="282"/>
    </row>
    <row r="65" spans="2:54" ht="15.75" customHeight="1" thickTop="1" x14ac:dyDescent="0.2">
      <c r="B65" s="546" t="s">
        <v>722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">
      <c r="J91" s="3"/>
      <c r="K91" s="3"/>
      <c r="AY91" s="3"/>
      <c r="BA91" s="3"/>
      <c r="BB91" s="3"/>
    </row>
    <row r="92" spans="10:54" x14ac:dyDescent="0.2">
      <c r="P92" s="246"/>
      <c r="Q92" s="213"/>
      <c r="R92" s="246"/>
      <c r="S92" s="213"/>
      <c r="T92" s="246"/>
      <c r="U92" s="213"/>
      <c r="V92" s="213"/>
      <c r="W92" s="213"/>
      <c r="X92" s="213"/>
      <c r="AP92" s="794"/>
      <c r="AQ92" s="794"/>
      <c r="AR92" s="794"/>
      <c r="AS92" s="794"/>
      <c r="AT92" s="794"/>
      <c r="AU92" s="794"/>
    </row>
    <row r="93" spans="10:54" ht="18" customHeight="1" x14ac:dyDescent="0.2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">
      <c r="B97" s="197"/>
      <c r="W97" s="198"/>
      <c r="X97" s="217"/>
      <c r="AQ97" s="108"/>
      <c r="AR97" s="108"/>
      <c r="AS97" s="108"/>
      <c r="AT97" s="108"/>
      <c r="AU97" s="108"/>
    </row>
  </sheetData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1695450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676275</xdr:colOff>
                    <xdr:row>5</xdr:row>
                    <xdr:rowOff>47625</xdr:rowOff>
                  </from>
                  <to>
                    <xdr:col>8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28575</xdr:rowOff>
                  </from>
                  <to>
                    <xdr:col>4</xdr:col>
                    <xdr:colOff>781050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47625</xdr:colOff>
                    <xdr:row>44</xdr:row>
                    <xdr:rowOff>0</xdr:rowOff>
                  </from>
                  <to>
                    <xdr:col>12</xdr:col>
                    <xdr:colOff>238125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161925</xdr:colOff>
                    <xdr:row>44</xdr:row>
                    <xdr:rowOff>0</xdr:rowOff>
                  </from>
                  <to>
                    <xdr:col>14</xdr:col>
                    <xdr:colOff>390525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666750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666750</xdr:colOff>
                    <xdr:row>44</xdr:row>
                    <xdr:rowOff>0</xdr:rowOff>
                  </from>
                  <to>
                    <xdr:col>21</xdr:col>
                    <xdr:colOff>57150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323850</xdr:rowOff>
                  </from>
                  <to>
                    <xdr:col>3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21</xdr:row>
                    <xdr:rowOff>209550</xdr:rowOff>
                  </from>
                  <to>
                    <xdr:col>3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209550</xdr:rowOff>
                  </from>
                  <to>
                    <xdr:col>3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209550</xdr:rowOff>
                  </from>
                  <to>
                    <xdr:col>3</xdr:col>
                    <xdr:colOff>742950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323850</xdr:rowOff>
                  </from>
                  <to>
                    <xdr:col>3</xdr:col>
                    <xdr:colOff>742950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219075</xdr:rowOff>
                  </from>
                  <to>
                    <xdr:col>3</xdr:col>
                    <xdr:colOff>742950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323850</xdr:rowOff>
                  </from>
                  <to>
                    <xdr:col>3</xdr:col>
                    <xdr:colOff>742950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209550</xdr:rowOff>
                  </from>
                  <to>
                    <xdr:col>3</xdr:col>
                    <xdr:colOff>742950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209550</xdr:rowOff>
                  </from>
                  <to>
                    <xdr:col>3</xdr:col>
                    <xdr:colOff>742950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219075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209550</xdr:rowOff>
                  </from>
                  <to>
                    <xdr:col>3</xdr:col>
                    <xdr:colOff>742950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200025</xdr:rowOff>
                  </from>
                  <to>
                    <xdr:col>3</xdr:col>
                    <xdr:colOff>742950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104775</xdr:colOff>
                    <xdr:row>36</xdr:row>
                    <xdr:rowOff>123825</xdr:rowOff>
                  </from>
                  <to>
                    <xdr:col>11</xdr:col>
                    <xdr:colOff>219075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2" max="32" width="0" hidden="1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5" width="0" hidden="1" customWidth="1"/>
  </cols>
  <sheetData>
    <row r="1" spans="1:25" ht="20.25" x14ac:dyDescent="0.3">
      <c r="B1" s="793" t="s">
        <v>727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10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633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1100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/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/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 t="s">
        <v>396</v>
      </c>
      <c r="D24" s="562"/>
      <c r="E24" s="595">
        <v>200</v>
      </c>
      <c r="F24" s="563"/>
      <c r="G24" s="364">
        <f t="shared" ref="G24:G39" si="0">IF(AU25=1,0,INDEX($AJ$42:$AJ$49,$AU25,1)-2*INDEX($AK$42:$AK$49,$AU25,1))</f>
        <v>16</v>
      </c>
      <c r="H24" s="703">
        <f t="shared" ref="H24:H39" si="1">IF(AU25=1,0,0.354*E24/(G24^2))</f>
        <v>0.27656249999999999</v>
      </c>
      <c r="I24" s="704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5">
        <v>60</v>
      </c>
      <c r="L24" s="563"/>
      <c r="M24" s="595">
        <v>20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4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/>
      <c r="D30" s="563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639"/>
      <c r="R39" s="641"/>
      <c r="S39" s="639"/>
      <c r="T39" s="641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5">
        <f t="shared" si="5"/>
        <v>0</v>
      </c>
      <c r="X39" s="707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">
      <c r="J40" s="408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f>SUM(X24:X39)/1000</f>
        <v>0.66894474606404619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0.8</v>
      </c>
      <c r="J45" s="408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08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481" t="s">
        <v>452</v>
      </c>
      <c r="D47" s="556"/>
      <c r="E47" s="556"/>
      <c r="F47" s="556"/>
      <c r="G47" s="565"/>
      <c r="H47" s="698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407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407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1100</v>
      </c>
      <c r="J52" s="407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5.4989447460640459</v>
      </c>
      <c r="J53" s="407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407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407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/>
      <c r="E59" s="213">
        <v>13</v>
      </c>
      <c r="F59" s="699">
        <f t="shared" ref="F59:F65" si="8">(PI()*E59^2)/(4*1000)</f>
        <v>0.13273228961416877</v>
      </c>
      <c r="G59" s="700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60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/>
      <c r="E61" s="293">
        <v>20</v>
      </c>
      <c r="F61" s="699">
        <f t="shared" si="8"/>
        <v>0.31415926535897931</v>
      </c>
      <c r="G61" s="700" t="str">
        <f t="shared" si="9"/>
        <v/>
      </c>
      <c r="J61" s="408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/>
      <c r="E62" s="293">
        <v>26</v>
      </c>
      <c r="F62" s="699">
        <f t="shared" si="8"/>
        <v>0.5309291584566751</v>
      </c>
      <c r="G62" s="700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/>
      <c r="E63" s="293">
        <v>33</v>
      </c>
      <c r="F63" s="699">
        <f t="shared" si="8"/>
        <v>0.85529859993982116</v>
      </c>
      <c r="G63" s="700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7.25" customHeight="1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08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294"/>
      <c r="D69" s="294"/>
      <c r="E69" s="294"/>
      <c r="F69" s="294"/>
      <c r="G69" s="290" t="s">
        <v>373</v>
      </c>
      <c r="H69" s="315">
        <f>$H$68*$H$5</f>
        <v>13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35">
      <c r="B71" s="197"/>
      <c r="C71" s="436" t="s">
        <v>695</v>
      </c>
      <c r="D71" s="438"/>
      <c r="E71" s="438"/>
      <c r="F71" s="438"/>
      <c r="G71" s="448" t="s">
        <v>373</v>
      </c>
      <c r="H71" s="686">
        <v>5</v>
      </c>
      <c r="J71" s="408" t="s">
        <v>667</v>
      </c>
    </row>
    <row r="72" spans="1:50" ht="14.25" customHeight="1" x14ac:dyDescent="0.2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35">
      <c r="B73" s="197"/>
      <c r="C73" s="292" t="s">
        <v>661</v>
      </c>
      <c r="D73" s="294"/>
      <c r="E73" s="294"/>
      <c r="F73" s="294"/>
      <c r="G73" s="294"/>
      <c r="J73" s="408"/>
    </row>
    <row r="74" spans="1:50" ht="15" x14ac:dyDescent="0.2">
      <c r="B74" s="197"/>
      <c r="C74" s="292" t="s">
        <v>564</v>
      </c>
      <c r="D74" s="294"/>
      <c r="E74" s="294"/>
      <c r="F74" s="294"/>
      <c r="G74" s="290" t="s">
        <v>373</v>
      </c>
      <c r="H74" s="637">
        <f>$H$69+$G$66+H71</f>
        <v>30.063715789784808</v>
      </c>
      <c r="J74" s="408"/>
    </row>
    <row r="75" spans="1:50" x14ac:dyDescent="0.2">
      <c r="B75" s="196"/>
      <c r="C75" s="294"/>
      <c r="D75" s="294"/>
      <c r="E75" s="294"/>
      <c r="F75" s="294"/>
      <c r="G75" s="294"/>
      <c r="J75" s="408"/>
    </row>
    <row r="76" spans="1:50" ht="15" x14ac:dyDescent="0.2">
      <c r="C76" s="292" t="s">
        <v>526</v>
      </c>
      <c r="D76" s="294"/>
      <c r="E76" s="294"/>
      <c r="F76" s="294"/>
      <c r="G76" s="290" t="s">
        <v>469</v>
      </c>
      <c r="H76" s="523">
        <v>1.9</v>
      </c>
      <c r="J76" s="408" t="s">
        <v>684</v>
      </c>
    </row>
    <row r="77" spans="1:50" ht="15" x14ac:dyDescent="0.2">
      <c r="C77" s="292" t="s">
        <v>527</v>
      </c>
      <c r="D77" s="294"/>
      <c r="E77" s="294"/>
      <c r="F77" s="294"/>
      <c r="G77" s="290" t="s">
        <v>469</v>
      </c>
      <c r="H77" s="523">
        <v>4</v>
      </c>
      <c r="J77" s="408" t="s">
        <v>470</v>
      </c>
      <c r="K77" s="110"/>
      <c r="L77" s="217"/>
      <c r="M77" s="5"/>
    </row>
    <row r="78" spans="1:50" ht="15" x14ac:dyDescent="0.2">
      <c r="C78" s="292" t="s">
        <v>525</v>
      </c>
      <c r="D78" s="294"/>
      <c r="E78" s="294"/>
      <c r="F78" s="294"/>
      <c r="G78" s="290"/>
      <c r="H78" s="637">
        <f>H77/(H77-H76)</f>
        <v>1.9047619047619047</v>
      </c>
      <c r="J78" s="408"/>
      <c r="K78" s="110"/>
      <c r="L78" s="217"/>
      <c r="M78" s="5"/>
    </row>
    <row r="79" spans="1:50" ht="16.5" thickBot="1" x14ac:dyDescent="0.3">
      <c r="C79" s="428" t="s">
        <v>471</v>
      </c>
      <c r="D79" s="427"/>
      <c r="E79" s="427"/>
      <c r="F79" s="427"/>
      <c r="G79" s="558" t="s">
        <v>373</v>
      </c>
      <c r="H79" s="659">
        <f>$H$74*($H$77/($H$77-$H$76))*INDEX(AK52:AK53,AR35,1)</f>
        <v>4.5811376441576845</v>
      </c>
      <c r="J79" s="408" t="s">
        <v>569</v>
      </c>
    </row>
    <row r="80" spans="1:50" ht="15.75" x14ac:dyDescent="0.25">
      <c r="B80" s="5"/>
      <c r="C80" s="97"/>
      <c r="G80" s="3"/>
      <c r="H80" s="554"/>
      <c r="J80" s="237"/>
      <c r="AJ80" s="246"/>
      <c r="AK80" s="213"/>
      <c r="AL80" s="246"/>
      <c r="AM80" s="213"/>
    </row>
    <row r="81" spans="1:39" ht="13.5" thickBot="1" x14ac:dyDescent="0.25">
      <c r="B81" s="422"/>
      <c r="C81" s="422"/>
      <c r="D81" s="422"/>
      <c r="E81" s="422"/>
      <c r="F81" s="422"/>
      <c r="G81" s="422"/>
      <c r="H81" s="422"/>
      <c r="I81" s="596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">
      <c r="B82" s="546" t="s">
        <v>722</v>
      </c>
      <c r="H82" s="6"/>
      <c r="I82" s="6"/>
      <c r="AJ82" s="105"/>
      <c r="AK82" s="197"/>
      <c r="AL82" s="105"/>
      <c r="AM82" s="197"/>
    </row>
    <row r="83" spans="1:39" ht="15.75" customHeight="1" x14ac:dyDescent="0.2">
      <c r="AJ83" s="105"/>
      <c r="AK83" s="197"/>
      <c r="AL83" s="105"/>
      <c r="AM83" s="197"/>
    </row>
    <row r="84" spans="1:39" ht="15" customHeight="1" x14ac:dyDescent="0.2">
      <c r="AJ84" s="105"/>
      <c r="AK84" s="197"/>
      <c r="AL84" s="105"/>
      <c r="AM84" s="197"/>
    </row>
    <row r="85" spans="1:39" x14ac:dyDescent="0.2">
      <c r="AJ85" s="105"/>
      <c r="AK85" s="197"/>
      <c r="AL85" s="105"/>
      <c r="AM85" s="197"/>
    </row>
    <row r="86" spans="1:39" x14ac:dyDescent="0.2">
      <c r="H86" s="6"/>
      <c r="I86" s="195"/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">
      <c r="AJ92" s="105"/>
      <c r="AK92" s="197"/>
      <c r="AL92" s="105"/>
      <c r="AM92" s="197"/>
    </row>
    <row r="93" spans="1:39" x14ac:dyDescent="0.2">
      <c r="H93" s="172"/>
      <c r="I93" s="192"/>
      <c r="J93" s="5"/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J95" s="105"/>
      <c r="AK95" s="197"/>
      <c r="AL95" s="105"/>
      <c r="AM95" s="197"/>
    </row>
    <row r="96" spans="1:39" x14ac:dyDescent="0.2">
      <c r="A96" s="5"/>
      <c r="AJ96" s="286"/>
      <c r="AK96" s="287"/>
      <c r="AL96" s="286"/>
      <c r="AM96" s="287"/>
    </row>
    <row r="100" spans="3:9" x14ac:dyDescent="0.2">
      <c r="C100" s="6"/>
      <c r="D100" s="6"/>
      <c r="E100" s="7"/>
    </row>
    <row r="101" spans="3:9" x14ac:dyDescent="0.2">
      <c r="D101" s="6"/>
      <c r="G101" s="6"/>
      <c r="H101" s="192"/>
      <c r="I101" s="5"/>
    </row>
    <row r="102" spans="3:9" x14ac:dyDescent="0.2">
      <c r="D102" s="6"/>
      <c r="E102" s="7"/>
      <c r="G102" s="6"/>
      <c r="H102" s="5"/>
      <c r="I102" s="5"/>
    </row>
    <row r="104" spans="3:9" x14ac:dyDescent="0.2">
      <c r="C104" s="6"/>
      <c r="D104" s="6"/>
      <c r="E104" s="19"/>
    </row>
    <row r="105" spans="3:9" x14ac:dyDescent="0.2">
      <c r="D105" s="6"/>
      <c r="E105" s="19"/>
      <c r="G105" s="6"/>
      <c r="H105" s="192"/>
      <c r="I105" s="5"/>
    </row>
    <row r="106" spans="3:9" x14ac:dyDescent="0.2">
      <c r="D106" s="6"/>
      <c r="E106" s="7"/>
      <c r="G106" s="6"/>
      <c r="H106" s="5"/>
      <c r="I106" s="5"/>
    </row>
    <row r="115" spans="2:4" x14ac:dyDescent="0.2">
      <c r="C115" s="7"/>
    </row>
    <row r="116" spans="2:4" x14ac:dyDescent="0.2">
      <c r="B116" s="5"/>
    </row>
    <row r="118" spans="2:4" x14ac:dyDescent="0.2">
      <c r="B118" s="5"/>
    </row>
    <row r="120" spans="2:4" x14ac:dyDescent="0.2">
      <c r="C120" s="6"/>
      <c r="D120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47625</xdr:rowOff>
                  </from>
                  <to>
                    <xdr:col>8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781050</xdr:colOff>
                    <xdr:row>8</xdr:row>
                    <xdr:rowOff>47625</xdr:rowOff>
                  </from>
                  <to>
                    <xdr:col>8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2" t="s">
        <v>735</v>
      </c>
      <c r="C3" s="762"/>
      <c r="D3" s="762"/>
      <c r="E3" s="762"/>
      <c r="F3" s="762"/>
      <c r="G3" s="762"/>
      <c r="H3" s="762"/>
      <c r="I3" s="762"/>
      <c r="J3" s="762"/>
      <c r="K3" s="762"/>
      <c r="L3" s="762"/>
      <c r="M3" s="762"/>
      <c r="N3" s="762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8.8000000000000007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0.88000000000000012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">
        <v>696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">
        <v>697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">
        <v>494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2" t="s">
        <v>588</v>
      </c>
      <c r="C16" s="762"/>
      <c r="D16" s="762"/>
      <c r="E16" s="762"/>
      <c r="F16" s="762"/>
      <c r="G16" s="762"/>
      <c r="H16" s="762"/>
      <c r="I16" s="762"/>
      <c r="J16" s="762"/>
      <c r="K16" s="762"/>
      <c r="L16" s="762"/>
      <c r="M16" s="762"/>
      <c r="N16" s="762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5.75" x14ac:dyDescent="0.2">
      <c r="A19" s="5"/>
      <c r="B19" s="197"/>
      <c r="C19" s="628" t="s">
        <v>559</v>
      </c>
      <c r="D19" s="629"/>
      <c r="E19" s="629"/>
      <c r="F19" s="629"/>
      <c r="G19" s="630" t="s">
        <v>560</v>
      </c>
      <c r="H19" s="631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7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4" width="0" hidden="1" customWidth="1"/>
  </cols>
  <sheetData>
    <row r="1" spans="1:25" ht="20.25" x14ac:dyDescent="0.3">
      <c r="B1" s="424" t="s">
        <v>727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762" t="s">
        <v>728</v>
      </c>
      <c r="C3" s="762"/>
      <c r="D3" s="762"/>
      <c r="E3" s="762"/>
      <c r="F3" s="762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  <c r="U3" s="762"/>
      <c r="V3" s="762"/>
      <c r="W3" s="762"/>
      <c r="X3" s="762"/>
    </row>
    <row r="4" spans="1:25" ht="15.75" x14ac:dyDescent="0.25">
      <c r="C4" s="580" t="s">
        <v>410</v>
      </c>
      <c r="D4" s="438"/>
      <c r="E4" s="438"/>
      <c r="F4" s="438"/>
      <c r="G4" s="438"/>
      <c r="H4" s="244"/>
    </row>
    <row r="5" spans="1:25" ht="15" x14ac:dyDescent="0.2">
      <c r="C5" s="292" t="s">
        <v>411</v>
      </c>
      <c r="D5" s="294"/>
      <c r="E5" s="294"/>
      <c r="F5" s="294"/>
      <c r="G5" s="294"/>
      <c r="H5" s="315">
        <f>Principal!G63</f>
        <v>10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2.2000000000000002</v>
      </c>
    </row>
    <row r="7" spans="1:25" ht="15" x14ac:dyDescent="0.2">
      <c r="C7" s="436" t="s">
        <v>415</v>
      </c>
      <c r="D7" s="438"/>
      <c r="E7" s="438"/>
      <c r="F7" s="438"/>
      <c r="G7" s="448" t="s">
        <v>416</v>
      </c>
      <c r="H7" s="638">
        <v>50</v>
      </c>
      <c r="J7" s="348" t="s">
        <v>633</v>
      </c>
    </row>
    <row r="8" spans="1:25" ht="15.75" x14ac:dyDescent="0.25">
      <c r="C8" s="328"/>
      <c r="D8" s="294"/>
      <c r="E8" s="294"/>
      <c r="F8" s="294"/>
      <c r="G8" s="293" t="s">
        <v>414</v>
      </c>
      <c r="H8" s="391">
        <f>H5*H6*H7</f>
        <v>1100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5" t="s">
        <v>421</v>
      </c>
      <c r="AJ20" s="786"/>
      <c r="AK20" s="786"/>
      <c r="AL20" s="786"/>
      <c r="AM20" s="786"/>
      <c r="AN20" s="786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87" t="s">
        <v>443</v>
      </c>
      <c r="M22" s="787"/>
      <c r="N22" s="787"/>
      <c r="O22" s="787"/>
      <c r="P22" s="787"/>
      <c r="Q22" s="787"/>
      <c r="R22" s="787"/>
      <c r="S22" s="787"/>
      <c r="T22" s="787"/>
      <c r="U22" s="787"/>
      <c r="V22" s="565" t="s">
        <v>446</v>
      </c>
      <c r="W22" s="565" t="s">
        <v>447</v>
      </c>
      <c r="X22" s="565" t="s">
        <v>611</v>
      </c>
      <c r="AI22" s="221"/>
      <c r="AJ22" s="788" t="s">
        <v>420</v>
      </c>
      <c r="AK22" s="788"/>
      <c r="AL22" s="788"/>
      <c r="AM22" s="788"/>
      <c r="AN22" s="788"/>
      <c r="AO22" s="788"/>
      <c r="AP22" s="788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0" t="s">
        <v>419</v>
      </c>
      <c r="AK23" s="790"/>
      <c r="AL23" s="790"/>
      <c r="AM23" s="790"/>
      <c r="AN23" s="790"/>
      <c r="AO23" s="790"/>
      <c r="AP23" s="790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5">
        <v>12</v>
      </c>
      <c r="L24" s="719"/>
      <c r="M24" s="595">
        <v>4</v>
      </c>
      <c r="N24" s="719"/>
      <c r="O24" s="595">
        <v>1</v>
      </c>
      <c r="P24" s="719"/>
      <c r="Q24" s="595"/>
      <c r="R24" s="719"/>
      <c r="S24" s="595"/>
      <c r="T24" s="719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4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3" t="s">
        <v>418</v>
      </c>
      <c r="AW24" s="783"/>
      <c r="AX24" s="783"/>
      <c r="AY24" s="783"/>
      <c r="AZ24" s="783"/>
      <c r="BA24" s="783"/>
      <c r="BB24" s="784"/>
      <c r="BC24" s="200" t="s">
        <v>648</v>
      </c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17.7</v>
      </c>
      <c r="L25" s="719"/>
      <c r="M25" s="595">
        <v>2</v>
      </c>
      <c r="N25" s="719"/>
      <c r="O25" s="595">
        <v>1</v>
      </c>
      <c r="P25" s="719"/>
      <c r="Q25" s="595"/>
      <c r="R25" s="719"/>
      <c r="S25" s="595"/>
      <c r="T25" s="719"/>
      <c r="U25" s="595"/>
      <c r="V25" s="364">
        <f t="shared" si="4"/>
        <v>1.5</v>
      </c>
      <c r="W25" s="364">
        <f t="shared" si="5"/>
        <v>19.2</v>
      </c>
      <c r="X25" s="704">
        <f t="shared" si="6"/>
        <v>574.5621864042547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9.1999999999999993</v>
      </c>
      <c r="L26" s="719"/>
      <c r="M26" s="595">
        <v>3</v>
      </c>
      <c r="N26" s="719"/>
      <c r="O26" s="595"/>
      <c r="P26" s="719"/>
      <c r="Q26" s="595"/>
      <c r="R26" s="719"/>
      <c r="S26" s="595"/>
      <c r="T26" s="719"/>
      <c r="U26" s="595"/>
      <c r="V26" s="364">
        <f t="shared" si="4"/>
        <v>1.35</v>
      </c>
      <c r="W26" s="364">
        <f t="shared" si="5"/>
        <v>10.549999999999999</v>
      </c>
      <c r="X26" s="704">
        <f t="shared" si="6"/>
        <v>326.37486290110672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">
      <c r="C27" s="595" t="s">
        <v>403</v>
      </c>
      <c r="D27" s="562"/>
      <c r="E27" s="595">
        <v>1400</v>
      </c>
      <c r="F27" s="563"/>
      <c r="G27" s="364">
        <f t="shared" si="0"/>
        <v>26</v>
      </c>
      <c r="H27" s="703">
        <f t="shared" si="1"/>
        <v>0.7331360946745562</v>
      </c>
      <c r="I27" s="704">
        <f t="shared" si="2"/>
        <v>29.925113875221601</v>
      </c>
      <c r="J27" s="364">
        <f t="shared" si="3"/>
        <v>30</v>
      </c>
      <c r="K27" s="595">
        <v>3.9</v>
      </c>
      <c r="L27" s="719"/>
      <c r="M27" s="595">
        <v>3</v>
      </c>
      <c r="N27" s="719"/>
      <c r="O27" s="595">
        <v>1</v>
      </c>
      <c r="P27" s="719"/>
      <c r="Q27" s="595"/>
      <c r="R27" s="719"/>
      <c r="S27" s="595"/>
      <c r="T27" s="719"/>
      <c r="U27" s="595"/>
      <c r="V27" s="364">
        <f t="shared" si="4"/>
        <v>2.0999999999999996</v>
      </c>
      <c r="W27" s="364">
        <f t="shared" si="5"/>
        <v>6</v>
      </c>
      <c r="X27" s="704">
        <f t="shared" si="6"/>
        <v>179.55068325132962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">
      <c r="C28" s="595" t="s">
        <v>405</v>
      </c>
      <c r="D28" s="562"/>
      <c r="E28" s="595">
        <v>2800</v>
      </c>
      <c r="F28" s="563"/>
      <c r="G28" s="364">
        <f t="shared" si="0"/>
        <v>33</v>
      </c>
      <c r="H28" s="703">
        <f t="shared" si="1"/>
        <v>0.91019283746556467</v>
      </c>
      <c r="I28" s="704">
        <f t="shared" si="2"/>
        <v>32.435492196492717</v>
      </c>
      <c r="J28" s="364">
        <f t="shared" si="3"/>
        <v>30</v>
      </c>
      <c r="K28" s="595">
        <v>7.2</v>
      </c>
      <c r="L28" s="719"/>
      <c r="M28" s="595">
        <v>1</v>
      </c>
      <c r="N28" s="719"/>
      <c r="O28" s="595">
        <v>1</v>
      </c>
      <c r="P28" s="719"/>
      <c r="Q28" s="595"/>
      <c r="R28" s="719"/>
      <c r="S28" s="595"/>
      <c r="T28" s="719"/>
      <c r="U28" s="595"/>
      <c r="V28" s="364">
        <f t="shared" si="4"/>
        <v>1.24</v>
      </c>
      <c r="W28" s="364">
        <f t="shared" si="5"/>
        <v>8.44</v>
      </c>
      <c r="X28" s="704">
        <f t="shared" si="6"/>
        <v>273.75555413839851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">
      <c r="C29" s="595" t="s">
        <v>406</v>
      </c>
      <c r="D29" s="562"/>
      <c r="E29" s="595">
        <v>1400</v>
      </c>
      <c r="F29" s="563"/>
      <c r="G29" s="364">
        <f t="shared" si="0"/>
        <v>26</v>
      </c>
      <c r="H29" s="703">
        <f t="shared" si="1"/>
        <v>0.7331360946745562</v>
      </c>
      <c r="I29" s="704">
        <f t="shared" si="2"/>
        <v>29.925113875221601</v>
      </c>
      <c r="J29" s="364">
        <f t="shared" si="3"/>
        <v>30</v>
      </c>
      <c r="K29" s="595">
        <v>8.5</v>
      </c>
      <c r="L29" s="719"/>
      <c r="M29" s="595">
        <v>4</v>
      </c>
      <c r="N29" s="719"/>
      <c r="O29" s="595">
        <v>1</v>
      </c>
      <c r="P29" s="719"/>
      <c r="Q29" s="595"/>
      <c r="R29" s="719"/>
      <c r="S29" s="595"/>
      <c r="T29" s="719"/>
      <c r="U29" s="595"/>
      <c r="V29" s="364">
        <f t="shared" si="4"/>
        <v>6</v>
      </c>
      <c r="W29" s="364">
        <f t="shared" si="5"/>
        <v>14.5</v>
      </c>
      <c r="X29" s="704">
        <f t="shared" si="6"/>
        <v>433.9141511907132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">
      <c r="C30" s="595" t="s">
        <v>591</v>
      </c>
      <c r="D30" s="563"/>
      <c r="E30" s="595">
        <v>1400</v>
      </c>
      <c r="F30" s="563"/>
      <c r="G30" s="364">
        <f t="shared" si="0"/>
        <v>26</v>
      </c>
      <c r="H30" s="703">
        <f t="shared" si="1"/>
        <v>0.7331360946745562</v>
      </c>
      <c r="I30" s="704">
        <f t="shared" si="2"/>
        <v>29.925113875221601</v>
      </c>
      <c r="J30" s="364">
        <f t="shared" si="3"/>
        <v>30</v>
      </c>
      <c r="K30" s="595">
        <v>0.5</v>
      </c>
      <c r="L30" s="719"/>
      <c r="M30" s="595">
        <v>1</v>
      </c>
      <c r="N30" s="719"/>
      <c r="O30" s="595">
        <v>1</v>
      </c>
      <c r="P30" s="719"/>
      <c r="Q30" s="595"/>
      <c r="R30" s="719"/>
      <c r="S30" s="595"/>
      <c r="T30" s="719"/>
      <c r="U30" s="595"/>
      <c r="V30" s="364">
        <f t="shared" si="4"/>
        <v>0.89999999999999991</v>
      </c>
      <c r="W30" s="364">
        <f t="shared" si="5"/>
        <v>1.4</v>
      </c>
      <c r="X30" s="704">
        <f t="shared" si="6"/>
        <v>41.89515942531024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117</v>
      </c>
      <c r="F31" s="563"/>
      <c r="G31" s="364">
        <f t="shared" si="0"/>
        <v>13</v>
      </c>
      <c r="H31" s="703">
        <f t="shared" si="1"/>
        <v>0.24507692307692308</v>
      </c>
      <c r="I31" s="704">
        <f t="shared" si="2"/>
        <v>10.45994706630057</v>
      </c>
      <c r="J31" s="364">
        <f t="shared" si="3"/>
        <v>30</v>
      </c>
      <c r="K31" s="595">
        <v>4</v>
      </c>
      <c r="L31" s="719"/>
      <c r="M31" s="595">
        <v>6</v>
      </c>
      <c r="N31" s="719"/>
      <c r="O31" s="595">
        <v>1</v>
      </c>
      <c r="P31" s="719"/>
      <c r="Q31" s="595"/>
      <c r="R31" s="719"/>
      <c r="S31" s="595"/>
      <c r="T31" s="719"/>
      <c r="U31" s="595"/>
      <c r="V31" s="364">
        <f t="shared" si="4"/>
        <v>4.4800000000000004</v>
      </c>
      <c r="W31" s="364">
        <f t="shared" si="5"/>
        <v>8.48</v>
      </c>
      <c r="X31" s="704">
        <f t="shared" si="6"/>
        <v>88.700351122228838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233</v>
      </c>
      <c r="F32" s="563"/>
      <c r="G32" s="364">
        <f t="shared" si="0"/>
        <v>16</v>
      </c>
      <c r="H32" s="703">
        <f t="shared" si="1"/>
        <v>0.3221953125</v>
      </c>
      <c r="I32" s="704">
        <f t="shared" si="2"/>
        <v>13.023811334763595</v>
      </c>
      <c r="J32" s="364">
        <f t="shared" si="3"/>
        <v>30</v>
      </c>
      <c r="K32" s="595">
        <v>2.8</v>
      </c>
      <c r="L32" s="719"/>
      <c r="M32" s="595"/>
      <c r="N32" s="719"/>
      <c r="O32" s="595"/>
      <c r="P32" s="719"/>
      <c r="Q32" s="595"/>
      <c r="R32" s="719"/>
      <c r="S32" s="595"/>
      <c r="T32" s="719"/>
      <c r="U32" s="595"/>
      <c r="V32" s="364">
        <f t="shared" si="4"/>
        <v>0</v>
      </c>
      <c r="W32" s="364">
        <f t="shared" si="5"/>
        <v>2.8</v>
      </c>
      <c r="X32" s="704">
        <f t="shared" si="6"/>
        <v>36.466671737338061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467</v>
      </c>
      <c r="F33" s="563"/>
      <c r="G33" s="364">
        <f t="shared" si="0"/>
        <v>20</v>
      </c>
      <c r="H33" s="703">
        <f t="shared" si="1"/>
        <v>0.41329499999999997</v>
      </c>
      <c r="I33" s="704">
        <f t="shared" si="2"/>
        <v>15.235166811800347</v>
      </c>
      <c r="J33" s="364">
        <f t="shared" si="3"/>
        <v>30</v>
      </c>
      <c r="K33" s="595">
        <v>2.8</v>
      </c>
      <c r="L33" s="719"/>
      <c r="M33" s="595"/>
      <c r="N33" s="719"/>
      <c r="O33" s="595">
        <v>1</v>
      </c>
      <c r="P33" s="719"/>
      <c r="Q33" s="595"/>
      <c r="R33" s="719"/>
      <c r="S33" s="595"/>
      <c r="T33" s="719"/>
      <c r="U33" s="595"/>
      <c r="V33" s="364">
        <f t="shared" si="4"/>
        <v>0.2</v>
      </c>
      <c r="W33" s="364">
        <f t="shared" si="5"/>
        <v>3</v>
      </c>
      <c r="X33" s="704">
        <f t="shared" si="6"/>
        <v>45.705500435401042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700</v>
      </c>
      <c r="F34" s="563"/>
      <c r="G34" s="364">
        <f t="shared" si="0"/>
        <v>20</v>
      </c>
      <c r="H34" s="703">
        <f t="shared" si="1"/>
        <v>0.61949999999999994</v>
      </c>
      <c r="I34" s="704">
        <f t="shared" si="2"/>
        <v>30.936005962190212</v>
      </c>
      <c r="J34" s="364">
        <f t="shared" si="3"/>
        <v>30</v>
      </c>
      <c r="K34" s="595">
        <v>2.8</v>
      </c>
      <c r="L34" s="719"/>
      <c r="M34" s="595"/>
      <c r="N34" s="719"/>
      <c r="O34" s="595">
        <v>1</v>
      </c>
      <c r="P34" s="719"/>
      <c r="Q34" s="595"/>
      <c r="R34" s="719"/>
      <c r="S34" s="595"/>
      <c r="T34" s="719"/>
      <c r="U34" s="595"/>
      <c r="V34" s="364">
        <f t="shared" si="4"/>
        <v>0.2</v>
      </c>
      <c r="W34" s="364">
        <f t="shared" si="5"/>
        <v>3</v>
      </c>
      <c r="X34" s="704">
        <f t="shared" si="6"/>
        <v>92.808017886570639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933</v>
      </c>
      <c r="F35" s="563"/>
      <c r="G35" s="364">
        <f t="shared" si="0"/>
        <v>26</v>
      </c>
      <c r="H35" s="703">
        <f t="shared" si="1"/>
        <v>0.48858284023668636</v>
      </c>
      <c r="I35" s="704">
        <f t="shared" si="2"/>
        <v>14.709727446150382</v>
      </c>
      <c r="J35" s="364">
        <f t="shared" si="3"/>
        <v>30</v>
      </c>
      <c r="K35" s="595">
        <v>2.8</v>
      </c>
      <c r="L35" s="719"/>
      <c r="M35" s="595"/>
      <c r="N35" s="719"/>
      <c r="O35" s="595">
        <v>1</v>
      </c>
      <c r="P35" s="719"/>
      <c r="Q35" s="595"/>
      <c r="R35" s="719"/>
      <c r="S35" s="595"/>
      <c r="T35" s="719"/>
      <c r="U35" s="595"/>
      <c r="V35" s="364">
        <f t="shared" si="4"/>
        <v>0.3</v>
      </c>
      <c r="W35" s="364">
        <f t="shared" si="5"/>
        <v>3.0999999999999996</v>
      </c>
      <c r="X35" s="704">
        <f t="shared" si="6"/>
        <v>45.600155083066177</v>
      </c>
      <c r="AI35" s="221"/>
      <c r="AJ35" s="200" t="s">
        <v>377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1167</v>
      </c>
      <c r="F36" s="563"/>
      <c r="G36" s="364">
        <f t="shared" si="0"/>
        <v>26</v>
      </c>
      <c r="H36" s="703">
        <f t="shared" si="1"/>
        <v>0.6111213017751479</v>
      </c>
      <c r="I36" s="704">
        <f t="shared" si="2"/>
        <v>21.761345658219895</v>
      </c>
      <c r="J36" s="364">
        <f t="shared" si="3"/>
        <v>30</v>
      </c>
      <c r="K36" s="595">
        <v>2.8</v>
      </c>
      <c r="L36" s="719"/>
      <c r="M36" s="595"/>
      <c r="N36" s="719"/>
      <c r="O36" s="595">
        <v>1</v>
      </c>
      <c r="P36" s="719"/>
      <c r="Q36" s="595"/>
      <c r="R36" s="719"/>
      <c r="S36" s="595"/>
      <c r="T36" s="719"/>
      <c r="U36" s="595"/>
      <c r="V36" s="364">
        <f t="shared" si="4"/>
        <v>0.3</v>
      </c>
      <c r="W36" s="364">
        <f t="shared" si="5"/>
        <v>3.0999999999999996</v>
      </c>
      <c r="X36" s="704">
        <f t="shared" si="6"/>
        <v>67.460171540481667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1400</v>
      </c>
      <c r="F37" s="563"/>
      <c r="G37" s="364">
        <f t="shared" si="0"/>
        <v>26</v>
      </c>
      <c r="H37" s="703">
        <f t="shared" si="1"/>
        <v>0.7331360946745562</v>
      </c>
      <c r="I37" s="704">
        <f t="shared" si="2"/>
        <v>29.925113875221601</v>
      </c>
      <c r="J37" s="364">
        <f t="shared" si="3"/>
        <v>30</v>
      </c>
      <c r="K37" s="595">
        <v>15</v>
      </c>
      <c r="L37" s="719"/>
      <c r="M37" s="595">
        <v>3</v>
      </c>
      <c r="N37" s="719"/>
      <c r="O37" s="595">
        <v>1</v>
      </c>
      <c r="P37" s="719"/>
      <c r="Q37" s="595"/>
      <c r="R37" s="719"/>
      <c r="S37" s="595"/>
      <c r="T37" s="719"/>
      <c r="U37" s="595"/>
      <c r="V37" s="364">
        <f t="shared" si="4"/>
        <v>2.0999999999999996</v>
      </c>
      <c r="W37" s="364">
        <f t="shared" si="5"/>
        <v>17.100000000000001</v>
      </c>
      <c r="X37" s="704">
        <f t="shared" si="6"/>
        <v>511.71944726628942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1400</v>
      </c>
      <c r="F38" s="563"/>
      <c r="G38" s="364">
        <f t="shared" si="0"/>
        <v>26</v>
      </c>
      <c r="H38" s="703">
        <f t="shared" si="1"/>
        <v>0.7331360946745562</v>
      </c>
      <c r="I38" s="704">
        <f t="shared" si="2"/>
        <v>29.925113875221601</v>
      </c>
      <c r="J38" s="364">
        <f t="shared" si="3"/>
        <v>30</v>
      </c>
      <c r="K38" s="595">
        <v>8.5</v>
      </c>
      <c r="L38" s="719"/>
      <c r="M38" s="595">
        <v>4</v>
      </c>
      <c r="N38" s="719"/>
      <c r="O38" s="595">
        <v>1</v>
      </c>
      <c r="P38" s="719"/>
      <c r="Q38" s="595"/>
      <c r="R38" s="719"/>
      <c r="S38" s="595"/>
      <c r="T38" s="719"/>
      <c r="U38" s="595"/>
      <c r="V38" s="364">
        <f t="shared" si="4"/>
        <v>2.6999999999999997</v>
      </c>
      <c r="W38" s="364">
        <f t="shared" si="5"/>
        <v>11.2</v>
      </c>
      <c r="X38" s="704">
        <f t="shared" si="6"/>
        <v>335.16127540248192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720"/>
      <c r="M39" s="639"/>
      <c r="N39" s="720"/>
      <c r="O39" s="639"/>
      <c r="P39" s="720"/>
      <c r="Q39" s="639"/>
      <c r="R39" s="720"/>
      <c r="S39" s="639"/>
      <c r="T39" s="720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3.6041044903594517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0.5</v>
      </c>
      <c r="J45" s="490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90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46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346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1100</v>
      </c>
      <c r="J52" s="346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4.1341044903594524</v>
      </c>
      <c r="J53" s="346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5" thickBot="1" x14ac:dyDescent="0.3">
      <c r="B55" s="197"/>
      <c r="C55" s="319" t="s">
        <v>456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646" t="s">
        <v>659</v>
      </c>
      <c r="D56" s="647"/>
      <c r="E56" s="647"/>
      <c r="F56" s="647"/>
      <c r="G56" s="647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46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46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96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11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59</v>
      </c>
      <c r="E61" s="293">
        <v>20</v>
      </c>
      <c r="F61" s="699">
        <f t="shared" si="8"/>
        <v>0.31415926535897931</v>
      </c>
      <c r="G61" s="700">
        <f t="shared" si="9"/>
        <v>18.535396656179778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125</v>
      </c>
      <c r="E62" s="293">
        <v>26</v>
      </c>
      <c r="F62" s="699">
        <f t="shared" si="8"/>
        <v>0.5309291584566751</v>
      </c>
      <c r="G62" s="700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19</v>
      </c>
      <c r="E63" s="293">
        <v>33</v>
      </c>
      <c r="F63" s="699">
        <f t="shared" si="8"/>
        <v>0.85529859993982116</v>
      </c>
      <c r="G63" s="700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9.5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90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438"/>
      <c r="D69" s="438"/>
      <c r="E69" s="438"/>
      <c r="F69" s="438"/>
      <c r="G69" s="448" t="s">
        <v>373</v>
      </c>
      <c r="H69" s="467">
        <f>$H$68*$H$5</f>
        <v>13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5.75" thickBot="1" x14ac:dyDescent="0.25">
      <c r="B71" s="197"/>
      <c r="C71" s="428" t="s">
        <v>664</v>
      </c>
      <c r="D71" s="427"/>
      <c r="E71" s="427"/>
      <c r="F71" s="427"/>
      <c r="G71" s="558"/>
      <c r="H71" s="652"/>
      <c r="I71" s="522"/>
      <c r="J71" s="349"/>
    </row>
    <row r="72" spans="1:50" ht="15" x14ac:dyDescent="0.2">
      <c r="B72" s="197"/>
      <c r="D72" s="377"/>
      <c r="E72" s="335" t="s">
        <v>636</v>
      </c>
      <c r="F72" s="335" t="s">
        <v>637</v>
      </c>
      <c r="G72" s="335" t="s">
        <v>638</v>
      </c>
      <c r="H72" s="335" t="s">
        <v>639</v>
      </c>
      <c r="I72" s="335" t="s">
        <v>640</v>
      </c>
      <c r="J72" s="349"/>
    </row>
    <row r="73" spans="1:50" x14ac:dyDescent="0.2">
      <c r="B73" s="197"/>
      <c r="D73" s="378" t="s">
        <v>666</v>
      </c>
      <c r="E73" s="335">
        <f>Datos!E52</f>
        <v>10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">
      <c r="B74" s="197"/>
      <c r="D74" s="378" t="s">
        <v>662</v>
      </c>
      <c r="E74" s="635">
        <f>Datos!E70</f>
        <v>0</v>
      </c>
      <c r="F74" s="635">
        <f>Datos!F70</f>
        <v>0</v>
      </c>
      <c r="G74" s="635">
        <f>Datos!G70</f>
        <v>0</v>
      </c>
      <c r="H74" s="635">
        <f>Datos!H70</f>
        <v>0</v>
      </c>
      <c r="I74" s="635">
        <f>Datos!I70</f>
        <v>0</v>
      </c>
      <c r="J74" s="349"/>
    </row>
    <row r="75" spans="1:50" x14ac:dyDescent="0.2">
      <c r="B75" s="197"/>
      <c r="C75" s="244"/>
      <c r="D75" s="656" t="s">
        <v>663</v>
      </c>
      <c r="E75" s="614">
        <v>5</v>
      </c>
      <c r="F75" s="657"/>
      <c r="G75" s="657"/>
      <c r="H75" s="657"/>
      <c r="I75" s="657"/>
      <c r="J75" s="490" t="s">
        <v>667</v>
      </c>
    </row>
    <row r="76" spans="1:50" x14ac:dyDescent="0.2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35">
      <c r="B77" s="197"/>
      <c r="C77" s="481" t="s">
        <v>665</v>
      </c>
      <c r="D77" s="556"/>
      <c r="E77" s="556"/>
      <c r="F77" s="556"/>
      <c r="G77" s="565" t="s">
        <v>373</v>
      </c>
      <c r="H77" s="658">
        <f>SUMPRODUCT(E73:I73,E75:I75)</f>
        <v>50</v>
      </c>
      <c r="J77" s="349"/>
    </row>
    <row r="78" spans="1:50" ht="14.25" customHeight="1" x14ac:dyDescent="0.2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35">
      <c r="B79" s="197"/>
      <c r="C79" s="292" t="s">
        <v>661</v>
      </c>
      <c r="D79" s="294"/>
      <c r="E79" s="294"/>
      <c r="F79" s="294"/>
      <c r="G79" s="294"/>
      <c r="J79" s="349"/>
    </row>
    <row r="80" spans="1:50" ht="15" x14ac:dyDescent="0.2">
      <c r="B80" s="197"/>
      <c r="C80" s="292" t="s">
        <v>564</v>
      </c>
      <c r="D80" s="294"/>
      <c r="E80" s="294"/>
      <c r="F80" s="294"/>
      <c r="G80" s="290" t="s">
        <v>373</v>
      </c>
      <c r="H80" s="637">
        <f>$H$69+$G$66+H77</f>
        <v>179.10619589320817</v>
      </c>
      <c r="J80" s="349"/>
    </row>
    <row r="81" spans="2:39" x14ac:dyDescent="0.2">
      <c r="B81" s="196"/>
      <c r="C81" s="294"/>
      <c r="D81" s="294"/>
      <c r="E81" s="294"/>
      <c r="F81" s="294"/>
      <c r="G81" s="294"/>
      <c r="J81" s="349"/>
    </row>
    <row r="82" spans="2:39" ht="15" x14ac:dyDescent="0.2">
      <c r="C82" s="481" t="s">
        <v>526</v>
      </c>
      <c r="D82" s="556"/>
      <c r="E82" s="556"/>
      <c r="F82" s="556"/>
      <c r="G82" s="565" t="s">
        <v>469</v>
      </c>
      <c r="H82" s="643">
        <v>1.5</v>
      </c>
      <c r="J82" s="490" t="s">
        <v>684</v>
      </c>
    </row>
    <row r="83" spans="2:39" ht="15" x14ac:dyDescent="0.2">
      <c r="C83" s="292" t="s">
        <v>527</v>
      </c>
      <c r="D83" s="294"/>
      <c r="E83" s="294"/>
      <c r="F83" s="294"/>
      <c r="G83" s="290" t="s">
        <v>469</v>
      </c>
      <c r="H83" s="523">
        <v>4</v>
      </c>
      <c r="J83" s="490" t="s">
        <v>470</v>
      </c>
      <c r="K83" s="110"/>
      <c r="L83" s="217"/>
      <c r="M83" s="5"/>
    </row>
    <row r="84" spans="2:39" ht="15" x14ac:dyDescent="0.2">
      <c r="C84" s="292" t="s">
        <v>525</v>
      </c>
      <c r="D84" s="294"/>
      <c r="E84" s="294"/>
      <c r="F84" s="294"/>
      <c r="G84" s="290"/>
      <c r="H84" s="637">
        <f>H83/(H83-H82)</f>
        <v>1.6</v>
      </c>
      <c r="J84" s="349"/>
      <c r="K84" s="110"/>
      <c r="L84" s="217"/>
      <c r="M84" s="5"/>
    </row>
    <row r="85" spans="2:39" ht="16.5" thickBot="1" x14ac:dyDescent="0.3">
      <c r="C85" s="428" t="s">
        <v>471</v>
      </c>
      <c r="D85" s="427"/>
      <c r="E85" s="427"/>
      <c r="F85" s="427"/>
      <c r="G85" s="558" t="s">
        <v>373</v>
      </c>
      <c r="H85" s="659">
        <f>$H$80*($H$83/($H$83-$H$82))*INDEX(AK52:AK53,AR35,1)</f>
        <v>22.925593074330646</v>
      </c>
      <c r="J85" s="490" t="s">
        <v>569</v>
      </c>
    </row>
    <row r="86" spans="2:39" ht="15.75" x14ac:dyDescent="0.25">
      <c r="B86" s="5"/>
      <c r="C86" s="97"/>
      <c r="G86" s="3"/>
      <c r="H86" s="554"/>
      <c r="J86" s="237"/>
      <c r="AJ86" s="246"/>
      <c r="AK86" s="213"/>
      <c r="AL86" s="246"/>
      <c r="AM86" s="213"/>
    </row>
    <row r="87" spans="2:39" ht="13.5" thickBot="1" x14ac:dyDescent="0.25">
      <c r="B87" s="422"/>
      <c r="C87" s="422"/>
      <c r="D87" s="422"/>
      <c r="E87" s="422"/>
      <c r="F87" s="422"/>
      <c r="G87" s="422"/>
      <c r="H87" s="422"/>
      <c r="I87" s="596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">
      <c r="B88" s="546" t="s">
        <v>722</v>
      </c>
      <c r="H88" s="6"/>
      <c r="I88" s="6"/>
      <c r="AJ88" s="105"/>
      <c r="AK88" s="197"/>
      <c r="AL88" s="105"/>
      <c r="AM88" s="197"/>
    </row>
    <row r="89" spans="2:39" ht="15.75" customHeight="1" x14ac:dyDescent="0.2">
      <c r="AJ89" s="105"/>
      <c r="AK89" s="197"/>
      <c r="AL89" s="105"/>
      <c r="AM89" s="197"/>
    </row>
    <row r="90" spans="2:39" ht="15" customHeight="1" x14ac:dyDescent="0.2"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H92" s="6"/>
      <c r="I92" s="195"/>
      <c r="AJ92" s="105"/>
      <c r="AK92" s="197"/>
      <c r="AL92" s="105"/>
      <c r="AM92" s="197"/>
    </row>
    <row r="93" spans="2:39" x14ac:dyDescent="0.2">
      <c r="AJ93" s="105"/>
      <c r="AK93" s="197"/>
      <c r="AL93" s="105"/>
      <c r="AM93" s="197"/>
    </row>
    <row r="94" spans="2:39" x14ac:dyDescent="0.2"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H99" s="172"/>
      <c r="I99" s="192"/>
      <c r="J99" s="5"/>
      <c r="AJ99" s="105"/>
      <c r="AK99" s="197"/>
      <c r="AL99" s="105"/>
      <c r="AM99" s="197"/>
    </row>
    <row r="100" spans="1:39" x14ac:dyDescent="0.2">
      <c r="AJ100" s="105"/>
      <c r="AK100" s="197"/>
      <c r="AL100" s="105"/>
      <c r="AM100" s="197"/>
    </row>
    <row r="101" spans="1:39" x14ac:dyDescent="0.2">
      <c r="AJ101" s="105"/>
      <c r="AK101" s="197"/>
      <c r="AL101" s="105"/>
      <c r="AM101" s="197"/>
    </row>
    <row r="102" spans="1:39" x14ac:dyDescent="0.2">
      <c r="A102" s="5"/>
      <c r="AJ102" s="286"/>
      <c r="AK102" s="287"/>
      <c r="AL102" s="286"/>
      <c r="AM102" s="287"/>
    </row>
    <row r="106" spans="1:39" x14ac:dyDescent="0.2">
      <c r="C106" s="6"/>
      <c r="D106" s="6"/>
      <c r="E106" s="7"/>
    </row>
    <row r="107" spans="1:39" x14ac:dyDescent="0.2">
      <c r="D107" s="6"/>
      <c r="G107" s="6"/>
      <c r="H107" s="192"/>
      <c r="I107" s="5"/>
    </row>
    <row r="108" spans="1:39" x14ac:dyDescent="0.2">
      <c r="D108" s="6"/>
      <c r="E108" s="7"/>
      <c r="G108" s="6"/>
      <c r="H108" s="5"/>
      <c r="I108" s="5"/>
    </row>
    <row r="110" spans="1:39" x14ac:dyDescent="0.2">
      <c r="C110" s="6"/>
      <c r="D110" s="6"/>
      <c r="E110" s="19"/>
    </row>
    <row r="111" spans="1:39" x14ac:dyDescent="0.2">
      <c r="D111" s="6"/>
      <c r="E111" s="19"/>
      <c r="G111" s="6"/>
      <c r="H111" s="192"/>
      <c r="I111" s="5"/>
    </row>
    <row r="112" spans="1:39" x14ac:dyDescent="0.2">
      <c r="D112" s="6"/>
      <c r="E112" s="7"/>
      <c r="G112" s="6"/>
      <c r="H112" s="5"/>
      <c r="I112" s="5"/>
    </row>
    <row r="121" spans="2:4" x14ac:dyDescent="0.2">
      <c r="C121" s="7"/>
    </row>
    <row r="122" spans="2:4" x14ac:dyDescent="0.2">
      <c r="B122" s="5"/>
    </row>
    <row r="124" spans="2:4" x14ac:dyDescent="0.2">
      <c r="B124" s="5"/>
    </row>
    <row r="126" spans="2:4" x14ac:dyDescent="0.2">
      <c r="C126" s="6"/>
      <c r="D126" s="219"/>
    </row>
  </sheetData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723900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723900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723900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723900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723900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723900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723900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200025</xdr:colOff>
                    <xdr:row>40</xdr:row>
                    <xdr:rowOff>0</xdr:rowOff>
                  </from>
                  <to>
                    <xdr:col>10</xdr:col>
                    <xdr:colOff>323850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2" t="s">
        <v>572</v>
      </c>
      <c r="C3" s="762"/>
      <c r="D3" s="762"/>
      <c r="E3" s="762"/>
      <c r="F3" s="762"/>
      <c r="G3" s="762"/>
      <c r="H3" s="762"/>
      <c r="I3" s="762"/>
      <c r="J3" s="762"/>
      <c r="K3" s="762"/>
      <c r="L3" s="762"/>
      <c r="M3" s="762"/>
      <c r="N3" s="762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8.8000000000000007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0.88000000000000012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2" t="s">
        <v>588</v>
      </c>
      <c r="C16" s="762"/>
      <c r="D16" s="762"/>
      <c r="E16" s="762"/>
      <c r="F16" s="762"/>
      <c r="G16" s="762"/>
      <c r="H16" s="762"/>
      <c r="I16" s="762"/>
      <c r="J16" s="762"/>
      <c r="K16" s="762"/>
      <c r="L16" s="762"/>
      <c r="M16" s="762"/>
      <c r="N16" s="762"/>
      <c r="O16" s="243"/>
      <c r="P16" s="243"/>
    </row>
    <row r="17" spans="1:56" x14ac:dyDescent="0.2">
      <c r="B17" s="197"/>
      <c r="AX17" s="792"/>
      <c r="AY17" s="792"/>
      <c r="AZ17" s="792"/>
      <c r="BA17" s="792"/>
      <c r="BB17" s="792"/>
      <c r="BC17" s="792"/>
      <c r="BD17" s="792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71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">
      <c r="B22" s="546" t="s">
        <v>722</v>
      </c>
    </row>
  </sheetData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zoomScale="145" zoomScaleNormal="145"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L24" sqref="L24"/>
    </sheetView>
  </sheetViews>
  <sheetFormatPr baseColWidth="10" defaultColWidth="11.42578125" defaultRowHeight="11.25" x14ac:dyDescent="0.2"/>
  <cols>
    <col min="1" max="2" width="1.7109375" style="60" customWidth="1"/>
    <col min="3" max="3" width="1.85546875" style="68" customWidth="1"/>
    <col min="4" max="4" width="32.57031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14.28515625" style="60" customWidth="1"/>
    <col min="9" max="9" width="1.85546875" style="60" customWidth="1"/>
    <col min="10" max="10" width="2" style="60" customWidth="1"/>
    <col min="11" max="11" width="1.85546875" style="60" customWidth="1"/>
    <col min="12" max="16384" width="11.42578125" style="60"/>
  </cols>
  <sheetData>
    <row r="1" spans="2:10" ht="12.75" customHeight="1" x14ac:dyDescent="0.2">
      <c r="B1" s="510"/>
      <c r="C1" s="511"/>
      <c r="D1" s="800" t="s">
        <v>721</v>
      </c>
      <c r="E1" s="800"/>
      <c r="F1" s="800"/>
      <c r="G1" s="800"/>
      <c r="H1" s="800"/>
      <c r="I1" s="498"/>
      <c r="J1" s="499"/>
    </row>
    <row r="2" spans="2:10" ht="12.75" x14ac:dyDescent="0.2">
      <c r="B2" s="512"/>
      <c r="C2" s="340"/>
      <c r="D2" s="336" t="s">
        <v>630</v>
      </c>
      <c r="E2" s="342"/>
      <c r="F2" s="342"/>
      <c r="G2" s="342"/>
      <c r="H2" s="342"/>
    </row>
    <row r="3" spans="2:10" ht="12.75" x14ac:dyDescent="0.2">
      <c r="B3" s="512"/>
      <c r="C3" s="340"/>
      <c r="D3" s="341" t="s">
        <v>629</v>
      </c>
      <c r="E3" s="799"/>
      <c r="F3" s="799"/>
      <c r="G3" s="799"/>
      <c r="H3" s="799"/>
    </row>
    <row r="4" spans="2:10" ht="12.75" x14ac:dyDescent="0.2">
      <c r="B4" s="512"/>
      <c r="C4" s="340"/>
      <c r="D4" s="341" t="s">
        <v>628</v>
      </c>
      <c r="E4" s="343"/>
      <c r="F4" s="343"/>
      <c r="G4" s="343"/>
      <c r="H4" s="343"/>
    </row>
    <row r="5" spans="2:10" x14ac:dyDescent="0.2">
      <c r="D5" s="504"/>
      <c r="E5" s="337" t="s">
        <v>617</v>
      </c>
      <c r="F5" s="338"/>
      <c r="G5" s="337" t="s">
        <v>621</v>
      </c>
      <c r="H5" s="337" t="s">
        <v>625</v>
      </c>
    </row>
    <row r="6" spans="2:10" x14ac:dyDescent="0.2">
      <c r="D6" s="505" t="s">
        <v>627</v>
      </c>
      <c r="E6" s="337" t="s">
        <v>619</v>
      </c>
      <c r="F6" s="337" t="s">
        <v>620</v>
      </c>
      <c r="G6" s="337" t="s">
        <v>622</v>
      </c>
      <c r="H6" s="337" t="s">
        <v>619</v>
      </c>
    </row>
    <row r="7" spans="2:10" x14ac:dyDescent="0.2">
      <c r="D7" s="506" t="s">
        <v>626</v>
      </c>
      <c r="E7" s="339" t="s">
        <v>618</v>
      </c>
      <c r="F7" s="339"/>
      <c r="G7" s="339" t="s">
        <v>623</v>
      </c>
      <c r="H7" s="339" t="s">
        <v>624</v>
      </c>
    </row>
    <row r="8" spans="2:10" ht="12.95" customHeight="1" x14ac:dyDescent="0.2">
      <c r="B8" s="72"/>
      <c r="D8" s="507" t="s">
        <v>502</v>
      </c>
      <c r="E8" s="501" t="s">
        <v>504</v>
      </c>
      <c r="F8" s="501" t="s">
        <v>158</v>
      </c>
      <c r="G8" s="501" t="s">
        <v>505</v>
      </c>
      <c r="H8" s="500">
        <v>2</v>
      </c>
    </row>
    <row r="9" spans="2:10" ht="12.95" customHeight="1" x14ac:dyDescent="0.2">
      <c r="B9" s="72"/>
      <c r="D9" s="507" t="s">
        <v>503</v>
      </c>
      <c r="E9" s="501" t="s">
        <v>504</v>
      </c>
      <c r="F9" s="501" t="s">
        <v>601</v>
      </c>
      <c r="G9" s="501" t="s">
        <v>602</v>
      </c>
      <c r="H9" s="500">
        <v>2</v>
      </c>
    </row>
    <row r="10" spans="2:10" ht="12.95" customHeight="1" x14ac:dyDescent="0.2">
      <c r="B10" s="72"/>
      <c r="D10" s="507" t="s">
        <v>742</v>
      </c>
      <c r="E10" s="501" t="s">
        <v>747</v>
      </c>
      <c r="F10" s="501" t="s">
        <v>748</v>
      </c>
      <c r="G10" s="501" t="s">
        <v>749</v>
      </c>
      <c r="H10" s="500" t="s">
        <v>120</v>
      </c>
    </row>
    <row r="11" spans="2:10" ht="12.95" customHeight="1" x14ac:dyDescent="0.2">
      <c r="B11" s="72"/>
      <c r="C11" s="73"/>
      <c r="D11" s="507"/>
      <c r="E11" s="501"/>
      <c r="F11" s="501"/>
      <c r="G11" s="501"/>
      <c r="H11" s="500"/>
    </row>
    <row r="12" spans="2:10" ht="12.95" customHeight="1" x14ac:dyDescent="0.2">
      <c r="B12" s="72"/>
      <c r="D12" s="507"/>
      <c r="E12" s="501"/>
      <c r="F12" s="501"/>
      <c r="G12" s="501"/>
      <c r="H12" s="500"/>
    </row>
    <row r="13" spans="2:10" ht="12.95" customHeight="1" x14ac:dyDescent="0.2">
      <c r="B13" s="72"/>
      <c r="D13" s="507"/>
      <c r="E13" s="501"/>
      <c r="F13" s="501"/>
      <c r="G13" s="501"/>
      <c r="H13" s="500"/>
    </row>
    <row r="14" spans="2:10" ht="12.95" customHeight="1" x14ac:dyDescent="0.2">
      <c r="B14" s="72"/>
      <c r="D14" s="507"/>
      <c r="E14" s="501"/>
      <c r="F14" s="501"/>
      <c r="G14" s="501"/>
      <c r="H14" s="500"/>
    </row>
    <row r="15" spans="2:10" ht="12.95" customHeight="1" x14ac:dyDescent="0.2">
      <c r="B15" s="72"/>
      <c r="D15" s="507"/>
      <c r="E15" s="501"/>
      <c r="F15" s="501"/>
      <c r="G15" s="501"/>
      <c r="H15" s="500"/>
    </row>
    <row r="16" spans="2:10" ht="12.95" customHeight="1" x14ac:dyDescent="0.2">
      <c r="B16" s="72"/>
      <c r="D16" s="507"/>
      <c r="E16" s="501"/>
      <c r="F16" s="501"/>
      <c r="G16" s="501"/>
      <c r="H16" s="500"/>
    </row>
    <row r="17" spans="2:8" ht="12.95" customHeight="1" x14ac:dyDescent="0.2">
      <c r="B17" s="72"/>
      <c r="D17" s="507"/>
      <c r="E17" s="501"/>
      <c r="F17" s="501"/>
      <c r="G17" s="501"/>
      <c r="H17" s="500"/>
    </row>
    <row r="18" spans="2:8" ht="12.95" customHeight="1" x14ac:dyDescent="0.2">
      <c r="B18" s="72"/>
      <c r="D18" s="507"/>
      <c r="E18" s="501"/>
      <c r="F18" s="501"/>
      <c r="G18" s="501"/>
      <c r="H18" s="500"/>
    </row>
    <row r="19" spans="2:8" ht="12.95" customHeight="1" x14ac:dyDescent="0.2">
      <c r="B19" s="72"/>
      <c r="D19" s="507"/>
      <c r="E19" s="501"/>
      <c r="F19" s="501"/>
      <c r="G19" s="501"/>
      <c r="H19" s="500"/>
    </row>
    <row r="20" spans="2:8" ht="12.95" customHeight="1" x14ac:dyDescent="0.2">
      <c r="B20" s="72"/>
      <c r="D20" s="507"/>
      <c r="E20" s="501"/>
      <c r="F20" s="501"/>
      <c r="G20" s="501"/>
      <c r="H20" s="500"/>
    </row>
    <row r="21" spans="2:8" ht="12.95" customHeight="1" x14ac:dyDescent="0.2">
      <c r="B21" s="72"/>
      <c r="D21" s="507"/>
      <c r="E21" s="501"/>
      <c r="F21" s="501"/>
      <c r="G21" s="501"/>
      <c r="H21" s="500"/>
    </row>
    <row r="22" spans="2:8" ht="12.95" customHeight="1" x14ac:dyDescent="0.2">
      <c r="B22" s="72"/>
      <c r="D22" s="507"/>
      <c r="E22" s="501"/>
      <c r="F22" s="501"/>
      <c r="G22" s="501"/>
      <c r="H22" s="500"/>
    </row>
    <row r="23" spans="2:8" ht="12.95" customHeight="1" x14ac:dyDescent="0.2">
      <c r="B23" s="72"/>
      <c r="D23" s="507"/>
      <c r="E23" s="501"/>
      <c r="F23" s="501"/>
      <c r="G23" s="501"/>
      <c r="H23" s="500"/>
    </row>
    <row r="24" spans="2:8" ht="12.95" customHeight="1" x14ac:dyDescent="0.2">
      <c r="B24" s="72"/>
      <c r="D24" s="507"/>
      <c r="E24" s="501"/>
      <c r="F24" s="501"/>
      <c r="G24" s="501"/>
      <c r="H24" s="500"/>
    </row>
    <row r="25" spans="2:8" ht="12.95" customHeight="1" x14ac:dyDescent="0.2">
      <c r="B25" s="72"/>
      <c r="D25" s="507"/>
      <c r="E25" s="501"/>
      <c r="F25" s="501"/>
      <c r="G25" s="501"/>
      <c r="H25" s="500"/>
    </row>
    <row r="26" spans="2:8" ht="12.95" customHeight="1" x14ac:dyDescent="0.2">
      <c r="B26" s="72"/>
      <c r="D26" s="507"/>
      <c r="E26" s="501"/>
      <c r="F26" s="501"/>
      <c r="G26" s="501"/>
      <c r="H26" s="500"/>
    </row>
    <row r="27" spans="2:8" ht="12.95" customHeight="1" x14ac:dyDescent="0.2">
      <c r="B27" s="72"/>
      <c r="D27" s="507"/>
      <c r="E27" s="501"/>
      <c r="F27" s="501"/>
      <c r="G27" s="501"/>
      <c r="H27" s="500"/>
    </row>
    <row r="28" spans="2:8" ht="12.95" customHeight="1" x14ac:dyDescent="0.2">
      <c r="B28" s="72"/>
      <c r="D28" s="507"/>
      <c r="E28" s="501"/>
      <c r="F28" s="501"/>
      <c r="G28" s="501"/>
      <c r="H28" s="500"/>
    </row>
    <row r="29" spans="2:8" ht="12.95" customHeight="1" x14ac:dyDescent="0.2">
      <c r="B29" s="72"/>
      <c r="D29" s="507"/>
      <c r="E29" s="501"/>
      <c r="F29" s="501"/>
      <c r="G29" s="501"/>
      <c r="H29" s="500"/>
    </row>
    <row r="30" spans="2:8" ht="12.95" customHeight="1" x14ac:dyDescent="0.2">
      <c r="B30" s="72"/>
      <c r="D30" s="507"/>
      <c r="E30" s="501"/>
      <c r="F30" s="501"/>
      <c r="G30" s="501"/>
      <c r="H30" s="500"/>
    </row>
    <row r="31" spans="2:8" ht="12.95" customHeight="1" x14ac:dyDescent="0.2">
      <c r="B31" s="72"/>
      <c r="D31" s="507"/>
      <c r="E31" s="501"/>
      <c r="F31" s="501"/>
      <c r="G31" s="501"/>
      <c r="H31" s="500"/>
    </row>
    <row r="32" spans="2:8" ht="12.95" customHeight="1" x14ac:dyDescent="0.2">
      <c r="B32" s="72"/>
      <c r="D32" s="507"/>
      <c r="E32" s="501"/>
      <c r="F32" s="501"/>
      <c r="G32" s="501"/>
      <c r="H32" s="500"/>
    </row>
    <row r="33" spans="2:8" ht="12.95" customHeight="1" x14ac:dyDescent="0.2">
      <c r="B33" s="72"/>
      <c r="D33" s="507"/>
      <c r="E33" s="501"/>
      <c r="F33" s="501"/>
      <c r="G33" s="501"/>
      <c r="H33" s="500"/>
    </row>
    <row r="34" spans="2:8" ht="12.95" customHeight="1" x14ac:dyDescent="0.2">
      <c r="B34" s="72"/>
      <c r="D34" s="507"/>
      <c r="E34" s="501"/>
      <c r="F34" s="501"/>
      <c r="G34" s="501"/>
      <c r="H34" s="500"/>
    </row>
    <row r="35" spans="2:8" ht="12.95" customHeight="1" x14ac:dyDescent="0.2">
      <c r="B35" s="72"/>
      <c r="D35" s="507"/>
      <c r="E35" s="501"/>
      <c r="F35" s="501"/>
      <c r="G35" s="501"/>
      <c r="H35" s="500"/>
    </row>
    <row r="36" spans="2:8" ht="12.95" customHeight="1" x14ac:dyDescent="0.2">
      <c r="B36" s="72"/>
      <c r="D36" s="507"/>
      <c r="E36" s="501"/>
      <c r="F36" s="501"/>
      <c r="G36" s="501"/>
      <c r="H36" s="500"/>
    </row>
    <row r="37" spans="2:8" ht="12.95" customHeight="1" x14ac:dyDescent="0.2">
      <c r="B37" s="72"/>
      <c r="D37" s="507"/>
      <c r="E37" s="501"/>
      <c r="F37" s="501"/>
      <c r="G37" s="501"/>
      <c r="H37" s="500"/>
    </row>
    <row r="38" spans="2:8" ht="12.95" customHeight="1" x14ac:dyDescent="0.2">
      <c r="B38" s="72"/>
      <c r="D38" s="507"/>
      <c r="E38" s="501"/>
      <c r="F38" s="501"/>
      <c r="G38" s="501"/>
      <c r="H38" s="500"/>
    </row>
    <row r="39" spans="2:8" ht="12.95" customHeight="1" x14ac:dyDescent="0.2">
      <c r="B39" s="72"/>
      <c r="D39" s="507"/>
      <c r="E39" s="501"/>
      <c r="F39" s="501"/>
      <c r="G39" s="501"/>
      <c r="H39" s="500"/>
    </row>
    <row r="40" spans="2:8" ht="12.95" customHeight="1" x14ac:dyDescent="0.2">
      <c r="B40" s="72"/>
      <c r="D40" s="507"/>
      <c r="E40" s="501"/>
      <c r="F40" s="501"/>
      <c r="G40" s="501"/>
      <c r="H40" s="500"/>
    </row>
    <row r="41" spans="2:8" ht="12.95" customHeight="1" x14ac:dyDescent="0.2">
      <c r="B41" s="72"/>
      <c r="D41" s="507"/>
      <c r="E41" s="501"/>
      <c r="F41" s="501"/>
      <c r="G41" s="501"/>
      <c r="H41" s="500"/>
    </row>
    <row r="42" spans="2:8" ht="12.95" customHeight="1" x14ac:dyDescent="0.2">
      <c r="B42" s="72"/>
      <c r="D42" s="507"/>
      <c r="E42" s="501"/>
      <c r="F42" s="501"/>
      <c r="G42" s="501"/>
      <c r="H42" s="500"/>
    </row>
    <row r="43" spans="2:8" ht="12.95" customHeight="1" x14ac:dyDescent="0.2">
      <c r="B43" s="72"/>
      <c r="D43" s="508"/>
      <c r="E43" s="502"/>
      <c r="F43" s="502"/>
      <c r="G43" s="502"/>
      <c r="H43" s="500"/>
    </row>
    <row r="44" spans="2:8" ht="12.95" customHeight="1" x14ac:dyDescent="0.2">
      <c r="D44" s="507"/>
      <c r="E44" s="500"/>
      <c r="F44" s="500"/>
      <c r="G44" s="500"/>
      <c r="H44" s="500"/>
    </row>
    <row r="45" spans="2:8" ht="12.95" customHeight="1" x14ac:dyDescent="0.2">
      <c r="D45" s="507"/>
      <c r="E45" s="500"/>
      <c r="F45" s="500"/>
      <c r="G45" s="500"/>
      <c r="H45" s="500"/>
    </row>
    <row r="46" spans="2:8" ht="12.95" customHeight="1" x14ac:dyDescent="0.2">
      <c r="D46" s="507"/>
      <c r="E46" s="500"/>
      <c r="F46" s="500"/>
      <c r="G46" s="500"/>
      <c r="H46" s="500"/>
    </row>
    <row r="47" spans="2:8" ht="12.95" customHeight="1" x14ac:dyDescent="0.2">
      <c r="D47" s="507"/>
      <c r="E47" s="500"/>
      <c r="F47" s="500"/>
      <c r="G47" s="500"/>
      <c r="H47" s="500"/>
    </row>
    <row r="48" spans="2:8" ht="12.95" customHeight="1" x14ac:dyDescent="0.2">
      <c r="D48" s="507"/>
      <c r="E48" s="500"/>
      <c r="F48" s="500"/>
      <c r="G48" s="500"/>
      <c r="H48" s="500"/>
    </row>
    <row r="49" spans="4:8" ht="12.95" customHeight="1" x14ac:dyDescent="0.2">
      <c r="D49" s="507"/>
      <c r="E49" s="500"/>
      <c r="F49" s="500"/>
      <c r="G49" s="500"/>
      <c r="H49" s="500"/>
    </row>
    <row r="50" spans="4:8" ht="12.95" customHeight="1" x14ac:dyDescent="0.2">
      <c r="D50" s="507"/>
      <c r="E50" s="500"/>
      <c r="F50" s="500"/>
      <c r="G50" s="500"/>
      <c r="H50" s="500"/>
    </row>
    <row r="51" spans="4:8" ht="12.95" customHeight="1" x14ac:dyDescent="0.2">
      <c r="D51" s="507"/>
      <c r="E51" s="500"/>
      <c r="F51" s="500"/>
      <c r="G51" s="500"/>
      <c r="H51" s="500"/>
    </row>
    <row r="52" spans="4:8" ht="12.95" customHeight="1" x14ac:dyDescent="0.2">
      <c r="D52" s="507"/>
      <c r="E52" s="500"/>
      <c r="F52" s="500"/>
      <c r="G52" s="500"/>
      <c r="H52" s="500"/>
    </row>
    <row r="53" spans="4:8" ht="12.95" customHeight="1" x14ac:dyDescent="0.2">
      <c r="D53" s="507"/>
      <c r="E53" s="500"/>
      <c r="F53" s="500"/>
      <c r="G53" s="500"/>
      <c r="H53" s="500"/>
    </row>
    <row r="54" spans="4:8" ht="12.95" customHeight="1" x14ac:dyDescent="0.2">
      <c r="D54" s="507"/>
      <c r="E54" s="500"/>
      <c r="F54" s="500"/>
      <c r="G54" s="500"/>
      <c r="H54" s="500"/>
    </row>
    <row r="55" spans="4:8" ht="12.95" customHeight="1" x14ac:dyDescent="0.2">
      <c r="D55" s="507"/>
      <c r="E55" s="500"/>
      <c r="F55" s="500"/>
      <c r="G55" s="500"/>
      <c r="H55" s="500"/>
    </row>
    <row r="56" spans="4:8" ht="12.95" customHeight="1" x14ac:dyDescent="0.2">
      <c r="D56" s="507"/>
      <c r="E56" s="500"/>
      <c r="F56" s="500"/>
      <c r="G56" s="500"/>
      <c r="H56" s="500"/>
    </row>
    <row r="57" spans="4:8" ht="12.95" customHeight="1" x14ac:dyDescent="0.2">
      <c r="D57" s="507"/>
      <c r="E57" s="500"/>
      <c r="F57" s="500"/>
      <c r="G57" s="500"/>
      <c r="H57" s="500"/>
    </row>
    <row r="58" spans="4:8" ht="12.95" customHeight="1" x14ac:dyDescent="0.2">
      <c r="D58" s="507"/>
      <c r="E58" s="500"/>
      <c r="F58" s="500"/>
      <c r="G58" s="500"/>
      <c r="H58" s="500"/>
    </row>
    <row r="59" spans="4:8" ht="12.95" customHeight="1" x14ac:dyDescent="0.2">
      <c r="D59" s="507"/>
      <c r="E59" s="500"/>
      <c r="F59" s="500"/>
      <c r="G59" s="500"/>
      <c r="H59" s="500"/>
    </row>
    <row r="60" spans="4:8" ht="12.95" customHeight="1" x14ac:dyDescent="0.2">
      <c r="D60" s="507"/>
      <c r="E60" s="500"/>
      <c r="F60" s="500"/>
      <c r="G60" s="500"/>
      <c r="H60" s="500"/>
    </row>
    <row r="61" spans="4:8" ht="12.95" customHeight="1" x14ac:dyDescent="0.2">
      <c r="D61" s="507"/>
      <c r="E61" s="500"/>
      <c r="F61" s="500"/>
      <c r="G61" s="500"/>
      <c r="H61" s="500"/>
    </row>
    <row r="62" spans="4:8" ht="12.95" customHeight="1" x14ac:dyDescent="0.2">
      <c r="D62" s="507"/>
      <c r="E62" s="500"/>
      <c r="F62" s="500"/>
      <c r="G62" s="500"/>
      <c r="H62" s="500"/>
    </row>
    <row r="63" spans="4:8" ht="12.95" customHeight="1" x14ac:dyDescent="0.2">
      <c r="D63" s="507"/>
      <c r="E63" s="500"/>
      <c r="F63" s="500"/>
      <c r="G63" s="500"/>
      <c r="H63" s="500"/>
    </row>
    <row r="64" spans="4:8" ht="12.95" customHeight="1" x14ac:dyDescent="0.2">
      <c r="D64" s="507"/>
      <c r="E64" s="500"/>
      <c r="F64" s="500"/>
      <c r="G64" s="500"/>
      <c r="H64" s="500"/>
    </row>
    <row r="65" spans="4:8" ht="12.95" customHeight="1" x14ac:dyDescent="0.2">
      <c r="D65" s="507"/>
      <c r="E65" s="500"/>
      <c r="F65" s="500"/>
      <c r="G65" s="500"/>
      <c r="H65" s="500"/>
    </row>
    <row r="66" spans="4:8" ht="12.95" customHeight="1" x14ac:dyDescent="0.2">
      <c r="D66" s="507"/>
      <c r="E66" s="500"/>
      <c r="F66" s="500"/>
      <c r="G66" s="500"/>
      <c r="H66" s="500"/>
    </row>
    <row r="67" spans="4:8" ht="12.95" customHeight="1" x14ac:dyDescent="0.2">
      <c r="D67" s="507"/>
      <c r="E67" s="500"/>
      <c r="F67" s="500"/>
      <c r="G67" s="500"/>
      <c r="H67" s="500"/>
    </row>
    <row r="68" spans="4:8" ht="12.95" customHeight="1" x14ac:dyDescent="0.2">
      <c r="D68" s="507"/>
      <c r="E68" s="500"/>
      <c r="F68" s="500"/>
      <c r="G68" s="500"/>
      <c r="H68" s="500"/>
    </row>
    <row r="69" spans="4:8" ht="12.95" customHeight="1" x14ac:dyDescent="0.2">
      <c r="D69" s="507"/>
      <c r="E69" s="500"/>
      <c r="F69" s="500"/>
      <c r="G69" s="500"/>
      <c r="H69" s="500"/>
    </row>
    <row r="70" spans="4:8" ht="12.95" customHeight="1" x14ac:dyDescent="0.2">
      <c r="D70" s="507"/>
      <c r="E70" s="500"/>
      <c r="F70" s="500"/>
      <c r="G70" s="500"/>
      <c r="H70" s="500"/>
    </row>
    <row r="71" spans="4:8" ht="12.95" customHeight="1" x14ac:dyDescent="0.2">
      <c r="D71" s="507"/>
      <c r="E71" s="500"/>
      <c r="F71" s="500"/>
      <c r="G71" s="500"/>
      <c r="H71" s="500"/>
    </row>
    <row r="72" spans="4:8" ht="12.95" customHeight="1" x14ac:dyDescent="0.2">
      <c r="D72" s="507"/>
      <c r="E72" s="500"/>
      <c r="F72" s="500"/>
      <c r="G72" s="500"/>
      <c r="H72" s="500"/>
    </row>
    <row r="73" spans="4:8" ht="12.95" customHeight="1" x14ac:dyDescent="0.2">
      <c r="D73" s="507"/>
      <c r="E73" s="500"/>
      <c r="F73" s="500"/>
      <c r="G73" s="500"/>
      <c r="H73" s="500"/>
    </row>
    <row r="74" spans="4:8" ht="12.95" customHeight="1" x14ac:dyDescent="0.2">
      <c r="D74" s="507"/>
      <c r="E74" s="500"/>
      <c r="F74" s="500"/>
      <c r="G74" s="500"/>
      <c r="H74" s="500"/>
    </row>
    <row r="75" spans="4:8" ht="12.95" customHeight="1" x14ac:dyDescent="0.2">
      <c r="D75" s="507"/>
      <c r="E75" s="500"/>
      <c r="F75" s="500"/>
      <c r="G75" s="500"/>
      <c r="H75" s="500"/>
    </row>
    <row r="76" spans="4:8" ht="12.95" customHeight="1" x14ac:dyDescent="0.2">
      <c r="D76" s="507"/>
      <c r="E76" s="500"/>
      <c r="F76" s="500"/>
      <c r="G76" s="500"/>
      <c r="H76" s="500"/>
    </row>
    <row r="77" spans="4:8" ht="12.95" customHeight="1" x14ac:dyDescent="0.2">
      <c r="D77" s="507"/>
      <c r="E77" s="500"/>
      <c r="F77" s="500"/>
      <c r="G77" s="500"/>
      <c r="H77" s="500"/>
    </row>
    <row r="78" spans="4:8" ht="12.95" customHeight="1" x14ac:dyDescent="0.2">
      <c r="D78" s="507"/>
      <c r="E78" s="500"/>
      <c r="F78" s="500"/>
      <c r="G78" s="500"/>
      <c r="H78" s="500"/>
    </row>
    <row r="79" spans="4:8" ht="12.95" customHeight="1" x14ac:dyDescent="0.2">
      <c r="D79" s="507"/>
      <c r="E79" s="500"/>
      <c r="F79" s="500"/>
      <c r="G79" s="500"/>
      <c r="H79" s="500"/>
    </row>
    <row r="80" spans="4:8" ht="12.95" customHeight="1" x14ac:dyDescent="0.2">
      <c r="D80" s="507"/>
      <c r="E80" s="500"/>
      <c r="F80" s="500"/>
      <c r="G80" s="500"/>
      <c r="H80" s="500"/>
    </row>
    <row r="81" spans="4:8" ht="12.95" customHeight="1" x14ac:dyDescent="0.2">
      <c r="D81" s="507"/>
      <c r="E81" s="500"/>
      <c r="F81" s="500"/>
      <c r="G81" s="500"/>
      <c r="H81" s="500"/>
    </row>
    <row r="82" spans="4:8" ht="12.95" customHeight="1" x14ac:dyDescent="0.2">
      <c r="D82" s="507"/>
      <c r="E82" s="500"/>
      <c r="F82" s="500"/>
      <c r="G82" s="500"/>
      <c r="H82" s="500"/>
    </row>
    <row r="83" spans="4:8" ht="12.95" customHeight="1" x14ac:dyDescent="0.2">
      <c r="D83" s="507"/>
      <c r="E83" s="500"/>
      <c r="F83" s="500"/>
      <c r="G83" s="500"/>
      <c r="H83" s="500"/>
    </row>
    <row r="84" spans="4:8" ht="12.95" customHeight="1" x14ac:dyDescent="0.2">
      <c r="D84" s="507"/>
      <c r="E84" s="500"/>
      <c r="F84" s="500"/>
      <c r="G84" s="500"/>
      <c r="H84" s="500"/>
    </row>
    <row r="85" spans="4:8" ht="12.95" customHeight="1" x14ac:dyDescent="0.2">
      <c r="D85" s="507"/>
      <c r="E85" s="500"/>
      <c r="F85" s="500"/>
      <c r="G85" s="500"/>
      <c r="H85" s="500"/>
    </row>
    <row r="86" spans="4:8" ht="12.95" customHeight="1" x14ac:dyDescent="0.2">
      <c r="D86" s="507"/>
      <c r="E86" s="500"/>
      <c r="F86" s="500"/>
      <c r="G86" s="500"/>
      <c r="H86" s="500"/>
    </row>
    <row r="87" spans="4:8" ht="12.95" customHeight="1" x14ac:dyDescent="0.2">
      <c r="D87" s="507"/>
      <c r="E87" s="500"/>
      <c r="F87" s="500"/>
      <c r="G87" s="500"/>
      <c r="H87" s="500"/>
    </row>
    <row r="88" spans="4:8" ht="12.95" customHeight="1" x14ac:dyDescent="0.2">
      <c r="D88" s="507"/>
      <c r="E88" s="500"/>
      <c r="F88" s="500"/>
      <c r="G88" s="500"/>
      <c r="H88" s="500"/>
    </row>
    <row r="89" spans="4:8" ht="12.95" customHeight="1" x14ac:dyDescent="0.2">
      <c r="D89" s="507"/>
      <c r="E89" s="500"/>
      <c r="F89" s="500"/>
      <c r="G89" s="500"/>
      <c r="H89" s="500"/>
    </row>
    <row r="90" spans="4:8" ht="12.95" customHeight="1" x14ac:dyDescent="0.2">
      <c r="D90" s="507"/>
      <c r="E90" s="500"/>
      <c r="F90" s="500"/>
      <c r="G90" s="500"/>
      <c r="H90" s="500"/>
    </row>
    <row r="91" spans="4:8" ht="12.95" customHeight="1" x14ac:dyDescent="0.2">
      <c r="D91" s="507"/>
      <c r="E91" s="500"/>
      <c r="F91" s="500"/>
      <c r="G91" s="500"/>
      <c r="H91" s="500"/>
    </row>
    <row r="92" spans="4:8" ht="12.95" customHeight="1" x14ac:dyDescent="0.2">
      <c r="D92" s="507"/>
      <c r="E92" s="500"/>
      <c r="F92" s="500"/>
      <c r="G92" s="500"/>
      <c r="H92" s="500"/>
    </row>
    <row r="93" spans="4:8" ht="12.95" customHeight="1" x14ac:dyDescent="0.2">
      <c r="D93" s="507"/>
      <c r="E93" s="500"/>
      <c r="F93" s="500"/>
      <c r="G93" s="500"/>
      <c r="H93" s="500"/>
    </row>
    <row r="94" spans="4:8" ht="12.95" customHeight="1" x14ac:dyDescent="0.2">
      <c r="D94" s="507"/>
      <c r="E94" s="500"/>
      <c r="F94" s="500"/>
      <c r="G94" s="500"/>
      <c r="H94" s="500"/>
    </row>
    <row r="95" spans="4:8" ht="12.95" customHeight="1" x14ac:dyDescent="0.2">
      <c r="D95" s="507"/>
      <c r="E95" s="500"/>
      <c r="F95" s="500"/>
      <c r="G95" s="500"/>
      <c r="H95" s="500"/>
    </row>
    <row r="96" spans="4:8" ht="12.95" customHeight="1" x14ac:dyDescent="0.2">
      <c r="D96" s="507"/>
      <c r="E96" s="500"/>
      <c r="F96" s="500"/>
      <c r="G96" s="500"/>
      <c r="H96" s="500"/>
    </row>
    <row r="97" spans="2:10" ht="12.95" customHeight="1" x14ac:dyDescent="0.2">
      <c r="D97" s="507"/>
      <c r="E97" s="500"/>
      <c r="F97" s="500"/>
      <c r="G97" s="500"/>
      <c r="H97" s="500"/>
    </row>
    <row r="98" spans="2:10" ht="12.95" customHeight="1" x14ac:dyDescent="0.2">
      <c r="D98" s="507"/>
      <c r="E98" s="500"/>
      <c r="F98" s="500"/>
      <c r="G98" s="500"/>
      <c r="H98" s="500"/>
    </row>
    <row r="99" spans="2:10" ht="12.95" customHeight="1" x14ac:dyDescent="0.2">
      <c r="D99" s="507"/>
      <c r="E99" s="500"/>
      <c r="F99" s="500"/>
      <c r="G99" s="500"/>
      <c r="H99" s="500"/>
    </row>
    <row r="100" spans="2:10" ht="12.95" customHeight="1" x14ac:dyDescent="0.2">
      <c r="D100" s="507"/>
      <c r="E100" s="500"/>
      <c r="F100" s="500"/>
      <c r="G100" s="500"/>
      <c r="H100" s="500"/>
    </row>
    <row r="101" spans="2:10" ht="12.95" customHeight="1" x14ac:dyDescent="0.2">
      <c r="D101" s="507"/>
      <c r="E101" s="500"/>
      <c r="F101" s="500"/>
      <c r="G101" s="500"/>
      <c r="H101" s="500"/>
    </row>
    <row r="102" spans="2:10" ht="12.95" customHeight="1" x14ac:dyDescent="0.2">
      <c r="D102" s="507"/>
      <c r="E102" s="500"/>
      <c r="F102" s="500"/>
      <c r="G102" s="500"/>
      <c r="H102" s="500"/>
    </row>
    <row r="103" spans="2:10" ht="12.95" customHeight="1" x14ac:dyDescent="0.2">
      <c r="D103" s="507"/>
      <c r="E103" s="500"/>
      <c r="F103" s="500"/>
      <c r="G103" s="500"/>
      <c r="H103" s="500"/>
    </row>
    <row r="104" spans="2:10" ht="12.95" customHeight="1" x14ac:dyDescent="0.2">
      <c r="D104" s="507"/>
      <c r="E104" s="500"/>
      <c r="F104" s="500"/>
      <c r="G104" s="500"/>
      <c r="H104" s="500"/>
    </row>
    <row r="105" spans="2:10" ht="12.95" customHeight="1" x14ac:dyDescent="0.2">
      <c r="D105" s="507"/>
      <c r="E105" s="500"/>
      <c r="F105" s="500"/>
      <c r="G105" s="500"/>
      <c r="H105" s="500"/>
    </row>
    <row r="106" spans="2:10" ht="12.95" customHeight="1" x14ac:dyDescent="0.2">
      <c r="D106" s="509"/>
      <c r="E106" s="503"/>
      <c r="F106" s="503"/>
      <c r="G106" s="503"/>
      <c r="H106" s="503"/>
    </row>
    <row r="107" spans="2:10" ht="12.95" customHeight="1" x14ac:dyDescent="0.2">
      <c r="D107" s="509"/>
      <c r="E107" s="503"/>
      <c r="F107" s="503"/>
      <c r="G107" s="503"/>
      <c r="H107" s="503"/>
    </row>
    <row r="108" spans="2:10" ht="12.95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801" t="s">
        <v>523</v>
      </c>
      <c r="C110" s="801"/>
      <c r="D110" s="801"/>
      <c r="E110" s="801"/>
      <c r="F110" s="801"/>
      <c r="G110" s="801"/>
      <c r="H110" s="801"/>
      <c r="I110" s="801"/>
      <c r="J110" s="801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704850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895350</xdr:colOff>
                    <xdr:row>1</xdr:row>
                    <xdr:rowOff>47625</xdr:rowOff>
                  </from>
                  <to>
                    <xdr:col>7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2578125" defaultRowHeight="11.25" x14ac:dyDescent="0.2"/>
  <cols>
    <col min="1" max="1" width="2.7109375" style="60" customWidth="1"/>
    <col min="2" max="2" width="2.5703125" style="60" customWidth="1"/>
    <col min="3" max="3" width="3.42578125" style="68" customWidth="1"/>
    <col min="4" max="4" width="32.285156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4.7109375" style="60" customWidth="1"/>
    <col min="9" max="16384" width="11.42578125" style="60"/>
  </cols>
  <sheetData>
    <row r="1" spans="2:7" ht="12.75" x14ac:dyDescent="0.2">
      <c r="C1" s="67"/>
      <c r="D1" s="77" t="s">
        <v>189</v>
      </c>
    </row>
    <row r="2" spans="2:7" ht="12.75" x14ac:dyDescent="0.2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5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5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5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5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5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5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5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5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5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5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5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5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5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5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5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5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5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5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5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5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5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5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5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5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5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5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5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5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5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5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5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5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5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5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5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507</v>
      </c>
    </row>
    <row r="2" spans="2:15" x14ac:dyDescent="0.2">
      <c r="B2" t="s">
        <v>508</v>
      </c>
      <c r="H2" s="33"/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">
      <c r="B16" s="268" t="s">
        <v>509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">
      <c r="B22" s="268" t="s">
        <v>510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">
      <c r="B39" s="268" t="s">
        <v>511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506</v>
      </c>
    </row>
    <row r="2" spans="2:15" x14ac:dyDescent="0.2">
      <c r="B2" t="s">
        <v>255</v>
      </c>
      <c r="H2" s="33"/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2.75" x14ac:dyDescent="0.2"/>
  <cols>
    <col min="1" max="1" width="2.7109375" customWidth="1"/>
    <col min="2" max="2" width="15.5703125" customWidth="1"/>
    <col min="3" max="14" width="6.7109375" customWidth="1"/>
  </cols>
  <sheetData>
    <row r="1" spans="2:15" x14ac:dyDescent="0.2">
      <c r="B1" s="5" t="s">
        <v>256</v>
      </c>
    </row>
    <row r="2" spans="2:15" x14ac:dyDescent="0.2">
      <c r="B2" t="s">
        <v>257</v>
      </c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2.75" x14ac:dyDescent="0.2"/>
  <cols>
    <col min="1" max="1" width="3.5703125" customWidth="1"/>
    <col min="2" max="2" width="14.28515625" customWidth="1"/>
    <col min="3" max="3" width="26.140625" customWidth="1"/>
    <col min="4" max="4" width="12.42578125" customWidth="1"/>
    <col min="6" max="6" width="15.85546875" customWidth="1"/>
    <col min="7" max="7" width="15" customWidth="1"/>
    <col min="8" max="8" width="15.28515625" customWidth="1"/>
    <col min="9" max="9" width="15.42578125" customWidth="1"/>
    <col min="10" max="10" width="13.7109375" customWidth="1"/>
    <col min="11" max="11" width="15" customWidth="1"/>
    <col min="12" max="12" width="17" customWidth="1"/>
    <col min="13" max="13" width="18.140625" customWidth="1"/>
    <col min="14" max="14" width="13.5703125" customWidth="1"/>
    <col min="15" max="15" width="17.140625" customWidth="1"/>
    <col min="16" max="16" width="12" customWidth="1"/>
    <col min="18" max="18" width="17.28515625" customWidth="1"/>
    <col min="20" max="20" width="16.140625" customWidth="1"/>
  </cols>
  <sheetData>
    <row r="1" spans="1:13" ht="15.75" x14ac:dyDescent="0.25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75" x14ac:dyDescent="0.25">
      <c r="A2" s="25"/>
      <c r="B2" s="5" t="s">
        <v>322</v>
      </c>
      <c r="C2" s="5" t="str">
        <f>Datos!G5</f>
        <v>SALAMANCA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">
      <c r="I3" s="124" t="s">
        <v>324</v>
      </c>
      <c r="J3" s="125"/>
      <c r="K3" s="35">
        <v>0.8</v>
      </c>
      <c r="L3" s="123">
        <v>1.2</v>
      </c>
    </row>
    <row r="4" spans="1:13" x14ac:dyDescent="0.2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">
      <c r="B5" s="5"/>
      <c r="I5" s="54"/>
      <c r="J5" s="15"/>
      <c r="K5" s="35"/>
      <c r="L5" s="35"/>
    </row>
    <row r="6" spans="1:13" x14ac:dyDescent="0.2">
      <c r="B6" s="5"/>
      <c r="I6" s="174" t="s">
        <v>704</v>
      </c>
      <c r="J6" s="270">
        <f>Datos!AA51</f>
        <v>1</v>
      </c>
      <c r="K6" s="271"/>
      <c r="L6" s="270"/>
      <c r="M6" s="156"/>
    </row>
    <row r="7" spans="1:13" x14ac:dyDescent="0.2">
      <c r="B7" s="5"/>
      <c r="I7" s="802" t="s">
        <v>516</v>
      </c>
      <c r="J7" s="802"/>
      <c r="K7" s="802"/>
      <c r="L7" s="802"/>
    </row>
    <row r="8" spans="1:13" x14ac:dyDescent="0.2">
      <c r="B8" s="5"/>
      <c r="I8" s="172" t="s">
        <v>514</v>
      </c>
      <c r="J8" s="15"/>
      <c r="K8" s="172" t="s">
        <v>517</v>
      </c>
      <c r="L8" s="198" t="s">
        <v>515</v>
      </c>
    </row>
    <row r="9" spans="1:13" x14ac:dyDescent="0.2">
      <c r="B9" s="5"/>
      <c r="G9">
        <f>IF(OR(J6=1,J6=4),IF(I9&lt;500,IF(((I9-FLOOR(I9,50))/FLOOR(I9,50))&gt;0.04,CEILING(I9,50),FLOOR(I9,50)),IF(((I9-FLOOR(I9,500))/FLOOR(I9,500))&gt;0.04,CEILING(I9,500),FLOOR(I9,500))),Datos!F73)</f>
        <v>1500</v>
      </c>
      <c r="I9" s="27">
        <f>G15*G17</f>
        <v>1079.7457426106412</v>
      </c>
      <c r="J9" s="19" t="s">
        <v>18</v>
      </c>
      <c r="K9">
        <f>G15*K18</f>
        <v>1320</v>
      </c>
      <c r="L9" s="35"/>
    </row>
    <row r="10" spans="1:13" x14ac:dyDescent="0.2">
      <c r="B10" s="5"/>
      <c r="I10" s="803"/>
      <c r="J10" s="803"/>
      <c r="K10" s="803"/>
      <c r="L10" s="803"/>
    </row>
    <row r="11" spans="1:13" x14ac:dyDescent="0.2">
      <c r="I11" s="195"/>
      <c r="K11" s="18"/>
    </row>
    <row r="12" spans="1:13" x14ac:dyDescent="0.2">
      <c r="I12" s="18"/>
      <c r="K12" s="18"/>
    </row>
    <row r="13" spans="1:13" x14ac:dyDescent="0.2">
      <c r="F13" t="s">
        <v>679</v>
      </c>
      <c r="G13">
        <v>45</v>
      </c>
      <c r="H13" t="s">
        <v>12</v>
      </c>
      <c r="I13" s="217"/>
      <c r="J13" t="s">
        <v>519</v>
      </c>
      <c r="K13" s="272"/>
      <c r="L13" s="274"/>
    </row>
    <row r="14" spans="1:13" x14ac:dyDescent="0.2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520</v>
      </c>
      <c r="K14" s="176"/>
      <c r="L14" s="176"/>
      <c r="M14" s="5"/>
    </row>
    <row r="15" spans="1:13" x14ac:dyDescent="0.2">
      <c r="B15" s="74" t="s">
        <v>14</v>
      </c>
      <c r="C15" s="164">
        <f>Principal!G42</f>
        <v>0.8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518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1500</v>
      </c>
      <c r="L15" s="251">
        <f>Principal!G65</f>
        <v>2500</v>
      </c>
      <c r="M15" s="5"/>
    </row>
    <row r="16" spans="1:13" x14ac:dyDescent="0.2">
      <c r="B16" s="74" t="s">
        <v>13</v>
      </c>
      <c r="C16" s="164">
        <f>Principal!G43</f>
        <v>3.2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">
      <c r="B17" s="38" t="s">
        <v>15</v>
      </c>
      <c r="C17" s="165">
        <v>0.95</v>
      </c>
      <c r="D17" s="39"/>
      <c r="F17" s="1" t="s">
        <v>40</v>
      </c>
      <c r="G17" s="57">
        <v>14.396609901475216</v>
      </c>
      <c r="H17" s="16" t="s">
        <v>16</v>
      </c>
      <c r="I17" s="15">
        <f>G17/C19</f>
        <v>6.5439135915796429</v>
      </c>
      <c r="J17" t="s">
        <v>330</v>
      </c>
      <c r="K17" s="129">
        <f>IF(I17&lt;=1,1,IF(((I17-INT(I17))/INT(I17))&lt;0.01,EVEN(INT(I17)),EVEN(I17)))</f>
        <v>8</v>
      </c>
      <c r="L17" s="130" t="s">
        <v>330</v>
      </c>
      <c r="M17" s="131">
        <f>Principal!G63</f>
        <v>10</v>
      </c>
      <c r="N17" s="132" t="s">
        <v>330</v>
      </c>
    </row>
    <row r="18" spans="2:25" x14ac:dyDescent="0.2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17.600000000000001</v>
      </c>
      <c r="L18" s="134" t="s">
        <v>16</v>
      </c>
      <c r="M18" s="135">
        <f>M17*C19</f>
        <v>22</v>
      </c>
      <c r="N18" s="136" t="s">
        <v>16</v>
      </c>
    </row>
    <row r="19" spans="2:25" x14ac:dyDescent="0.2">
      <c r="B19" s="74" t="s">
        <v>36</v>
      </c>
      <c r="C19" s="164">
        <f>Principal!G41</f>
        <v>2.2000000000000002</v>
      </c>
      <c r="D19" s="76" t="s">
        <v>27</v>
      </c>
      <c r="F19" s="1" t="s">
        <v>20</v>
      </c>
      <c r="G19" s="55">
        <f>Q40/G40</f>
        <v>0.59991800023357977</v>
      </c>
      <c r="H19" s="16"/>
      <c r="I19" s="5"/>
      <c r="J19" s="137" t="s">
        <v>331</v>
      </c>
      <c r="K19" s="138">
        <f>Q55/G55</f>
        <v>0.69515145460485328</v>
      </c>
      <c r="L19" s="139"/>
      <c r="M19" s="140" t="s">
        <v>332</v>
      </c>
      <c r="N19" s="141">
        <f>Q70/G70</f>
        <v>0.79243285212548453</v>
      </c>
      <c r="O19" s="142"/>
    </row>
    <row r="20" spans="2:25" x14ac:dyDescent="0.2">
      <c r="B20" s="74" t="s">
        <v>29</v>
      </c>
      <c r="C20" s="164">
        <f>Principal!G44</f>
        <v>2.1</v>
      </c>
      <c r="D20" s="76" t="s">
        <v>30</v>
      </c>
      <c r="F20" s="4" t="s">
        <v>53</v>
      </c>
      <c r="G20" s="56">
        <f>R40</f>
        <v>714.30981290161378</v>
      </c>
      <c r="H20" s="17" t="s">
        <v>26</v>
      </c>
      <c r="J20" s="143" t="s">
        <v>333</v>
      </c>
      <c r="K20" s="144">
        <f>R55</f>
        <v>677.05153707940076</v>
      </c>
      <c r="L20" s="134" t="s">
        <v>26</v>
      </c>
      <c r="M20" s="145" t="s">
        <v>334</v>
      </c>
      <c r="N20" s="146">
        <f>R70</f>
        <v>617.43998607468598</v>
      </c>
      <c r="O20" s="147" t="s">
        <v>26</v>
      </c>
    </row>
    <row r="21" spans="2:25" x14ac:dyDescent="0.2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">
      <c r="B23" s="149" t="s">
        <v>265</v>
      </c>
      <c r="C23" s="167">
        <f>Datos!G7</f>
        <v>40.968975</v>
      </c>
      <c r="D23" s="150" t="s">
        <v>32</v>
      </c>
      <c r="E23" s="151" t="s">
        <v>337</v>
      </c>
      <c r="F23" s="152">
        <f>67-C23</f>
        <v>26.031025</v>
      </c>
      <c r="G23" s="153" t="s">
        <v>32</v>
      </c>
      <c r="H23" s="19"/>
      <c r="J23" t="s">
        <v>338</v>
      </c>
      <c r="K23" s="32">
        <f>C20*SIN(C22*PI()/180)</f>
        <v>1.818653347947321</v>
      </c>
      <c r="L23" s="19" t="s">
        <v>30</v>
      </c>
      <c r="M23" s="6" t="s">
        <v>339</v>
      </c>
      <c r="N23">
        <f>Principal!G70</f>
        <v>2</v>
      </c>
      <c r="O23" t="s">
        <v>30</v>
      </c>
    </row>
    <row r="24" spans="2:25" x14ac:dyDescent="0.2">
      <c r="G24" s="18"/>
      <c r="H24" s="19"/>
      <c r="J24" s="36" t="s">
        <v>340</v>
      </c>
      <c r="K24" s="154">
        <f>K23/TAN(F23*PI()/180)</f>
        <v>3.723673085106916</v>
      </c>
      <c r="L24" s="37" t="s">
        <v>30</v>
      </c>
      <c r="M24" s="155" t="s">
        <v>340</v>
      </c>
      <c r="N24" s="259">
        <f>N23/TAN(F23*PI()/180)</f>
        <v>4.0949783963059856</v>
      </c>
      <c r="O24" s="156" t="s">
        <v>30</v>
      </c>
    </row>
    <row r="25" spans="2:25" x14ac:dyDescent="0.2">
      <c r="B25" s="5" t="s">
        <v>43</v>
      </c>
      <c r="G25" s="18"/>
      <c r="H25" s="19"/>
      <c r="J25" s="7"/>
      <c r="P25" s="46"/>
    </row>
    <row r="26" spans="2:25" x14ac:dyDescent="0.2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">
      <c r="B28" s="2" t="s">
        <v>0</v>
      </c>
      <c r="C28" s="35">
        <v>31</v>
      </c>
      <c r="D28" s="12">
        <f>C28*24</f>
        <v>744</v>
      </c>
      <c r="E28" s="45">
        <f>Datos!F16</f>
        <v>4</v>
      </c>
      <c r="F28" s="35">
        <f>Datos!E16</f>
        <v>5</v>
      </c>
      <c r="G28" s="12">
        <f>Principal!$H$17*C28*($G$16-F28)*0.00116</f>
        <v>1578.2843999999998</v>
      </c>
      <c r="H28" s="10">
        <f>$G$14</f>
        <v>1</v>
      </c>
      <c r="I28" s="10">
        <f>(11.6+1.18*$G$13+3.86*F28-2.32*E28)/(100-E28)</f>
        <v>0.77833333333333321</v>
      </c>
      <c r="J28" s="168">
        <f>Datos!I16</f>
        <v>2.219834479166666</v>
      </c>
      <c r="K28" s="12">
        <f t="shared" ref="K28:K39" si="0">J28*C28</f>
        <v>68.814868854166647</v>
      </c>
      <c r="L28" s="11">
        <f>$G$17*$C$15*$C$17*$C$18*K28</f>
        <v>722.8153199607425</v>
      </c>
      <c r="M28" s="10">
        <f t="shared" ref="M28:M39" si="1">L28/G28</f>
        <v>0.45797533065697321</v>
      </c>
      <c r="N28" s="11">
        <f>$G$17*$C$16*$C$17*(100-E28)*D28*H28*I28/1000</f>
        <v>2433.0084614120306</v>
      </c>
      <c r="O28" s="46">
        <f t="shared" ref="O28:O39" si="2">N28/G28</f>
        <v>1.5415526260108956</v>
      </c>
      <c r="P28" s="46">
        <f>1.029*M28-0.065*O28-0.245*M28^2+0.0018*O28^2+0.0215*M28^3</f>
        <v>0.32601175515319109</v>
      </c>
      <c r="Q28" s="11">
        <f>IF(P28&gt;1,1*G28,P28*G28)</f>
        <v>514.53926737490099</v>
      </c>
      <c r="R28" s="50">
        <f>Q28/$G$17</f>
        <v>35.740307676335405</v>
      </c>
      <c r="T28" s="3"/>
      <c r="U28" s="3"/>
      <c r="V28" s="3"/>
      <c r="W28" s="3"/>
      <c r="X28" s="3"/>
    </row>
    <row r="29" spans="2:25" x14ac:dyDescent="0.2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5</v>
      </c>
      <c r="F29" s="35">
        <f>Datos!E17</f>
        <v>6</v>
      </c>
      <c r="G29" s="12">
        <f>Principal!$H$17*C29*($G$16-F29)*0.00116</f>
        <v>1399.6281599999998</v>
      </c>
      <c r="H29" s="10">
        <f t="shared" ref="H29:H39" si="4">$G$14</f>
        <v>1</v>
      </c>
      <c r="I29" s="10">
        <f t="shared" ref="I29:I39" si="5">(11.6+1.18*$G$13+3.86*F29-2.32*E29)/(100-E29)</f>
        <v>0.80273684210526308</v>
      </c>
      <c r="J29" s="168">
        <f>Datos!I17</f>
        <v>3.0893406250000002</v>
      </c>
      <c r="K29" s="12">
        <f t="shared" si="0"/>
        <v>86.501537500000012</v>
      </c>
      <c r="L29" s="11">
        <f t="shared" ref="L29:L39" si="6">$G$17*$C$15*$C$17*$C$18*K29</f>
        <v>908.5919590671848</v>
      </c>
      <c r="M29" s="10">
        <f t="shared" si="1"/>
        <v>0.64916667514547932</v>
      </c>
      <c r="N29" s="11">
        <f t="shared" ref="N29:N39" si="7">$G$17*$C$16*$C$17*(100-E29)*D29*H29*I29/1000</f>
        <v>2242.848271173189</v>
      </c>
      <c r="O29" s="46">
        <f t="shared" si="2"/>
        <v>1.6024600928100714</v>
      </c>
      <c r="P29" s="46">
        <f t="shared" ref="P29:P39" si="8">1.029*M29-0.065*O29-0.245*M29^2+0.0018*O29^2+0.0215*M29^3</f>
        <v>0.47108928500867692</v>
      </c>
      <c r="Q29" s="11">
        <f t="shared" ref="Q29:Q39" si="9">IF(P29&gt;1,1*G29,P29*G29)</f>
        <v>659.34982917240995</v>
      </c>
      <c r="R29" s="50">
        <f t="shared" ref="R29:R39" si="10">Q29/$G$17</f>
        <v>45.798964734388377</v>
      </c>
      <c r="T29" s="8"/>
      <c r="U29" s="8"/>
      <c r="V29" s="41"/>
      <c r="W29" s="34"/>
      <c r="X29" s="11"/>
      <c r="Y29" s="11"/>
    </row>
    <row r="30" spans="2:25" x14ac:dyDescent="0.2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8</v>
      </c>
      <c r="G30" s="12">
        <f>Principal!$H$17*C30*($G$16-F30)*0.00116</f>
        <v>1492.1961599999997</v>
      </c>
      <c r="H30" s="10">
        <f t="shared" si="4"/>
        <v>1</v>
      </c>
      <c r="I30" s="10">
        <f t="shared" si="5"/>
        <v>0.8371739130434781</v>
      </c>
      <c r="J30" s="168">
        <f>Datos!I18</f>
        <v>3.7629562500000007</v>
      </c>
      <c r="K30" s="12">
        <f t="shared" si="0"/>
        <v>116.65164375000002</v>
      </c>
      <c r="L30" s="11">
        <f t="shared" si="6"/>
        <v>1225.2816376034914</v>
      </c>
      <c r="M30" s="10">
        <f t="shared" si="1"/>
        <v>0.82112638435116436</v>
      </c>
      <c r="N30" s="11">
        <f t="shared" si="7"/>
        <v>2507.9003171567801</v>
      </c>
      <c r="O30" s="46">
        <f t="shared" si="2"/>
        <v>1.6806773696273154</v>
      </c>
      <c r="P30" s="46">
        <f t="shared" si="8"/>
        <v>0.58749187615346343</v>
      </c>
      <c r="Q30" s="11">
        <f t="shared" si="9"/>
        <v>876.6531216273936</v>
      </c>
      <c r="R30" s="50">
        <f t="shared" si="10"/>
        <v>60.893024651419026</v>
      </c>
      <c r="T30" s="8"/>
      <c r="U30" s="8"/>
      <c r="V30" s="41"/>
      <c r="W30" s="34"/>
      <c r="X30" s="11"/>
      <c r="Y30" s="11"/>
    </row>
    <row r="31" spans="2:25" x14ac:dyDescent="0.2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10</v>
      </c>
      <c r="G31" s="12">
        <f>Principal!$H$17*C31*($G$16-F31)*0.00116</f>
        <v>1388.5199999999998</v>
      </c>
      <c r="H31" s="10">
        <f t="shared" si="4"/>
        <v>1</v>
      </c>
      <c r="I31" s="10">
        <f t="shared" si="5"/>
        <v>0.88999999999999979</v>
      </c>
      <c r="J31" s="168">
        <f>Datos!I19</f>
        <v>4.0161428125</v>
      </c>
      <c r="K31" s="12">
        <f t="shared" si="0"/>
        <v>120.484284375</v>
      </c>
      <c r="L31" s="11">
        <f t="shared" si="6"/>
        <v>1265.5388001292929</v>
      </c>
      <c r="M31" s="10">
        <f t="shared" si="1"/>
        <v>0.91143001190425277</v>
      </c>
      <c r="N31" s="11">
        <f t="shared" si="7"/>
        <v>2524.0551101631509</v>
      </c>
      <c r="O31" s="46">
        <f t="shared" si="2"/>
        <v>1.8178024876581909</v>
      </c>
      <c r="P31" s="46">
        <f t="shared" si="8"/>
        <v>0.63840788485580247</v>
      </c>
      <c r="Q31" s="11">
        <f t="shared" si="9"/>
        <v>886.44211627997868</v>
      </c>
      <c r="R31" s="50">
        <f t="shared" si="10"/>
        <v>61.572976023275118</v>
      </c>
      <c r="T31" s="8"/>
      <c r="U31" s="8"/>
      <c r="V31" s="41"/>
      <c r="W31" s="34"/>
      <c r="X31" s="11"/>
      <c r="Y31" s="11"/>
    </row>
    <row r="32" spans="2:25" x14ac:dyDescent="0.2">
      <c r="B32" s="2" t="s">
        <v>4</v>
      </c>
      <c r="C32" s="35">
        <v>31</v>
      </c>
      <c r="D32" s="12">
        <f t="shared" si="3"/>
        <v>744</v>
      </c>
      <c r="E32" s="45">
        <f>Datos!F20</f>
        <v>14</v>
      </c>
      <c r="F32" s="35">
        <f>Datos!E20</f>
        <v>11</v>
      </c>
      <c r="G32" s="12">
        <f>Principal!$H$17*C32*($G$16-F32)*0.00116</f>
        <v>1406.1079199999997</v>
      </c>
      <c r="H32" s="10">
        <f t="shared" si="4"/>
        <v>1</v>
      </c>
      <c r="I32" s="10">
        <f t="shared" si="5"/>
        <v>0.86837209302325591</v>
      </c>
      <c r="J32" s="168">
        <f>Datos!I20</f>
        <v>3.9658152083333333</v>
      </c>
      <c r="K32" s="12">
        <f t="shared" si="0"/>
        <v>122.94027145833333</v>
      </c>
      <c r="L32" s="11">
        <f t="shared" si="6"/>
        <v>1291.3359151862307</v>
      </c>
      <c r="M32" s="10">
        <f t="shared" si="1"/>
        <v>0.91837610528943681</v>
      </c>
      <c r="N32" s="11">
        <f t="shared" si="7"/>
        <v>2431.705994355601</v>
      </c>
      <c r="O32" s="46">
        <f t="shared" si="2"/>
        <v>1.7293878796697209</v>
      </c>
      <c r="P32" s="46">
        <f t="shared" si="8"/>
        <v>0.64799890964588613</v>
      </c>
      <c r="Q32" s="11">
        <f t="shared" si="9"/>
        <v>911.15639900444467</v>
      </c>
      <c r="R32" s="50">
        <f t="shared" si="10"/>
        <v>63.289649802282881</v>
      </c>
      <c r="T32" s="8"/>
      <c r="U32" s="8"/>
      <c r="V32" s="41"/>
      <c r="W32" s="34"/>
      <c r="X32" s="11"/>
      <c r="Y32" s="11"/>
    </row>
    <row r="33" spans="2:25" x14ac:dyDescent="0.2">
      <c r="B33" s="2" t="s">
        <v>5</v>
      </c>
      <c r="C33" s="35">
        <v>30</v>
      </c>
      <c r="D33" s="12">
        <f t="shared" si="3"/>
        <v>720</v>
      </c>
      <c r="E33" s="45">
        <f>Datos!F21</f>
        <v>18</v>
      </c>
      <c r="F33" s="35">
        <f>Datos!E21</f>
        <v>12</v>
      </c>
      <c r="G33" s="12">
        <f>Principal!$H$17*C33*($G$16-F33)*0.00116</f>
        <v>1332.9791999999998</v>
      </c>
      <c r="H33" s="10">
        <f t="shared" si="4"/>
        <v>1</v>
      </c>
      <c r="I33" s="10">
        <f t="shared" si="5"/>
        <v>0.84463414634146328</v>
      </c>
      <c r="J33" s="168">
        <f>Datos!I21</f>
        <v>4.2956545833333326</v>
      </c>
      <c r="K33" s="12">
        <f t="shared" si="0"/>
        <v>128.86963749999998</v>
      </c>
      <c r="L33" s="11">
        <f t="shared" si="6"/>
        <v>1353.616592079683</v>
      </c>
      <c r="M33" s="10">
        <f t="shared" si="1"/>
        <v>1.0154821561204279</v>
      </c>
      <c r="N33" s="11">
        <f t="shared" si="7"/>
        <v>2182.4726208476882</v>
      </c>
      <c r="O33" s="46">
        <f t="shared" si="2"/>
        <v>1.6372893296817299</v>
      </c>
      <c r="P33" s="46">
        <f t="shared" si="8"/>
        <v>0.71320177866780299</v>
      </c>
      <c r="Q33" s="11">
        <f t="shared" si="9"/>
        <v>950.68313636718494</v>
      </c>
      <c r="R33" s="50">
        <f t="shared" si="10"/>
        <v>66.035208488198933</v>
      </c>
      <c r="T33" s="8"/>
      <c r="U33" s="8"/>
      <c r="V33" s="41"/>
      <c r="W33" s="34"/>
      <c r="X33" s="11"/>
      <c r="Y33" s="11"/>
    </row>
    <row r="34" spans="2:25" x14ac:dyDescent="0.2">
      <c r="B34" s="2" t="s">
        <v>6</v>
      </c>
      <c r="C34" s="35">
        <v>31</v>
      </c>
      <c r="D34" s="12">
        <f t="shared" si="3"/>
        <v>744</v>
      </c>
      <c r="E34" s="45">
        <f>Datos!F22</f>
        <v>21</v>
      </c>
      <c r="F34" s="35">
        <f>Datos!E22</f>
        <v>13</v>
      </c>
      <c r="G34" s="12">
        <f>Principal!$H$17*C34*($G$16-F34)*0.00116</f>
        <v>1348.7157599999998</v>
      </c>
      <c r="H34" s="10">
        <f t="shared" si="4"/>
        <v>1</v>
      </c>
      <c r="I34" s="10">
        <f t="shared" si="5"/>
        <v>0.8374683544303797</v>
      </c>
      <c r="J34" s="168">
        <f>Datos!I22</f>
        <v>4.9522362500000003</v>
      </c>
      <c r="K34" s="12">
        <f t="shared" si="0"/>
        <v>153.51932375000001</v>
      </c>
      <c r="L34" s="11">
        <f t="shared" si="6"/>
        <v>1612.5311428213849</v>
      </c>
      <c r="M34" s="10">
        <f t="shared" si="1"/>
        <v>1.1956048788377658</v>
      </c>
      <c r="N34" s="11">
        <f t="shared" si="7"/>
        <v>2154.28051133592</v>
      </c>
      <c r="O34" s="46">
        <f t="shared" si="2"/>
        <v>1.5972828191285615</v>
      </c>
      <c r="P34" s="46">
        <f t="shared" si="8"/>
        <v>0.81757127242859995</v>
      </c>
      <c r="Q34" s="11">
        <f t="shared" si="9"/>
        <v>1102.671260047706</v>
      </c>
      <c r="R34" s="50">
        <f t="shared" si="10"/>
        <v>76.592424716232372</v>
      </c>
      <c r="T34" s="8"/>
      <c r="U34" s="8"/>
      <c r="V34" s="41"/>
      <c r="W34" s="34"/>
      <c r="X34" s="11"/>
      <c r="Y34" s="11"/>
    </row>
    <row r="35" spans="2:25" x14ac:dyDescent="0.2">
      <c r="B35" s="2" t="s">
        <v>7</v>
      </c>
      <c r="C35" s="35">
        <v>31</v>
      </c>
      <c r="D35" s="12">
        <f t="shared" si="3"/>
        <v>744</v>
      </c>
      <c r="E35" s="45">
        <f>Datos!F23</f>
        <v>21</v>
      </c>
      <c r="F35" s="35">
        <f>Datos!E23</f>
        <v>12</v>
      </c>
      <c r="G35" s="12">
        <f>Principal!$H$17*C35*($G$16-F35)*0.00116</f>
        <v>1377.4118399999998</v>
      </c>
      <c r="H35" s="10">
        <f t="shared" si="4"/>
        <v>1</v>
      </c>
      <c r="I35" s="10">
        <f t="shared" si="5"/>
        <v>0.78860759493670862</v>
      </c>
      <c r="J35" s="168">
        <f>Datos!I23</f>
        <v>5.3662130555555558</v>
      </c>
      <c r="K35" s="12">
        <f t="shared" si="0"/>
        <v>166.35260472222222</v>
      </c>
      <c r="L35" s="11">
        <f t="shared" si="6"/>
        <v>1747.3289306619884</v>
      </c>
      <c r="M35" s="10">
        <f t="shared" si="1"/>
        <v>1.268559540378271</v>
      </c>
      <c r="N35" s="11">
        <f t="shared" si="7"/>
        <v>2028.5924403903839</v>
      </c>
      <c r="O35" s="46">
        <f t="shared" si="2"/>
        <v>1.4727566450934415</v>
      </c>
      <c r="P35" s="46">
        <f t="shared" si="8"/>
        <v>0.86314874706435085</v>
      </c>
      <c r="Q35" s="11">
        <f t="shared" si="9"/>
        <v>1188.9113038876019</v>
      </c>
      <c r="R35" s="50">
        <f t="shared" si="10"/>
        <v>82.582726907518307</v>
      </c>
      <c r="T35" s="8"/>
      <c r="U35" s="8"/>
      <c r="V35" s="41"/>
      <c r="W35" s="34"/>
      <c r="X35" s="11"/>
      <c r="Y35" s="11"/>
    </row>
    <row r="36" spans="2:25" x14ac:dyDescent="0.2">
      <c r="B36" s="2" t="s">
        <v>8</v>
      </c>
      <c r="C36" s="35">
        <v>30</v>
      </c>
      <c r="D36" s="12">
        <f t="shared" si="3"/>
        <v>720</v>
      </c>
      <c r="E36" s="45">
        <f>Datos!F24</f>
        <v>18</v>
      </c>
      <c r="F36" s="35">
        <f>Datos!E24</f>
        <v>11</v>
      </c>
      <c r="G36" s="12">
        <f>Principal!$H$17*C36*($G$16-F36)*0.00116</f>
        <v>1360.7495999999996</v>
      </c>
      <c r="H36" s="10">
        <f t="shared" si="4"/>
        <v>1</v>
      </c>
      <c r="I36" s="10">
        <f t="shared" si="5"/>
        <v>0.79756097560975614</v>
      </c>
      <c r="J36" s="168">
        <f>Datos!I24</f>
        <v>5.1489010416666661</v>
      </c>
      <c r="K36" s="12">
        <f t="shared" si="0"/>
        <v>154.46703124999999</v>
      </c>
      <c r="L36" s="11">
        <f t="shared" si="6"/>
        <v>1622.4856411914011</v>
      </c>
      <c r="M36" s="10">
        <f t="shared" si="1"/>
        <v>1.1923469543488394</v>
      </c>
      <c r="N36" s="11">
        <f t="shared" si="7"/>
        <v>2060.8390038036218</v>
      </c>
      <c r="O36" s="46">
        <f t="shared" si="2"/>
        <v>1.514488046738079</v>
      </c>
      <c r="P36" s="46">
        <f t="shared" si="8"/>
        <v>0.82074325640901957</v>
      </c>
      <c r="Q36" s="11">
        <f t="shared" si="9"/>
        <v>1116.8260578612706</v>
      </c>
      <c r="R36" s="50">
        <f t="shared" si="10"/>
        <v>77.575628255845828</v>
      </c>
      <c r="T36" s="8"/>
      <c r="U36" s="8"/>
      <c r="V36" s="41"/>
      <c r="W36" s="34"/>
      <c r="X36" s="11"/>
      <c r="Y36" s="11"/>
    </row>
    <row r="37" spans="2:25" x14ac:dyDescent="0.2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10</v>
      </c>
      <c r="G37" s="12">
        <f>Principal!$H$17*C37*($G$16-F37)*0.00116</f>
        <v>1434.8039999999996</v>
      </c>
      <c r="H37" s="10">
        <f t="shared" si="4"/>
        <v>1</v>
      </c>
      <c r="I37" s="10">
        <f t="shared" si="5"/>
        <v>0.85749999999999982</v>
      </c>
      <c r="J37" s="168">
        <f>Datos!I25</f>
        <v>4.0538239930555555</v>
      </c>
      <c r="K37" s="12">
        <f t="shared" si="0"/>
        <v>125.66854378472222</v>
      </c>
      <c r="L37" s="11">
        <f t="shared" si="6"/>
        <v>1319.9930508805237</v>
      </c>
      <c r="M37" s="10">
        <f t="shared" si="1"/>
        <v>0.91998144058737219</v>
      </c>
      <c r="N37" s="11">
        <f t="shared" si="7"/>
        <v>2457.1041019559934</v>
      </c>
      <c r="O37" s="46">
        <f t="shared" si="2"/>
        <v>1.7125015695216865</v>
      </c>
      <c r="P37" s="46">
        <f t="shared" si="8"/>
        <v>0.65000823658056173</v>
      </c>
      <c r="Q37" s="11">
        <f t="shared" si="9"/>
        <v>932.63441787873603</v>
      </c>
      <c r="R37" s="50">
        <f t="shared" si="10"/>
        <v>64.781530114472943</v>
      </c>
      <c r="T37" s="8"/>
      <c r="U37" s="8"/>
      <c r="V37" s="41"/>
      <c r="W37" s="34"/>
      <c r="X37" s="11"/>
      <c r="Y37" s="11"/>
    </row>
    <row r="38" spans="2:25" x14ac:dyDescent="0.2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8</v>
      </c>
      <c r="G38" s="12">
        <f>Principal!$H$17*C38*($G$16-F38)*0.00116</f>
        <v>1444.0607999999997</v>
      </c>
      <c r="H38" s="10">
        <f t="shared" si="4"/>
        <v>1</v>
      </c>
      <c r="I38" s="10">
        <f t="shared" si="5"/>
        <v>0.85311827956989239</v>
      </c>
      <c r="J38" s="168">
        <f>Datos!I26</f>
        <v>2.9793941666666668</v>
      </c>
      <c r="K38" s="12">
        <f t="shared" si="0"/>
        <v>89.381825000000006</v>
      </c>
      <c r="L38" s="11">
        <f t="shared" si="6"/>
        <v>938.84582666233268</v>
      </c>
      <c r="M38" s="10">
        <f t="shared" si="1"/>
        <v>0.65014286563441981</v>
      </c>
      <c r="N38" s="11">
        <f t="shared" si="7"/>
        <v>2500.1065223513656</v>
      </c>
      <c r="O38" s="46">
        <f t="shared" si="2"/>
        <v>1.7313028110390962</v>
      </c>
      <c r="P38" s="46">
        <f t="shared" si="8"/>
        <v>0.4642079869003376</v>
      </c>
      <c r="Q38" s="11">
        <f t="shared" si="9"/>
        <v>670.34455692969095</v>
      </c>
      <c r="R38" s="50">
        <f t="shared" si="10"/>
        <v>46.562667288845617</v>
      </c>
      <c r="T38" s="8"/>
      <c r="U38" s="8"/>
      <c r="V38" s="41"/>
      <c r="W38" s="34"/>
      <c r="X38" s="11"/>
      <c r="Y38" s="11"/>
    </row>
    <row r="39" spans="2:25" x14ac:dyDescent="0.2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5</v>
      </c>
      <c r="G39" s="12">
        <f>Principal!$H$17*C39*($G$16-F39)*0.00116</f>
        <v>1578.2843999999998</v>
      </c>
      <c r="H39" s="23">
        <f t="shared" si="4"/>
        <v>1</v>
      </c>
      <c r="I39" s="23">
        <f t="shared" si="5"/>
        <v>0.77833333333333321</v>
      </c>
      <c r="J39" s="254">
        <f>Datos!I27</f>
        <v>2.0667869444444444</v>
      </c>
      <c r="K39" s="22">
        <f t="shared" si="0"/>
        <v>64.070395277777777</v>
      </c>
      <c r="L39" s="24">
        <f t="shared" si="6"/>
        <v>672.98047694984621</v>
      </c>
      <c r="M39" s="23">
        <f t="shared" si="1"/>
        <v>0.42640000556924107</v>
      </c>
      <c r="N39" s="24">
        <f t="shared" si="7"/>
        <v>2433.0084614120306</v>
      </c>
      <c r="O39" s="51">
        <f t="shared" si="2"/>
        <v>1.5415526260108956</v>
      </c>
      <c r="P39" s="51">
        <f t="shared" si="8"/>
        <v>0.29996384600200338</v>
      </c>
      <c r="Q39" s="24">
        <f t="shared" si="9"/>
        <v>473.42825870896422</v>
      </c>
      <c r="R39" s="52">
        <f t="shared" si="10"/>
        <v>32.884704242799003</v>
      </c>
      <c r="T39" s="8"/>
      <c r="U39" s="8"/>
      <c r="V39" s="41"/>
      <c r="W39" s="34"/>
      <c r="X39" s="11"/>
      <c r="Y39" s="11"/>
    </row>
    <row r="40" spans="2:25" x14ac:dyDescent="0.2">
      <c r="C40" s="8"/>
      <c r="D40" s="14"/>
      <c r="E40" s="9"/>
      <c r="F40" s="8"/>
      <c r="G40" s="265">
        <f>SUM(G28:G39)</f>
        <v>17141.742239999996</v>
      </c>
      <c r="H40" s="12"/>
      <c r="I40" s="10"/>
      <c r="M40" s="11"/>
      <c r="N40" s="13"/>
      <c r="O40" s="10"/>
      <c r="Q40" s="158">
        <f>SUM(Q28:Q39)</f>
        <v>10283.639725140281</v>
      </c>
      <c r="R40" s="159">
        <f>SUM(R28:R39)</f>
        <v>714.30981290161378</v>
      </c>
      <c r="T40" s="8"/>
      <c r="U40" s="8"/>
      <c r="V40" s="41"/>
      <c r="W40" s="34"/>
      <c r="X40" s="11"/>
      <c r="Y40" s="11"/>
    </row>
    <row r="41" spans="2:25" x14ac:dyDescent="0.2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4</v>
      </c>
      <c r="F43" s="35">
        <f t="shared" si="11"/>
        <v>5</v>
      </c>
      <c r="G43" s="12">
        <f t="shared" si="11"/>
        <v>1578.2843999999998</v>
      </c>
      <c r="H43" s="10">
        <f>($K$15/(75*$K$18))^-0.25</f>
        <v>0.96854692811690124</v>
      </c>
      <c r="I43" s="10">
        <f>(11.6+1.18*$G$13+3.86*F43-2.32*E43)/(100-E43)</f>
        <v>0.77833333333333321</v>
      </c>
      <c r="J43" s="14">
        <f>J28</f>
        <v>2.219834479166666</v>
      </c>
      <c r="K43" s="12">
        <f t="shared" ref="K43:K54" si="12">J43*C43</f>
        <v>68.814868854166647</v>
      </c>
      <c r="L43" s="11">
        <f>$K$18*$C$15*$C$17*$C$18*K43</f>
        <v>883.6489783615998</v>
      </c>
      <c r="M43" s="10">
        <f t="shared" ref="M43:M54" si="13">L43/G43</f>
        <v>0.55987943513957306</v>
      </c>
      <c r="N43" s="11">
        <f>$K$18*$C$16*$C$17*(100-E43)*D43*H43*I43/1000</f>
        <v>2880.8239453714618</v>
      </c>
      <c r="O43" s="46">
        <f t="shared" ref="O43:O54" si="14">N43/G43</f>
        <v>1.8252882340923233</v>
      </c>
      <c r="P43" s="46">
        <f>1.029*M43-0.065*O43-0.245*M43^2+0.0018*O43^2+0.0215*M43^3</f>
        <v>0.39044360766201103</v>
      </c>
      <c r="Q43" s="11">
        <f>IF(P43&gt;1,1*G43,P43*G43)</f>
        <v>616.23105505267245</v>
      </c>
      <c r="R43" s="50">
        <f>Q43/$K$18</f>
        <v>35.013128127992751</v>
      </c>
      <c r="S43" s="11"/>
      <c r="T43" s="11"/>
      <c r="U43" s="160"/>
    </row>
    <row r="44" spans="2:25" x14ac:dyDescent="0.2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5</v>
      </c>
      <c r="F44" s="35">
        <f t="shared" si="11"/>
        <v>6</v>
      </c>
      <c r="G44" s="12">
        <f t="shared" si="11"/>
        <v>1399.6281599999998</v>
      </c>
      <c r="H44" s="10">
        <f t="shared" ref="H44:H54" si="16">($K$15/(75*$K$18))^-0.25</f>
        <v>0.96854692811690124</v>
      </c>
      <c r="I44" s="10">
        <f t="shared" ref="I44:I54" si="17">(11.6+1.18*$G$13+3.86*F44-2.32*E44)/(100-E44)</f>
        <v>0.80273684210526308</v>
      </c>
      <c r="J44" s="14">
        <f t="shared" ref="J44:J54" si="18">J29</f>
        <v>3.0893406250000002</v>
      </c>
      <c r="K44" s="12">
        <f t="shared" si="12"/>
        <v>86.501537500000012</v>
      </c>
      <c r="L44" s="11">
        <f t="shared" ref="L44:L54" si="19">$K$18*$C$15*$C$17*$C$18*K44</f>
        <v>1110.7627829760002</v>
      </c>
      <c r="M44" s="10">
        <f t="shared" si="13"/>
        <v>0.79361277139208197</v>
      </c>
      <c r="N44" s="11">
        <f t="shared" ref="N44:N54" si="20">$K$18*$C$16*$C$17*(100-E44)*D44*H44*I44/1000</f>
        <v>2655.663187328511</v>
      </c>
      <c r="O44" s="46">
        <f t="shared" si="14"/>
        <v>1.8974062277573147</v>
      </c>
      <c r="P44" s="46">
        <f t="shared" ref="P44:P54" si="21">1.029*M44-0.065*O44-0.245*M44^2+0.0018*O44^2+0.0215*M44^3</f>
        <v>0.55621664080110289</v>
      </c>
      <c r="Q44" s="11">
        <f t="shared" ref="Q44:Q54" si="22">IF(P44&gt;1,1*G44,P44*G44)</f>
        <v>778.49647352582838</v>
      </c>
      <c r="R44" s="50">
        <f t="shared" ref="R44:R54" si="23">Q44/$K$18</f>
        <v>44.23275417760388</v>
      </c>
      <c r="S44" s="11"/>
      <c r="T44" s="11"/>
      <c r="U44" s="160"/>
    </row>
    <row r="45" spans="2:25" x14ac:dyDescent="0.2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8</v>
      </c>
      <c r="G45" s="12">
        <f t="shared" si="11"/>
        <v>1492.1961599999997</v>
      </c>
      <c r="H45" s="10">
        <f t="shared" si="16"/>
        <v>0.96854692811690124</v>
      </c>
      <c r="I45" s="10">
        <f t="shared" si="17"/>
        <v>0.8371739130434781</v>
      </c>
      <c r="J45" s="14">
        <f t="shared" si="18"/>
        <v>3.7629562500000007</v>
      </c>
      <c r="K45" s="12">
        <f t="shared" si="12"/>
        <v>116.65164375000002</v>
      </c>
      <c r="L45" s="11">
        <f t="shared" si="19"/>
        <v>1497.9190913280004</v>
      </c>
      <c r="M45" s="10">
        <f t="shared" si="13"/>
        <v>1.0038352406214479</v>
      </c>
      <c r="N45" s="11">
        <f t="shared" si="20"/>
        <v>2969.5002713130352</v>
      </c>
      <c r="O45" s="46">
        <f t="shared" si="14"/>
        <v>1.9900200462337578</v>
      </c>
      <c r="P45" s="46">
        <f t="shared" si="21"/>
        <v>0.68558893454741943</v>
      </c>
      <c r="Q45" s="11">
        <f t="shared" si="22"/>
        <v>1023.0331754701505</v>
      </c>
      <c r="R45" s="50">
        <f t="shared" si="23"/>
        <v>58.12688496989491</v>
      </c>
      <c r="S45" s="11"/>
      <c r="T45" s="11"/>
      <c r="U45" s="160"/>
    </row>
    <row r="46" spans="2:25" x14ac:dyDescent="0.2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10</v>
      </c>
      <c r="G46" s="12">
        <f t="shared" si="11"/>
        <v>1388.5199999999998</v>
      </c>
      <c r="H46" s="10">
        <f t="shared" si="16"/>
        <v>0.96854692811690124</v>
      </c>
      <c r="I46" s="10">
        <f t="shared" si="17"/>
        <v>0.88999999999999979</v>
      </c>
      <c r="J46" s="14">
        <f t="shared" si="18"/>
        <v>4.0161428125</v>
      </c>
      <c r="K46" s="12">
        <f t="shared" si="12"/>
        <v>120.484284375</v>
      </c>
      <c r="L46" s="11">
        <f t="shared" si="19"/>
        <v>1547.133876288</v>
      </c>
      <c r="M46" s="10">
        <f t="shared" si="13"/>
        <v>1.114232331034483</v>
      </c>
      <c r="N46" s="11">
        <f t="shared" si="20"/>
        <v>2988.628488605902</v>
      </c>
      <c r="O46" s="46">
        <f t="shared" si="14"/>
        <v>2.1523841850357952</v>
      </c>
      <c r="P46" s="46">
        <f t="shared" si="21"/>
        <v>0.74054990282439881</v>
      </c>
      <c r="Q46" s="11">
        <f t="shared" si="22"/>
        <v>1028.2683510697341</v>
      </c>
      <c r="R46" s="50">
        <f t="shared" si="23"/>
        <v>58.424338128962162</v>
      </c>
      <c r="S46" s="11"/>
      <c r="T46" s="11"/>
      <c r="U46" s="160"/>
    </row>
    <row r="47" spans="2:25" x14ac:dyDescent="0.2">
      <c r="B47" s="2" t="s">
        <v>4</v>
      </c>
      <c r="C47" s="35">
        <v>31</v>
      </c>
      <c r="D47" s="12">
        <f t="shared" si="15"/>
        <v>744</v>
      </c>
      <c r="E47" s="53">
        <f t="shared" si="11"/>
        <v>14</v>
      </c>
      <c r="F47" s="35">
        <f t="shared" si="11"/>
        <v>11</v>
      </c>
      <c r="G47" s="12">
        <f t="shared" si="11"/>
        <v>1406.1079199999997</v>
      </c>
      <c r="H47" s="10">
        <f t="shared" si="16"/>
        <v>0.96854692811690124</v>
      </c>
      <c r="I47" s="10">
        <f t="shared" si="17"/>
        <v>0.86837209302325591</v>
      </c>
      <c r="J47" s="14">
        <f t="shared" si="18"/>
        <v>3.9658152083333333</v>
      </c>
      <c r="K47" s="12">
        <f t="shared" si="12"/>
        <v>122.94027145833333</v>
      </c>
      <c r="L47" s="11">
        <f t="shared" si="19"/>
        <v>1578.6711081856001</v>
      </c>
      <c r="M47" s="10">
        <f t="shared" si="13"/>
        <v>1.1227239998659566</v>
      </c>
      <c r="N47" s="11">
        <f t="shared" si="20"/>
        <v>2879.2817483985664</v>
      </c>
      <c r="O47" s="46">
        <f t="shared" si="14"/>
        <v>2.0476961316017386</v>
      </c>
      <c r="P47" s="46">
        <f t="shared" si="21"/>
        <v>0.75133238927224222</v>
      </c>
      <c r="Q47" s="11">
        <f t="shared" si="22"/>
        <v>1056.4544231082225</v>
      </c>
      <c r="R47" s="50">
        <f t="shared" si="23"/>
        <v>60.025819494785367</v>
      </c>
      <c r="S47" s="11"/>
      <c r="T47" s="11"/>
      <c r="U47" s="160"/>
    </row>
    <row r="48" spans="2:25" x14ac:dyDescent="0.2">
      <c r="B48" s="2" t="s">
        <v>5</v>
      </c>
      <c r="C48" s="35">
        <v>30</v>
      </c>
      <c r="D48" s="12">
        <f t="shared" si="15"/>
        <v>720</v>
      </c>
      <c r="E48" s="53">
        <f t="shared" si="11"/>
        <v>18</v>
      </c>
      <c r="F48" s="35">
        <f t="shared" si="11"/>
        <v>12</v>
      </c>
      <c r="G48" s="12">
        <f t="shared" si="11"/>
        <v>1332.9791999999998</v>
      </c>
      <c r="H48" s="10">
        <f t="shared" si="16"/>
        <v>0.96854692811690124</v>
      </c>
      <c r="I48" s="10">
        <f t="shared" si="17"/>
        <v>0.84463414634146328</v>
      </c>
      <c r="J48" s="14">
        <f t="shared" si="18"/>
        <v>4.2956545833333326</v>
      </c>
      <c r="K48" s="12">
        <f t="shared" si="12"/>
        <v>128.86963749999998</v>
      </c>
      <c r="L48" s="11">
        <f t="shared" si="19"/>
        <v>1654.8098603519998</v>
      </c>
      <c r="M48" s="10">
        <f t="shared" si="13"/>
        <v>1.2414371209633279</v>
      </c>
      <c r="N48" s="11">
        <f t="shared" si="20"/>
        <v>2584.1748953913207</v>
      </c>
      <c r="O48" s="46">
        <f t="shared" si="14"/>
        <v>1.9386460759412609</v>
      </c>
      <c r="P48" s="46">
        <f t="shared" si="21"/>
        <v>0.82174123733595761</v>
      </c>
      <c r="Q48" s="11">
        <f t="shared" si="22"/>
        <v>1095.3639771510948</v>
      </c>
      <c r="R48" s="50">
        <f t="shared" si="23"/>
        <v>62.236589610857656</v>
      </c>
      <c r="S48" s="11"/>
      <c r="T48" s="11"/>
      <c r="U48" s="160"/>
    </row>
    <row r="49" spans="2:21" x14ac:dyDescent="0.2">
      <c r="B49" s="2" t="s">
        <v>6</v>
      </c>
      <c r="C49" s="35">
        <v>31</v>
      </c>
      <c r="D49" s="12">
        <f t="shared" si="15"/>
        <v>744</v>
      </c>
      <c r="E49" s="53">
        <f t="shared" si="11"/>
        <v>21</v>
      </c>
      <c r="F49" s="35">
        <f t="shared" si="11"/>
        <v>13</v>
      </c>
      <c r="G49" s="12">
        <f t="shared" si="11"/>
        <v>1348.7157599999998</v>
      </c>
      <c r="H49" s="10">
        <f t="shared" si="16"/>
        <v>0.96854692811690124</v>
      </c>
      <c r="I49" s="10">
        <f t="shared" si="17"/>
        <v>0.8374683544303797</v>
      </c>
      <c r="J49" s="14">
        <f t="shared" si="18"/>
        <v>4.9522362500000003</v>
      </c>
      <c r="K49" s="12">
        <f t="shared" si="12"/>
        <v>153.51932375000001</v>
      </c>
      <c r="L49" s="11">
        <f t="shared" si="19"/>
        <v>1971.3354955008003</v>
      </c>
      <c r="M49" s="10">
        <f t="shared" si="13"/>
        <v>1.4616389560842684</v>
      </c>
      <c r="N49" s="11">
        <f t="shared" si="20"/>
        <v>2550.7937931715205</v>
      </c>
      <c r="O49" s="46">
        <f t="shared" si="14"/>
        <v>1.8912760337074439</v>
      </c>
      <c r="P49" s="46">
        <f t="shared" si="21"/>
        <v>0.93125335556173505</v>
      </c>
      <c r="Q49" s="11">
        <f t="shared" si="22"/>
        <v>1255.9960771989956</v>
      </c>
      <c r="R49" s="50">
        <f t="shared" si="23"/>
        <v>71.363413477215659</v>
      </c>
      <c r="S49" s="11"/>
      <c r="T49" s="11"/>
      <c r="U49" s="160"/>
    </row>
    <row r="50" spans="2:21" x14ac:dyDescent="0.2">
      <c r="B50" s="2" t="s">
        <v>7</v>
      </c>
      <c r="C50" s="35">
        <v>31</v>
      </c>
      <c r="D50" s="12">
        <f t="shared" si="15"/>
        <v>744</v>
      </c>
      <c r="E50" s="53">
        <f t="shared" si="11"/>
        <v>21</v>
      </c>
      <c r="F50" s="35">
        <f t="shared" si="11"/>
        <v>12</v>
      </c>
      <c r="G50" s="12">
        <f t="shared" si="11"/>
        <v>1377.4118399999998</v>
      </c>
      <c r="H50" s="10">
        <f t="shared" si="16"/>
        <v>0.96854692811690124</v>
      </c>
      <c r="I50" s="10">
        <f t="shared" si="17"/>
        <v>0.78860759493670862</v>
      </c>
      <c r="J50" s="14">
        <f t="shared" si="18"/>
        <v>5.3662130555555558</v>
      </c>
      <c r="K50" s="12">
        <f t="shared" si="12"/>
        <v>166.35260472222222</v>
      </c>
      <c r="L50" s="11">
        <f t="shared" si="19"/>
        <v>2136.1271431338669</v>
      </c>
      <c r="M50" s="10">
        <f t="shared" si="13"/>
        <v>1.5508267615398654</v>
      </c>
      <c r="N50" s="11">
        <f t="shared" si="20"/>
        <v>2401.9717852869662</v>
      </c>
      <c r="O50" s="46">
        <f t="shared" si="14"/>
        <v>1.7438297795428901</v>
      </c>
      <c r="P50" s="46">
        <f t="shared" si="21"/>
        <v>0.97887640208895066</v>
      </c>
      <c r="Q50" s="11">
        <f t="shared" si="22"/>
        <v>1348.3159461339212</v>
      </c>
      <c r="R50" s="50">
        <f t="shared" si="23"/>
        <v>76.60886057579097</v>
      </c>
      <c r="S50" s="11"/>
      <c r="T50" s="11"/>
      <c r="U50" s="160"/>
    </row>
    <row r="51" spans="2:21" x14ac:dyDescent="0.2">
      <c r="B51" s="2" t="s">
        <v>8</v>
      </c>
      <c r="C51" s="35">
        <v>30</v>
      </c>
      <c r="D51" s="12">
        <f t="shared" si="15"/>
        <v>720</v>
      </c>
      <c r="E51" s="53">
        <f t="shared" si="11"/>
        <v>18</v>
      </c>
      <c r="F51" s="35">
        <f t="shared" si="11"/>
        <v>11</v>
      </c>
      <c r="G51" s="12">
        <f t="shared" si="11"/>
        <v>1360.7495999999996</v>
      </c>
      <c r="H51" s="10">
        <f t="shared" si="16"/>
        <v>0.96854692811690124</v>
      </c>
      <c r="I51" s="10">
        <f t="shared" si="17"/>
        <v>0.79756097560975614</v>
      </c>
      <c r="J51" s="14">
        <f t="shared" si="18"/>
        <v>5.1489010416666661</v>
      </c>
      <c r="K51" s="12">
        <f t="shared" si="12"/>
        <v>154.46703124999999</v>
      </c>
      <c r="L51" s="11">
        <f t="shared" si="19"/>
        <v>1983.5049696000001</v>
      </c>
      <c r="M51" s="10">
        <f t="shared" si="13"/>
        <v>1.4576561107201507</v>
      </c>
      <c r="N51" s="11">
        <f t="shared" si="20"/>
        <v>2440.1535974385274</v>
      </c>
      <c r="O51" s="46">
        <f t="shared" si="14"/>
        <v>1.7932421934487639</v>
      </c>
      <c r="P51" s="46">
        <f t="shared" si="21"/>
        <v>0.93517834333617589</v>
      </c>
      <c r="Q51" s="11">
        <f t="shared" si="22"/>
        <v>1272.5435566233637</v>
      </c>
      <c r="R51" s="50">
        <f t="shared" si="23"/>
        <v>72.303611171782023</v>
      </c>
      <c r="S51" s="11"/>
      <c r="T51" s="11"/>
      <c r="U51" s="160"/>
    </row>
    <row r="52" spans="2:21" x14ac:dyDescent="0.2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10</v>
      </c>
      <c r="G52" s="12">
        <f t="shared" si="11"/>
        <v>1434.8039999999996</v>
      </c>
      <c r="H52" s="10">
        <f t="shared" si="16"/>
        <v>0.96854692811690124</v>
      </c>
      <c r="I52" s="10">
        <f t="shared" si="17"/>
        <v>0.85749999999999982</v>
      </c>
      <c r="J52" s="14">
        <f t="shared" si="18"/>
        <v>4.0538239930555555</v>
      </c>
      <c r="K52" s="12">
        <f t="shared" si="12"/>
        <v>125.66854378472222</v>
      </c>
      <c r="L52" s="11">
        <f t="shared" si="19"/>
        <v>1613.7047439978667</v>
      </c>
      <c r="M52" s="10">
        <f t="shared" si="13"/>
        <v>1.1246865383689111</v>
      </c>
      <c r="N52" s="11">
        <f t="shared" si="20"/>
        <v>2909.3545893700561</v>
      </c>
      <c r="O52" s="46">
        <f t="shared" si="14"/>
        <v>2.0277017553408387</v>
      </c>
      <c r="P52" s="46">
        <f t="shared" si="21"/>
        <v>0.75358403753297853</v>
      </c>
      <c r="Q52" s="11">
        <f t="shared" si="22"/>
        <v>1081.2453913884674</v>
      </c>
      <c r="R52" s="50">
        <f t="shared" si="23"/>
        <v>61.434397237981095</v>
      </c>
      <c r="S52" s="11"/>
      <c r="T52" s="11"/>
      <c r="U52" s="160"/>
    </row>
    <row r="53" spans="2:21" x14ac:dyDescent="0.2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8</v>
      </c>
      <c r="G53" s="12">
        <f t="shared" si="11"/>
        <v>1444.0607999999997</v>
      </c>
      <c r="H53" s="10">
        <f t="shared" si="16"/>
        <v>0.96854692811690124</v>
      </c>
      <c r="I53" s="10">
        <f t="shared" si="17"/>
        <v>0.85311827956989239</v>
      </c>
      <c r="J53" s="14">
        <f t="shared" si="18"/>
        <v>2.9793941666666668</v>
      </c>
      <c r="K53" s="12">
        <f t="shared" si="12"/>
        <v>89.381825000000006</v>
      </c>
      <c r="L53" s="11">
        <f t="shared" si="19"/>
        <v>1147.7484395520003</v>
      </c>
      <c r="M53" s="10">
        <f t="shared" si="13"/>
        <v>0.79480617405582954</v>
      </c>
      <c r="N53" s="11">
        <f t="shared" si="20"/>
        <v>2960.2719636203783</v>
      </c>
      <c r="O53" s="46">
        <f t="shared" si="14"/>
        <v>2.0499635220486416</v>
      </c>
      <c r="P53" s="46">
        <f t="shared" si="21"/>
        <v>0.54819651346310028</v>
      </c>
      <c r="Q53" s="11">
        <f t="shared" si="22"/>
        <v>791.62909578873519</v>
      </c>
      <c r="R53" s="50">
        <f t="shared" si="23"/>
        <v>44.978925897087223</v>
      </c>
      <c r="S53" s="11"/>
      <c r="T53" s="11"/>
      <c r="U53" s="160"/>
    </row>
    <row r="54" spans="2:21" x14ac:dyDescent="0.2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5</v>
      </c>
      <c r="G54" s="22">
        <f t="shared" si="11"/>
        <v>1578.2843999999998</v>
      </c>
      <c r="H54" s="23">
        <f t="shared" si="16"/>
        <v>0.96854692811690124</v>
      </c>
      <c r="I54" s="23">
        <f t="shared" si="17"/>
        <v>0.77833333333333321</v>
      </c>
      <c r="J54" s="252">
        <f t="shared" si="18"/>
        <v>2.0667869444444444</v>
      </c>
      <c r="K54" s="22">
        <f t="shared" si="12"/>
        <v>64.070395277777777</v>
      </c>
      <c r="L54" s="24">
        <f t="shared" si="19"/>
        <v>822.72538294613332</v>
      </c>
      <c r="M54" s="23">
        <f t="shared" si="13"/>
        <v>0.52127828352490424</v>
      </c>
      <c r="N54" s="24">
        <f t="shared" si="20"/>
        <v>2880.8239453714618</v>
      </c>
      <c r="O54" s="51">
        <f t="shared" si="14"/>
        <v>1.8252882340923233</v>
      </c>
      <c r="P54" s="51">
        <f t="shared" si="21"/>
        <v>0.3602199515412226</v>
      </c>
      <c r="Q54" s="24">
        <f t="shared" si="22"/>
        <v>568.52953008626753</v>
      </c>
      <c r="R54" s="52">
        <f t="shared" si="23"/>
        <v>32.302814209447014</v>
      </c>
      <c r="S54" s="11"/>
      <c r="T54" s="11"/>
      <c r="U54" s="160"/>
    </row>
    <row r="55" spans="2:21" x14ac:dyDescent="0.2">
      <c r="C55" s="8"/>
      <c r="D55" s="14"/>
      <c r="E55" s="9"/>
      <c r="F55" s="8"/>
      <c r="G55" s="157">
        <f>SUM(G43:G54)</f>
        <v>17141.742239999996</v>
      </c>
      <c r="H55" s="12"/>
      <c r="I55" s="10"/>
      <c r="M55" s="11"/>
      <c r="N55" s="13"/>
      <c r="O55" s="10"/>
      <c r="Q55" s="158">
        <f>SUM(Q43:Q54)</f>
        <v>11916.107052597454</v>
      </c>
      <c r="R55" s="159">
        <f>SUM(R43:R54)</f>
        <v>677.05153707940076</v>
      </c>
      <c r="T55" s="11"/>
      <c r="U55" s="162"/>
    </row>
    <row r="56" spans="2:21" x14ac:dyDescent="0.2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4</v>
      </c>
      <c r="F58" s="35">
        <f t="shared" si="24"/>
        <v>5</v>
      </c>
      <c r="G58" s="12">
        <f t="shared" si="24"/>
        <v>1578.2843999999998</v>
      </c>
      <c r="H58" s="10">
        <f>($L$15/(75*$M$18))^-0.25</f>
        <v>0.9013344775740002</v>
      </c>
      <c r="I58" s="10">
        <f>(11.6+1.18*$G$13+3.86*F58-2.32*E58)/(100-E58)</f>
        <v>0.77833333333333321</v>
      </c>
      <c r="J58" s="14">
        <f>J43</f>
        <v>2.219834479166666</v>
      </c>
      <c r="K58" s="12">
        <f t="shared" ref="K58:K69" si="25">J58*C58</f>
        <v>68.814868854166647</v>
      </c>
      <c r="L58" s="11">
        <f>$M$18*$C$15*$C$17*$C$18*K58</f>
        <v>1104.5612229519995</v>
      </c>
      <c r="M58" s="10">
        <f t="shared" ref="M58:M69" si="26">L58/G58</f>
        <v>0.69984929392446615</v>
      </c>
      <c r="N58" s="11">
        <f>$M$18*$C$16*$C$17*(100-E58)*D58*H58*I58/1000</f>
        <v>3351.1359522254547</v>
      </c>
      <c r="O58" s="46">
        <f t="shared" ref="O58:O69" si="27">N58/G58</f>
        <v>2.1232776248852585</v>
      </c>
      <c r="P58" s="46">
        <f>1.029*M58-0.065*O58-0.245*M58^2+0.0018*O58^2+0.0215*M58^3</f>
        <v>0.47761825658020279</v>
      </c>
      <c r="Q58" s="11">
        <f>IF(P58&gt;1,1*G58,P58*G58)</f>
        <v>753.81744351573127</v>
      </c>
      <c r="R58" s="50">
        <f>Q58/$M$18</f>
        <v>34.264429250715061</v>
      </c>
      <c r="S58" s="11"/>
      <c r="T58" s="11"/>
      <c r="U58" s="160"/>
    </row>
    <row r="59" spans="2:21" x14ac:dyDescent="0.2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5</v>
      </c>
      <c r="F59" s="35">
        <f t="shared" si="24"/>
        <v>6</v>
      </c>
      <c r="G59" s="12">
        <f t="shared" si="24"/>
        <v>1399.6281599999998</v>
      </c>
      <c r="H59" s="10">
        <f t="shared" ref="H59:H69" si="29">($L$15/(75*$M$18))^-0.25</f>
        <v>0.9013344775740002</v>
      </c>
      <c r="I59" s="10">
        <f t="shared" ref="I59:I69" si="30">(11.6+1.18*$G$13+3.86*F59-2.32*E59)/(100-E59)</f>
        <v>0.80273684210526308</v>
      </c>
      <c r="J59" s="14">
        <f t="shared" ref="J59:J69" si="31">J44</f>
        <v>3.0893406250000002</v>
      </c>
      <c r="K59" s="12">
        <f t="shared" si="25"/>
        <v>86.501537500000012</v>
      </c>
      <c r="L59" s="11">
        <f t="shared" ref="L59:L69" si="32">$M$18*$C$15*$C$17*$C$18*K59</f>
        <v>1388.45347872</v>
      </c>
      <c r="M59" s="10">
        <f t="shared" si="26"/>
        <v>0.99201596424010241</v>
      </c>
      <c r="N59" s="11">
        <f t="shared" ref="N59:N69" si="33">$M$18*$C$16*$C$17*(100-E59)*D59*H59*I59/1000</f>
        <v>3089.2163328331012</v>
      </c>
      <c r="O59" s="46">
        <f t="shared" si="27"/>
        <v>2.207169319051927</v>
      </c>
      <c r="P59" s="46">
        <f t="shared" ref="P59:P69" si="34">1.029*M59-0.065*O59-0.245*M59^2+0.0018*O59^2+0.0215*M59^3</f>
        <v>0.66597298532235472</v>
      </c>
      <c r="Q59" s="11">
        <f t="shared" ref="Q59:Q69" si="35">IF(P59&gt;1,1*G59,P59*G59)</f>
        <v>932.11454405643417</v>
      </c>
      <c r="R59" s="50">
        <f t="shared" ref="R59:R69" si="36">Q59/$M$18</f>
        <v>42.368842911656095</v>
      </c>
      <c r="S59" s="11"/>
      <c r="T59" s="11"/>
      <c r="U59" s="160"/>
    </row>
    <row r="60" spans="2:21" x14ac:dyDescent="0.2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8</v>
      </c>
      <c r="G60" s="12">
        <f t="shared" si="24"/>
        <v>1492.1961599999997</v>
      </c>
      <c r="H60" s="10">
        <f t="shared" si="29"/>
        <v>0.9013344775740002</v>
      </c>
      <c r="I60" s="10">
        <f t="shared" si="30"/>
        <v>0.8371739130434781</v>
      </c>
      <c r="J60" s="14">
        <f t="shared" si="31"/>
        <v>3.7629562500000007</v>
      </c>
      <c r="K60" s="12">
        <f t="shared" si="25"/>
        <v>116.65164375000002</v>
      </c>
      <c r="L60" s="11">
        <f t="shared" si="32"/>
        <v>1872.3988641600001</v>
      </c>
      <c r="M60" s="10">
        <f t="shared" si="26"/>
        <v>1.2547940507768096</v>
      </c>
      <c r="N60" s="11">
        <f t="shared" si="33"/>
        <v>3454.2892269861413</v>
      </c>
      <c r="O60" s="46">
        <f t="shared" si="27"/>
        <v>2.3149029059196491</v>
      </c>
      <c r="P60" s="46">
        <f t="shared" si="34"/>
        <v>0.80708289157947199</v>
      </c>
      <c r="Q60" s="11">
        <f t="shared" si="35"/>
        <v>1204.3259916165841</v>
      </c>
      <c r="R60" s="50">
        <f t="shared" si="36"/>
        <v>54.742090528026552</v>
      </c>
      <c r="S60" s="11"/>
      <c r="T60" s="11"/>
      <c r="U60" s="160"/>
    </row>
    <row r="61" spans="2:21" x14ac:dyDescent="0.2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10</v>
      </c>
      <c r="G61" s="12">
        <f t="shared" si="24"/>
        <v>1388.5199999999998</v>
      </c>
      <c r="H61" s="10">
        <f t="shared" si="29"/>
        <v>0.9013344775740002</v>
      </c>
      <c r="I61" s="10">
        <f t="shared" si="30"/>
        <v>0.88999999999999979</v>
      </c>
      <c r="J61" s="14">
        <f t="shared" si="31"/>
        <v>4.0161428125</v>
      </c>
      <c r="K61" s="12">
        <f t="shared" si="25"/>
        <v>120.484284375</v>
      </c>
      <c r="L61" s="11">
        <f t="shared" si="32"/>
        <v>1933.9173453599997</v>
      </c>
      <c r="M61" s="10">
        <f t="shared" si="26"/>
        <v>1.3927904137931035</v>
      </c>
      <c r="N61" s="11">
        <f t="shared" si="33"/>
        <v>3476.5402419345196</v>
      </c>
      <c r="O61" s="46">
        <f t="shared" si="27"/>
        <v>2.5037739765610292</v>
      </c>
      <c r="P61" s="46">
        <f t="shared" si="34"/>
        <v>0.86454230991841363</v>
      </c>
      <c r="Q61" s="11">
        <f t="shared" si="35"/>
        <v>1200.4342881679154</v>
      </c>
      <c r="R61" s="50">
        <f t="shared" si="36"/>
        <v>54.565194916723428</v>
      </c>
      <c r="S61" s="11"/>
      <c r="T61" s="11"/>
      <c r="U61" s="160"/>
    </row>
    <row r="62" spans="2:21" x14ac:dyDescent="0.2">
      <c r="B62" s="2" t="s">
        <v>4</v>
      </c>
      <c r="C62" s="35">
        <v>31</v>
      </c>
      <c r="D62" s="12">
        <f t="shared" si="28"/>
        <v>744</v>
      </c>
      <c r="E62" s="53">
        <f t="shared" si="24"/>
        <v>14</v>
      </c>
      <c r="F62" s="35">
        <f t="shared" si="24"/>
        <v>11</v>
      </c>
      <c r="G62" s="12">
        <f t="shared" si="24"/>
        <v>1406.1079199999997</v>
      </c>
      <c r="H62" s="10">
        <f t="shared" si="29"/>
        <v>0.9013344775740002</v>
      </c>
      <c r="I62" s="10">
        <f t="shared" si="30"/>
        <v>0.86837209302325591</v>
      </c>
      <c r="J62" s="14">
        <f t="shared" si="31"/>
        <v>3.9658152083333333</v>
      </c>
      <c r="K62" s="12">
        <f t="shared" si="25"/>
        <v>122.94027145833333</v>
      </c>
      <c r="L62" s="11">
        <f t="shared" si="32"/>
        <v>1973.3388852319997</v>
      </c>
      <c r="M62" s="10">
        <f t="shared" si="26"/>
        <v>1.4034049998324454</v>
      </c>
      <c r="N62" s="11">
        <f t="shared" si="33"/>
        <v>3349.3419822296173</v>
      </c>
      <c r="O62" s="46">
        <f t="shared" si="27"/>
        <v>2.3819949625414369</v>
      </c>
      <c r="P62" s="46">
        <f t="shared" si="34"/>
        <v>0.87637592971226241</v>
      </c>
      <c r="Q62" s="11">
        <f t="shared" si="35"/>
        <v>1232.2791356657751</v>
      </c>
      <c r="R62" s="50">
        <f t="shared" si="36"/>
        <v>56.012687984807961</v>
      </c>
      <c r="S62" s="11"/>
      <c r="T62" s="11"/>
      <c r="U62" s="160"/>
    </row>
    <row r="63" spans="2:21" x14ac:dyDescent="0.2">
      <c r="B63" s="2" t="s">
        <v>5</v>
      </c>
      <c r="C63" s="35">
        <v>30</v>
      </c>
      <c r="D63" s="12">
        <f t="shared" si="28"/>
        <v>720</v>
      </c>
      <c r="E63" s="53">
        <f t="shared" si="24"/>
        <v>18</v>
      </c>
      <c r="F63" s="35">
        <f t="shared" si="24"/>
        <v>12</v>
      </c>
      <c r="G63" s="12">
        <f t="shared" si="24"/>
        <v>1332.9791999999998</v>
      </c>
      <c r="H63" s="10">
        <f t="shared" si="29"/>
        <v>0.9013344775740002</v>
      </c>
      <c r="I63" s="10">
        <f t="shared" si="30"/>
        <v>0.84463414634146328</v>
      </c>
      <c r="J63" s="14">
        <f t="shared" si="31"/>
        <v>4.2956545833333326</v>
      </c>
      <c r="K63" s="12">
        <f t="shared" si="25"/>
        <v>128.86963749999998</v>
      </c>
      <c r="L63" s="11">
        <f t="shared" si="32"/>
        <v>2068.5123254399996</v>
      </c>
      <c r="M63" s="10">
        <f t="shared" si="26"/>
        <v>1.5517964012041598</v>
      </c>
      <c r="N63" s="11">
        <f t="shared" si="33"/>
        <v>3006.0571430260284</v>
      </c>
      <c r="O63" s="46">
        <f t="shared" si="27"/>
        <v>2.2551418229376941</v>
      </c>
      <c r="P63" s="46">
        <f t="shared" si="34"/>
        <v>0.94973282518513635</v>
      </c>
      <c r="Q63" s="11">
        <f t="shared" si="35"/>
        <v>1265.9741015290226</v>
      </c>
      <c r="R63" s="50">
        <f t="shared" si="36"/>
        <v>57.544277342228298</v>
      </c>
      <c r="S63" s="11"/>
      <c r="T63" s="11"/>
      <c r="U63" s="160"/>
    </row>
    <row r="64" spans="2:21" x14ac:dyDescent="0.2">
      <c r="B64" s="2" t="s">
        <v>6</v>
      </c>
      <c r="C64" s="35">
        <v>31</v>
      </c>
      <c r="D64" s="12">
        <f t="shared" si="28"/>
        <v>744</v>
      </c>
      <c r="E64" s="53">
        <f t="shared" si="24"/>
        <v>21</v>
      </c>
      <c r="F64" s="35">
        <f t="shared" si="24"/>
        <v>13</v>
      </c>
      <c r="G64" s="12">
        <f t="shared" si="24"/>
        <v>1348.7157599999998</v>
      </c>
      <c r="H64" s="10">
        <f t="shared" si="29"/>
        <v>0.9013344775740002</v>
      </c>
      <c r="I64" s="10">
        <f t="shared" si="30"/>
        <v>0.8374683544303797</v>
      </c>
      <c r="J64" s="14">
        <f t="shared" si="31"/>
        <v>4.9522362500000003</v>
      </c>
      <c r="K64" s="12">
        <f t="shared" si="25"/>
        <v>153.51932375000001</v>
      </c>
      <c r="L64" s="11">
        <f t="shared" si="32"/>
        <v>2464.1693693759998</v>
      </c>
      <c r="M64" s="10">
        <f t="shared" si="26"/>
        <v>1.8270486951053351</v>
      </c>
      <c r="N64" s="11">
        <f t="shared" si="33"/>
        <v>2967.2263731161147</v>
      </c>
      <c r="O64" s="46">
        <f t="shared" si="27"/>
        <v>2.2000383335893661</v>
      </c>
      <c r="P64" s="46">
        <f t="shared" si="34"/>
        <v>1.0590327245304614</v>
      </c>
      <c r="Q64" s="11">
        <f t="shared" si="35"/>
        <v>1348.7157599999998</v>
      </c>
      <c r="R64" s="50">
        <f t="shared" si="36"/>
        <v>61.305261818181812</v>
      </c>
      <c r="S64" s="11"/>
      <c r="T64" s="11"/>
      <c r="U64" s="160"/>
    </row>
    <row r="65" spans="2:21" x14ac:dyDescent="0.2">
      <c r="B65" s="2" t="s">
        <v>7</v>
      </c>
      <c r="C65" s="35">
        <v>31</v>
      </c>
      <c r="D65" s="12">
        <f t="shared" si="28"/>
        <v>744</v>
      </c>
      <c r="E65" s="53">
        <f t="shared" si="24"/>
        <v>21</v>
      </c>
      <c r="F65" s="35">
        <f t="shared" si="24"/>
        <v>12</v>
      </c>
      <c r="G65" s="12">
        <f t="shared" si="24"/>
        <v>1377.4118399999998</v>
      </c>
      <c r="H65" s="10">
        <f t="shared" si="29"/>
        <v>0.9013344775740002</v>
      </c>
      <c r="I65" s="10">
        <f t="shared" si="30"/>
        <v>0.78860759493670862</v>
      </c>
      <c r="J65" s="14">
        <f t="shared" si="31"/>
        <v>5.3662130555555558</v>
      </c>
      <c r="K65" s="12">
        <f t="shared" si="25"/>
        <v>166.35260472222222</v>
      </c>
      <c r="L65" s="11">
        <f t="shared" si="32"/>
        <v>2670.158928917333</v>
      </c>
      <c r="M65" s="10">
        <f t="shared" si="26"/>
        <v>1.9385334519248314</v>
      </c>
      <c r="N65" s="11">
        <f t="shared" si="33"/>
        <v>2794.1082685177435</v>
      </c>
      <c r="O65" s="46">
        <f t="shared" si="27"/>
        <v>2.0285205828619448</v>
      </c>
      <c r="P65" s="46">
        <f t="shared" si="34"/>
        <v>1.1062394874525907</v>
      </c>
      <c r="Q65" s="11">
        <f t="shared" si="35"/>
        <v>1377.4118399999998</v>
      </c>
      <c r="R65" s="50">
        <f t="shared" si="36"/>
        <v>62.609629090909081</v>
      </c>
      <c r="S65" s="11"/>
      <c r="T65" s="11"/>
      <c r="U65" s="160"/>
    </row>
    <row r="66" spans="2:21" x14ac:dyDescent="0.2">
      <c r="B66" s="2" t="s">
        <v>8</v>
      </c>
      <c r="C66" s="35">
        <v>30</v>
      </c>
      <c r="D66" s="12">
        <f t="shared" si="28"/>
        <v>720</v>
      </c>
      <c r="E66" s="53">
        <f t="shared" si="24"/>
        <v>18</v>
      </c>
      <c r="F66" s="35">
        <f t="shared" si="24"/>
        <v>11</v>
      </c>
      <c r="G66" s="12">
        <f t="shared" si="24"/>
        <v>1360.7495999999996</v>
      </c>
      <c r="H66" s="10">
        <f t="shared" si="29"/>
        <v>0.9013344775740002</v>
      </c>
      <c r="I66" s="10">
        <f t="shared" si="30"/>
        <v>0.79756097560975614</v>
      </c>
      <c r="J66" s="14">
        <f t="shared" si="31"/>
        <v>5.1489010416666661</v>
      </c>
      <c r="K66" s="12">
        <f t="shared" si="25"/>
        <v>154.46703124999999</v>
      </c>
      <c r="L66" s="11">
        <f t="shared" si="32"/>
        <v>2479.3812119999993</v>
      </c>
      <c r="M66" s="10">
        <f t="shared" si="26"/>
        <v>1.8220701384001876</v>
      </c>
      <c r="N66" s="11">
        <f t="shared" si="33"/>
        <v>2838.5234934147024</v>
      </c>
      <c r="O66" s="46">
        <f t="shared" si="27"/>
        <v>2.0859998734629084</v>
      </c>
      <c r="P66" s="46">
        <f t="shared" si="34"/>
        <v>1.0638244930398746</v>
      </c>
      <c r="Q66" s="11">
        <f t="shared" si="35"/>
        <v>1360.7495999999996</v>
      </c>
      <c r="R66" s="50">
        <f t="shared" si="36"/>
        <v>61.852254545454528</v>
      </c>
      <c r="S66" s="11"/>
      <c r="T66" s="11"/>
      <c r="U66" s="160"/>
    </row>
    <row r="67" spans="2:21" x14ac:dyDescent="0.2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10</v>
      </c>
      <c r="G67" s="12">
        <f t="shared" si="24"/>
        <v>1434.8039999999996</v>
      </c>
      <c r="H67" s="10">
        <f t="shared" si="29"/>
        <v>0.9013344775740002</v>
      </c>
      <c r="I67" s="10">
        <f t="shared" si="30"/>
        <v>0.85749999999999982</v>
      </c>
      <c r="J67" s="14">
        <f t="shared" si="31"/>
        <v>4.0538239930555555</v>
      </c>
      <c r="K67" s="12">
        <f t="shared" si="25"/>
        <v>125.66854378472222</v>
      </c>
      <c r="L67" s="11">
        <f t="shared" si="32"/>
        <v>2017.1309299973329</v>
      </c>
      <c r="M67" s="10">
        <f t="shared" si="26"/>
        <v>1.4058581729611386</v>
      </c>
      <c r="N67" s="11">
        <f t="shared" si="33"/>
        <v>3384.324397148458</v>
      </c>
      <c r="O67" s="46">
        <f t="shared" si="27"/>
        <v>2.3587363829125505</v>
      </c>
      <c r="P67" s="46">
        <f t="shared" si="34"/>
        <v>0.87883732114377655</v>
      </c>
      <c r="Q67" s="11">
        <f t="shared" si="35"/>
        <v>1260.9593037263749</v>
      </c>
      <c r="R67" s="50">
        <f t="shared" si="36"/>
        <v>57.316331987562492</v>
      </c>
      <c r="S67" s="11"/>
      <c r="T67" s="11"/>
      <c r="U67" s="160"/>
    </row>
    <row r="68" spans="2:21" x14ac:dyDescent="0.2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8</v>
      </c>
      <c r="G68" s="12">
        <f t="shared" si="24"/>
        <v>1444.0607999999997</v>
      </c>
      <c r="H68" s="10">
        <f t="shared" si="29"/>
        <v>0.9013344775740002</v>
      </c>
      <c r="I68" s="10">
        <f t="shared" si="30"/>
        <v>0.85311827956989239</v>
      </c>
      <c r="J68" s="14">
        <f t="shared" si="31"/>
        <v>2.9793941666666668</v>
      </c>
      <c r="K68" s="12">
        <f t="shared" si="25"/>
        <v>89.381825000000006</v>
      </c>
      <c r="L68" s="11">
        <f t="shared" si="32"/>
        <v>1434.6855494399999</v>
      </c>
      <c r="M68" s="10">
        <f t="shared" si="26"/>
        <v>0.99350771756978662</v>
      </c>
      <c r="N68" s="11">
        <f t="shared" si="33"/>
        <v>3443.5543420110471</v>
      </c>
      <c r="O68" s="46">
        <f t="shared" si="27"/>
        <v>2.3846325182506498</v>
      </c>
      <c r="P68" s="46">
        <f t="shared" si="34"/>
        <v>0.6568088300019469</v>
      </c>
      <c r="Q68" s="11">
        <f t="shared" si="35"/>
        <v>948.4718844996753</v>
      </c>
      <c r="R68" s="50">
        <f t="shared" si="36"/>
        <v>43.11235838634888</v>
      </c>
      <c r="S68" s="11"/>
      <c r="T68" s="11"/>
      <c r="U68" s="160"/>
    </row>
    <row r="69" spans="2:21" x14ac:dyDescent="0.2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5</v>
      </c>
      <c r="G69" s="22">
        <f t="shared" si="24"/>
        <v>1578.2843999999998</v>
      </c>
      <c r="H69" s="23">
        <f t="shared" si="29"/>
        <v>0.9013344775740002</v>
      </c>
      <c r="I69" s="23">
        <f t="shared" si="30"/>
        <v>0.77833333333333321</v>
      </c>
      <c r="J69" s="252">
        <f t="shared" si="31"/>
        <v>2.0667869444444444</v>
      </c>
      <c r="K69" s="22">
        <f t="shared" si="25"/>
        <v>64.070395277777777</v>
      </c>
      <c r="L69" s="24">
        <f t="shared" si="32"/>
        <v>1028.4067286826664</v>
      </c>
      <c r="M69" s="23">
        <f t="shared" si="26"/>
        <v>0.65159785440613016</v>
      </c>
      <c r="N69" s="24">
        <f t="shared" si="33"/>
        <v>3351.1359522254547</v>
      </c>
      <c r="O69" s="51">
        <f t="shared" si="27"/>
        <v>2.1232776248852585</v>
      </c>
      <c r="P69" s="51">
        <f t="shared" si="34"/>
        <v>0.44252214674717588</v>
      </c>
      <c r="Q69" s="11">
        <f t="shared" si="35"/>
        <v>698.42580086557837</v>
      </c>
      <c r="R69" s="52">
        <f t="shared" si="36"/>
        <v>31.746627312071745</v>
      </c>
      <c r="S69" s="11"/>
      <c r="T69" s="11"/>
      <c r="U69" s="160"/>
    </row>
    <row r="70" spans="2:21" x14ac:dyDescent="0.2">
      <c r="C70" s="8"/>
      <c r="D70" s="14"/>
      <c r="E70" s="9"/>
      <c r="F70" s="8"/>
      <c r="G70" s="157">
        <f>SUM(G58:G69)</f>
        <v>17141.742239999996</v>
      </c>
      <c r="H70" s="12"/>
      <c r="I70" s="10"/>
      <c r="M70" s="11"/>
      <c r="N70" s="13"/>
      <c r="O70" s="10"/>
      <c r="Q70" s="390">
        <f>SUM(Q58:Q69)</f>
        <v>13583.679693643089</v>
      </c>
      <c r="R70" s="159">
        <f>SUM(R58:R69)</f>
        <v>617.43998607468598</v>
      </c>
      <c r="T70" s="11"/>
      <c r="U70" s="162"/>
    </row>
    <row r="72" spans="2:21" x14ac:dyDescent="0.2">
      <c r="G72" t="s">
        <v>501</v>
      </c>
    </row>
    <row r="73" spans="2:21" x14ac:dyDescent="0.2">
      <c r="F73" s="1" t="s">
        <v>191</v>
      </c>
      <c r="G73" s="263">
        <f>G58*$G$21</f>
        <v>946.97063999999978</v>
      </c>
    </row>
    <row r="74" spans="2:21" x14ac:dyDescent="0.2">
      <c r="F74" s="2" t="s">
        <v>192</v>
      </c>
      <c r="G74" s="264">
        <f t="shared" ref="G74:G84" si="37">G59*$G$21</f>
        <v>839.77689599999985</v>
      </c>
    </row>
    <row r="75" spans="2:21" x14ac:dyDescent="0.2">
      <c r="F75" s="2" t="s">
        <v>193</v>
      </c>
      <c r="G75" s="264">
        <f t="shared" si="37"/>
        <v>895.31769599999984</v>
      </c>
    </row>
    <row r="76" spans="2:21" x14ac:dyDescent="0.2">
      <c r="F76" s="2" t="s">
        <v>194</v>
      </c>
      <c r="G76" s="264">
        <f t="shared" si="37"/>
        <v>833.11199999999985</v>
      </c>
    </row>
    <row r="77" spans="2:21" x14ac:dyDescent="0.2">
      <c r="F77" s="2" t="s">
        <v>195</v>
      </c>
      <c r="G77" s="264">
        <f t="shared" si="37"/>
        <v>843.66475199999979</v>
      </c>
    </row>
    <row r="78" spans="2:21" x14ac:dyDescent="0.2">
      <c r="F78" s="2" t="s">
        <v>196</v>
      </c>
      <c r="G78" s="264">
        <f t="shared" si="37"/>
        <v>799.78751999999986</v>
      </c>
    </row>
    <row r="79" spans="2:21" x14ac:dyDescent="0.2">
      <c r="F79" s="2" t="s">
        <v>197</v>
      </c>
      <c r="G79" s="264">
        <f t="shared" si="37"/>
        <v>809.22945599999991</v>
      </c>
    </row>
    <row r="80" spans="2:21" x14ac:dyDescent="0.2">
      <c r="F80" s="2" t="s">
        <v>287</v>
      </c>
      <c r="G80" s="264">
        <f t="shared" si="37"/>
        <v>826.44710399999985</v>
      </c>
    </row>
    <row r="81" spans="6:7" x14ac:dyDescent="0.2">
      <c r="F81" s="2" t="s">
        <v>199</v>
      </c>
      <c r="G81" s="264">
        <f t="shared" si="37"/>
        <v>816.44975999999974</v>
      </c>
    </row>
    <row r="82" spans="6:7" x14ac:dyDescent="0.2">
      <c r="F82" s="2" t="s">
        <v>288</v>
      </c>
      <c r="G82" s="264">
        <f t="shared" si="37"/>
        <v>860.88239999999973</v>
      </c>
    </row>
    <row r="83" spans="6:7" x14ac:dyDescent="0.2">
      <c r="F83" s="2" t="s">
        <v>201</v>
      </c>
      <c r="G83" s="264">
        <f t="shared" si="37"/>
        <v>866.43647999999985</v>
      </c>
    </row>
    <row r="84" spans="6:7" x14ac:dyDescent="0.2">
      <c r="F84" s="4" t="s">
        <v>202</v>
      </c>
      <c r="G84" s="159">
        <f t="shared" si="37"/>
        <v>946.97063999999978</v>
      </c>
    </row>
    <row r="85" spans="6:7" x14ac:dyDescent="0.2">
      <c r="G85" s="11"/>
    </row>
    <row r="86" spans="6:7" x14ac:dyDescent="0.2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2.75" x14ac:dyDescent="0.2"/>
  <cols>
    <col min="2" max="2" width="15.5703125" customWidth="1"/>
    <col min="3" max="3" width="12" customWidth="1"/>
  </cols>
  <sheetData>
    <row r="1" spans="2:3" x14ac:dyDescent="0.2">
      <c r="B1" s="5" t="s">
        <v>262</v>
      </c>
    </row>
    <row r="2" spans="2:3" x14ac:dyDescent="0.2">
      <c r="B2" t="s">
        <v>263</v>
      </c>
    </row>
    <row r="3" spans="2:3" x14ac:dyDescent="0.2">
      <c r="B3" s="5"/>
    </row>
    <row r="4" spans="2:3" ht="15.75" x14ac:dyDescent="0.25">
      <c r="B4" s="78" t="s">
        <v>190</v>
      </c>
      <c r="C4" s="94" t="s">
        <v>264</v>
      </c>
    </row>
    <row r="5" spans="2:3" x14ac:dyDescent="0.2">
      <c r="B5" s="80" t="s">
        <v>203</v>
      </c>
      <c r="C5" s="95">
        <v>43</v>
      </c>
    </row>
    <row r="6" spans="2:3" x14ac:dyDescent="0.2">
      <c r="B6" s="80" t="s">
        <v>204</v>
      </c>
      <c r="C6" s="95">
        <v>39</v>
      </c>
    </row>
    <row r="7" spans="2:3" x14ac:dyDescent="0.2">
      <c r="B7" s="80" t="s">
        <v>205</v>
      </c>
      <c r="C7" s="95">
        <v>38</v>
      </c>
    </row>
    <row r="8" spans="2:3" x14ac:dyDescent="0.2">
      <c r="B8" s="80" t="s">
        <v>206</v>
      </c>
      <c r="C8" s="95">
        <v>37</v>
      </c>
    </row>
    <row r="9" spans="2:3" x14ac:dyDescent="0.2">
      <c r="B9" s="80" t="s">
        <v>207</v>
      </c>
      <c r="C9" s="95">
        <v>43</v>
      </c>
    </row>
    <row r="10" spans="2:3" x14ac:dyDescent="0.2">
      <c r="B10" s="80" t="s">
        <v>208</v>
      </c>
      <c r="C10" s="95">
        <v>41</v>
      </c>
    </row>
    <row r="11" spans="2:3" x14ac:dyDescent="0.2">
      <c r="B11" s="80" t="s">
        <v>209</v>
      </c>
      <c r="C11" s="95">
        <v>39</v>
      </c>
    </row>
    <row r="12" spans="2:3" x14ac:dyDescent="0.2">
      <c r="B12" s="80" t="s">
        <v>210</v>
      </c>
      <c r="C12" s="95">
        <v>40</v>
      </c>
    </row>
    <row r="13" spans="2:3" x14ac:dyDescent="0.2">
      <c r="B13" s="80" t="s">
        <v>211</v>
      </c>
      <c r="C13" s="95">
        <v>41</v>
      </c>
    </row>
    <row r="14" spans="2:3" x14ac:dyDescent="0.2">
      <c r="B14" s="80" t="s">
        <v>212</v>
      </c>
      <c r="C14" s="95">
        <v>42</v>
      </c>
    </row>
    <row r="15" spans="2:3" x14ac:dyDescent="0.2">
      <c r="B15" s="80" t="s">
        <v>213</v>
      </c>
      <c r="C15" s="95">
        <v>40</v>
      </c>
    </row>
    <row r="16" spans="2:3" x14ac:dyDescent="0.2">
      <c r="B16" s="80" t="s">
        <v>214</v>
      </c>
      <c r="C16" s="95">
        <v>37</v>
      </c>
    </row>
    <row r="17" spans="2:3" x14ac:dyDescent="0.2">
      <c r="B17" s="80" t="s">
        <v>215</v>
      </c>
      <c r="C17" s="95">
        <v>44</v>
      </c>
    </row>
    <row r="18" spans="2:3" x14ac:dyDescent="0.2">
      <c r="B18" s="80" t="s">
        <v>216</v>
      </c>
      <c r="C18" s="95">
        <v>40</v>
      </c>
    </row>
    <row r="19" spans="2:3" x14ac:dyDescent="0.2">
      <c r="B19" s="80" t="s">
        <v>217</v>
      </c>
      <c r="C19" s="95">
        <v>36</v>
      </c>
    </row>
    <row r="20" spans="2:3" x14ac:dyDescent="0.2">
      <c r="B20" s="80" t="s">
        <v>218</v>
      </c>
      <c r="C20" s="95">
        <v>39</v>
      </c>
    </row>
    <row r="21" spans="2:3" x14ac:dyDescent="0.2">
      <c r="B21" s="80" t="s">
        <v>219</v>
      </c>
      <c r="C21" s="95">
        <v>38</v>
      </c>
    </row>
    <row r="22" spans="2:3" x14ac:dyDescent="0.2">
      <c r="B22" s="80" t="s">
        <v>220</v>
      </c>
      <c r="C22" s="95">
        <v>43</v>
      </c>
    </row>
    <row r="23" spans="2:3" x14ac:dyDescent="0.2">
      <c r="B23" s="80" t="s">
        <v>221</v>
      </c>
      <c r="C23" s="95">
        <v>40</v>
      </c>
    </row>
    <row r="24" spans="2:3" x14ac:dyDescent="0.2">
      <c r="B24" s="80" t="s">
        <v>222</v>
      </c>
      <c r="C24" s="95">
        <v>42</v>
      </c>
    </row>
    <row r="25" spans="2:3" x14ac:dyDescent="0.2">
      <c r="B25" s="80" t="s">
        <v>223</v>
      </c>
      <c r="C25" s="95">
        <v>37</v>
      </c>
    </row>
    <row r="26" spans="2:3" x14ac:dyDescent="0.2">
      <c r="B26" s="80" t="s">
        <v>224</v>
      </c>
      <c r="C26" s="95">
        <v>41</v>
      </c>
    </row>
    <row r="27" spans="2:3" x14ac:dyDescent="0.2">
      <c r="B27" s="80" t="s">
        <v>225</v>
      </c>
      <c r="C27" s="95">
        <v>43</v>
      </c>
    </row>
    <row r="28" spans="2:3" x14ac:dyDescent="0.2">
      <c r="B28" s="80" t="s">
        <v>226</v>
      </c>
      <c r="C28" s="95">
        <v>37</v>
      </c>
    </row>
    <row r="29" spans="2:3" x14ac:dyDescent="0.2">
      <c r="B29" s="80" t="s">
        <v>227</v>
      </c>
      <c r="C29" s="95">
        <v>42</v>
      </c>
    </row>
    <row r="30" spans="2:3" x14ac:dyDescent="0.2">
      <c r="B30" s="80" t="s">
        <v>228</v>
      </c>
      <c r="C30" s="95">
        <v>38</v>
      </c>
    </row>
    <row r="31" spans="2:3" x14ac:dyDescent="0.2">
      <c r="B31" s="80" t="s">
        <v>229</v>
      </c>
      <c r="C31" s="95">
        <v>43</v>
      </c>
    </row>
    <row r="32" spans="2:3" x14ac:dyDescent="0.2">
      <c r="B32" s="80" t="s">
        <v>230</v>
      </c>
      <c r="C32" s="95">
        <v>42</v>
      </c>
    </row>
    <row r="33" spans="2:3" x14ac:dyDescent="0.2">
      <c r="B33" s="80" t="s">
        <v>231</v>
      </c>
      <c r="C33" s="95">
        <v>43</v>
      </c>
    </row>
    <row r="34" spans="2:3" x14ac:dyDescent="0.2">
      <c r="B34" s="80" t="s">
        <v>232</v>
      </c>
      <c r="C34" s="95">
        <v>40</v>
      </c>
    </row>
    <row r="35" spans="2:3" x14ac:dyDescent="0.2">
      <c r="B35" s="80" t="s">
        <v>233</v>
      </c>
      <c r="C35" s="95">
        <v>37</v>
      </c>
    </row>
    <row r="36" spans="2:3" x14ac:dyDescent="0.2">
      <c r="B36" s="80" t="s">
        <v>234</v>
      </c>
      <c r="C36" s="95">
        <v>35</v>
      </c>
    </row>
    <row r="37" spans="2:3" x14ac:dyDescent="0.2">
      <c r="B37" s="80" t="s">
        <v>235</v>
      </c>
      <c r="C37" s="95">
        <v>38</v>
      </c>
    </row>
    <row r="38" spans="2:3" x14ac:dyDescent="0.2">
      <c r="B38" s="80" t="s">
        <v>236</v>
      </c>
      <c r="C38" s="95">
        <v>43</v>
      </c>
    </row>
    <row r="39" spans="2:3" x14ac:dyDescent="0.2">
      <c r="B39" s="80" t="s">
        <v>237</v>
      </c>
      <c r="C39" s="95">
        <v>42</v>
      </c>
    </row>
    <row r="40" spans="2:3" x14ac:dyDescent="0.2">
      <c r="B40" s="80" t="s">
        <v>238</v>
      </c>
      <c r="C40" s="95">
        <v>42</v>
      </c>
    </row>
    <row r="41" spans="2:3" x14ac:dyDescent="0.2">
      <c r="B41" s="80" t="s">
        <v>239</v>
      </c>
      <c r="C41" s="95">
        <v>28</v>
      </c>
    </row>
    <row r="42" spans="2:3" x14ac:dyDescent="0.2">
      <c r="B42" s="80" t="s">
        <v>240</v>
      </c>
      <c r="C42" s="95">
        <v>42</v>
      </c>
    </row>
    <row r="43" spans="2:3" x14ac:dyDescent="0.2">
      <c r="B43" s="80" t="s">
        <v>241</v>
      </c>
      <c r="C43" s="95">
        <v>43</v>
      </c>
    </row>
    <row r="44" spans="2:3" x14ac:dyDescent="0.2">
      <c r="B44" s="80" t="s">
        <v>242</v>
      </c>
      <c r="C44" s="95">
        <v>41</v>
      </c>
    </row>
    <row r="45" spans="2:3" x14ac:dyDescent="0.2">
      <c r="B45" s="80" t="s">
        <v>243</v>
      </c>
      <c r="C45" s="95">
        <v>28</v>
      </c>
    </row>
    <row r="46" spans="2:3" x14ac:dyDescent="0.2">
      <c r="B46" s="80" t="s">
        <v>244</v>
      </c>
      <c r="C46" s="95">
        <v>41</v>
      </c>
    </row>
    <row r="47" spans="2:3" x14ac:dyDescent="0.2">
      <c r="B47" s="80" t="s">
        <v>245</v>
      </c>
      <c r="C47" s="95">
        <v>37</v>
      </c>
    </row>
    <row r="48" spans="2:3" x14ac:dyDescent="0.2">
      <c r="B48" s="80" t="s">
        <v>246</v>
      </c>
      <c r="C48" s="95">
        <v>42</v>
      </c>
    </row>
    <row r="49" spans="2:3" x14ac:dyDescent="0.2">
      <c r="B49" s="80" t="s">
        <v>247</v>
      </c>
      <c r="C49" s="95">
        <v>41</v>
      </c>
    </row>
    <row r="50" spans="2:3" x14ac:dyDescent="0.2">
      <c r="B50" s="80" t="s">
        <v>248</v>
      </c>
      <c r="C50" s="95">
        <v>40</v>
      </c>
    </row>
    <row r="51" spans="2:3" x14ac:dyDescent="0.2">
      <c r="B51" s="80" t="s">
        <v>249</v>
      </c>
      <c r="C51" s="95">
        <v>40</v>
      </c>
    </row>
    <row r="52" spans="2:3" x14ac:dyDescent="0.2">
      <c r="B52" s="80" t="s">
        <v>250</v>
      </c>
      <c r="C52" s="95">
        <v>40</v>
      </c>
    </row>
    <row r="53" spans="2:3" x14ac:dyDescent="0.2">
      <c r="B53" s="80" t="s">
        <v>251</v>
      </c>
      <c r="C53" s="95">
        <v>42</v>
      </c>
    </row>
    <row r="54" spans="2:3" x14ac:dyDescent="0.2">
      <c r="B54" s="80" t="s">
        <v>252</v>
      </c>
      <c r="C54" s="95">
        <v>43</v>
      </c>
    </row>
    <row r="55" spans="2:3" x14ac:dyDescent="0.2">
      <c r="B55" s="80" t="s">
        <v>253</v>
      </c>
      <c r="C55" s="95">
        <v>42</v>
      </c>
    </row>
    <row r="56" spans="2:3" x14ac:dyDescent="0.2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2.75" x14ac:dyDescent="0.2"/>
  <cols>
    <col min="1" max="1" width="7.85546875" customWidth="1"/>
  </cols>
  <sheetData>
    <row r="1" spans="1:14" x14ac:dyDescent="0.2">
      <c r="A1" s="5" t="s">
        <v>290</v>
      </c>
    </row>
    <row r="2" spans="1:14" x14ac:dyDescent="0.2">
      <c r="A2" t="s">
        <v>577</v>
      </c>
    </row>
    <row r="4" spans="1:14" x14ac:dyDescent="0.2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2578125" defaultRowHeight="12.75" x14ac:dyDescent="0.2"/>
  <cols>
    <col min="1" max="1" width="3.42578125" customWidth="1"/>
    <col min="2" max="2" width="17.5703125" customWidth="1"/>
    <col min="3" max="14" width="6.7109375" customWidth="1"/>
    <col min="15" max="15" width="42" customWidth="1"/>
    <col min="16" max="16" width="17.85546875" customWidth="1"/>
    <col min="17" max="28" width="6.7109375" customWidth="1"/>
  </cols>
  <sheetData>
    <row r="1" spans="2:28" x14ac:dyDescent="0.2">
      <c r="B1" s="5" t="s">
        <v>258</v>
      </c>
    </row>
    <row r="2" spans="2:28" x14ac:dyDescent="0.2">
      <c r="B2" t="s">
        <v>261</v>
      </c>
    </row>
    <row r="3" spans="2:28" x14ac:dyDescent="0.2">
      <c r="B3" s="5" t="s">
        <v>259</v>
      </c>
      <c r="P3" s="5" t="s">
        <v>260</v>
      </c>
    </row>
    <row r="4" spans="2:28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Alberto España</cp:lastModifiedBy>
  <cp:lastPrinted>2004-07-09T12:06:19Z</cp:lastPrinted>
  <dcterms:created xsi:type="dcterms:W3CDTF">2003-07-02T09:45:56Z</dcterms:created>
  <dcterms:modified xsi:type="dcterms:W3CDTF">2026-06-09T11:14:49Z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
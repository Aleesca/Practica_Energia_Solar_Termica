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drawings/drawing5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drawings/drawing6.xml" ContentType="application/vnd.openxmlformats-officedocument.drawing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drawings/drawing7.xml" ContentType="application/vnd.openxmlformats-officedocument.drawing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drawings/drawing8.xml" ContentType="application/vnd.openxmlformats-officedocument.drawing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drawings/drawing9.xml" ContentType="application/vnd.openxmlformats-officedocument.drawing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drawings/drawing10.xml" ContentType="application/vnd.openxmlformats-officedocument.drawing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drawings/drawing11.xml" ContentType="application/vnd.openxmlformats-officedocument.drawing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drawings/drawing12.xml" ContentType="application/vnd.openxmlformats-officedocument.drawing+xml"/>
  <Override PartName="/xl/ctrlProps/ctrlProp930.xml" ContentType="application/vnd.ms-excel.controlproperties+xml"/>
  <Override PartName="/xl/ctrlProps/ctrlProp93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:\Unidades compartidas\Practicas_Inst2\6_Energia_Solar\Calculos\"/>
    </mc:Choice>
  </mc:AlternateContent>
  <xr:revisionPtr revIDLastSave="0" documentId="13_ncr:1_{F2F1560E-42A7-4179-A726-D07ABE32EF6E}" xr6:coauthVersionLast="47" xr6:coauthVersionMax="47" xr10:uidLastSave="{00000000-0000-0000-0000-000000000000}"/>
  <bookViews>
    <workbookView xWindow="-28920" yWindow="-120" windowWidth="29040" windowHeight="15720" tabRatio="758" activeTab="1" xr2:uid="{DBB6D66C-481F-4BCA-A0D9-8BC95CF80172}"/>
  </bookViews>
  <sheets>
    <sheet name="Inicio" sheetId="21" r:id="rId1"/>
    <sheet name="Principal" sheetId="19" r:id="rId2"/>
    <sheet name="Datos" sheetId="18" r:id="rId3"/>
    <sheet name="CH_PrimMixta" sheetId="31" state="veryHidden" r:id="rId4"/>
    <sheet name="CH_SecMixta" sheetId="32" state="veryHidden" r:id="rId5"/>
    <sheet name="CH_AIndMixta" sheetId="33" state="veryHidden" r:id="rId6"/>
    <sheet name="ICalor_AGNMixta" sheetId="34" state="veryHidden" r:id="rId7"/>
    <sheet name="CH_Prim" sheetId="23" r:id="rId8"/>
    <sheet name="CH_Sec" sheetId="24" r:id="rId9"/>
    <sheet name="CH_Distrib" sheetId="25" r:id="rId10"/>
    <sheet name="CH_Unif" sheetId="35" state="veryHidden" r:id="rId11"/>
    <sheet name="ICalor_ApoyoGN_Unif" sheetId="36" state="veryHidden" r:id="rId12"/>
    <sheet name="CH_AcumInd" sheetId="28" state="veryHidden" r:id="rId13"/>
    <sheet name="ICalor_ApoyoGN" sheetId="29" state="veryHidden" r:id="rId14"/>
    <sheet name="Captadores" sheetId="26" r:id="rId15"/>
    <sheet name="Captadores PROSOL" sheetId="10" state="veryHidden" r:id="rId16"/>
    <sheet name="T_ambiente" sheetId="27" state="veryHidden" r:id="rId17"/>
    <sheet name="T_ambiente horas sol" sheetId="11" state="veryHidden" r:id="rId18"/>
    <sheet name="T_aguafria" sheetId="12" state="veryHidden" r:id="rId19"/>
    <sheet name="Superficie" sheetId="20" state="veryHidden" r:id="rId20"/>
    <sheet name="Latitudes" sheetId="16" state="veryHidden" r:id="rId21"/>
    <sheet name="Factor K" sheetId="15" state="veryHidden" r:id="rId22"/>
    <sheet name="ES_Censolar" sheetId="14" state="veryHidden" r:id="rId23"/>
  </sheets>
  <definedNames>
    <definedName name="_xlnm.Print_Area" localSheetId="12">CH_AcumInd!$A$1:$Y$89</definedName>
    <definedName name="_xlnm.Print_Area" localSheetId="5">CH_AIndMixta!$A$1:$Y$66</definedName>
    <definedName name="_xlnm.Print_Area" localSheetId="9">CH_Distrib!$A$1:$AA$65</definedName>
    <definedName name="_xlnm.Print_Area" localSheetId="7">CH_Prim!$A$1:$X$81</definedName>
    <definedName name="_xlnm.Print_Area" localSheetId="8">CH_Sec!$A$1:$X$67</definedName>
    <definedName name="_xlnm.Print_Area" localSheetId="4">CH_SecMixta!$A$1:$Y$67</definedName>
    <definedName name="_xlnm.Print_Area" localSheetId="6">ICalor_AGNMixta!$A$1:$N$21</definedName>
    <definedName name="_xlnm.Print_Area" localSheetId="13">ICalor_ApoyoGN!$A$1:$O$21</definedName>
    <definedName name="_xlnm.Print_Area" localSheetId="1">Principal!$A$1:$L$91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8" l="1"/>
  <c r="H17" i="19"/>
  <c r="G46" i="19"/>
  <c r="G8" i="19"/>
  <c r="C5" i="14"/>
  <c r="D5" i="14"/>
  <c r="E5" i="14"/>
  <c r="F5" i="14"/>
  <c r="G5" i="14"/>
  <c r="H5" i="14"/>
  <c r="I5" i="14"/>
  <c r="J5" i="14"/>
  <c r="K5" i="14"/>
  <c r="L5" i="14"/>
  <c r="M5" i="14"/>
  <c r="N5" i="14"/>
  <c r="C6" i="14"/>
  <c r="D6" i="14"/>
  <c r="E6" i="14"/>
  <c r="F6" i="14"/>
  <c r="G6" i="14"/>
  <c r="H6" i="14"/>
  <c r="I6" i="14"/>
  <c r="J6" i="14"/>
  <c r="K6" i="14"/>
  <c r="L6" i="14"/>
  <c r="M6" i="14"/>
  <c r="N6" i="14"/>
  <c r="C7" i="14"/>
  <c r="D7" i="14"/>
  <c r="E7" i="14"/>
  <c r="F7" i="14"/>
  <c r="G7" i="14"/>
  <c r="H7" i="14"/>
  <c r="I7" i="14"/>
  <c r="J7" i="14"/>
  <c r="K7" i="14"/>
  <c r="L7" i="14"/>
  <c r="M7" i="14"/>
  <c r="N7" i="14"/>
  <c r="C8" i="14"/>
  <c r="D8" i="14"/>
  <c r="E8" i="14"/>
  <c r="F8" i="14"/>
  <c r="G8" i="14"/>
  <c r="H8" i="14"/>
  <c r="I8" i="14"/>
  <c r="J8" i="14"/>
  <c r="K8" i="14"/>
  <c r="L8" i="14"/>
  <c r="M8" i="14"/>
  <c r="N8" i="14"/>
  <c r="C9" i="14"/>
  <c r="D9" i="14"/>
  <c r="E9" i="14"/>
  <c r="F9" i="14"/>
  <c r="G9" i="14"/>
  <c r="H9" i="14"/>
  <c r="I9" i="14"/>
  <c r="J9" i="14"/>
  <c r="K9" i="14"/>
  <c r="L9" i="14"/>
  <c r="M9" i="14"/>
  <c r="N9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C2" i="20"/>
  <c r="J6" i="20"/>
  <c r="C14" i="20"/>
  <c r="C15" i="20"/>
  <c r="G15" i="20"/>
  <c r="C16" i="20"/>
  <c r="G16" i="20"/>
  <c r="M17" i="20"/>
  <c r="C19" i="20"/>
  <c r="C20" i="20"/>
  <c r="G21" i="20"/>
  <c r="C22" i="20"/>
  <c r="C23" i="20"/>
  <c r="F23" i="20" s="1"/>
  <c r="N23" i="20"/>
  <c r="D28" i="20"/>
  <c r="E28" i="20"/>
  <c r="E43" i="20" s="1"/>
  <c r="E58" i="20" s="1"/>
  <c r="F28" i="20"/>
  <c r="F43" i="20" s="1"/>
  <c r="D29" i="20"/>
  <c r="E29" i="20"/>
  <c r="F29" i="20"/>
  <c r="F44" i="20" s="1"/>
  <c r="D30" i="20"/>
  <c r="E30" i="20"/>
  <c r="E45" i="20" s="1"/>
  <c r="E60" i="20" s="1"/>
  <c r="F30" i="20"/>
  <c r="F45" i="20" s="1"/>
  <c r="D31" i="20"/>
  <c r="E31" i="20"/>
  <c r="E46" i="20" s="1"/>
  <c r="E61" i="20" s="1"/>
  <c r="F31" i="20"/>
  <c r="D32" i="20"/>
  <c r="E32" i="20"/>
  <c r="E47" i="20" s="1"/>
  <c r="F32" i="20"/>
  <c r="F47" i="20" s="1"/>
  <c r="F62" i="20" s="1"/>
  <c r="D33" i="20"/>
  <c r="E33" i="20"/>
  <c r="E48" i="20" s="1"/>
  <c r="E63" i="20" s="1"/>
  <c r="F33" i="20"/>
  <c r="D34" i="20"/>
  <c r="E34" i="20"/>
  <c r="E49" i="20" s="1"/>
  <c r="E64" i="20" s="1"/>
  <c r="F34" i="20"/>
  <c r="F49" i="20" s="1"/>
  <c r="D35" i="20"/>
  <c r="E35" i="20"/>
  <c r="E50" i="20" s="1"/>
  <c r="E65" i="20" s="1"/>
  <c r="F35" i="20"/>
  <c r="F50" i="20" s="1"/>
  <c r="D36" i="20"/>
  <c r="E36" i="20"/>
  <c r="E51" i="20" s="1"/>
  <c r="E66" i="20" s="1"/>
  <c r="F36" i="20"/>
  <c r="F51" i="20" s="1"/>
  <c r="D37" i="20"/>
  <c r="E37" i="20"/>
  <c r="E52" i="20" s="1"/>
  <c r="E67" i="20" s="1"/>
  <c r="F37" i="20"/>
  <c r="F52" i="20" s="1"/>
  <c r="D38" i="20"/>
  <c r="E38" i="20"/>
  <c r="E53" i="20" s="1"/>
  <c r="F38" i="20"/>
  <c r="F53" i="20" s="1"/>
  <c r="F68" i="20" s="1"/>
  <c r="D39" i="20"/>
  <c r="E39" i="20"/>
  <c r="E54" i="20" s="1"/>
  <c r="E69" i="20" s="1"/>
  <c r="F39" i="20"/>
  <c r="F54" i="20" s="1"/>
  <c r="F69" i="20" s="1"/>
  <c r="D43" i="20"/>
  <c r="D44" i="20"/>
  <c r="D45" i="20"/>
  <c r="D46" i="20"/>
  <c r="D47" i="20"/>
  <c r="D48" i="20"/>
  <c r="F48" i="20"/>
  <c r="F63" i="20" s="1"/>
  <c r="D49" i="20"/>
  <c r="D50" i="20"/>
  <c r="D51" i="20"/>
  <c r="D52" i="20"/>
  <c r="D53" i="20"/>
  <c r="D54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C10" i="29"/>
  <c r="C11" i="29"/>
  <c r="H12" i="29"/>
  <c r="C15" i="29"/>
  <c r="G15" i="29"/>
  <c r="H15" i="29"/>
  <c r="H19" i="29"/>
  <c r="H5" i="28"/>
  <c r="H69" i="28" s="1"/>
  <c r="H6" i="28"/>
  <c r="H11" i="28"/>
  <c r="G24" i="28"/>
  <c r="H24" i="28" s="1"/>
  <c r="I24" i="28"/>
  <c r="J24" i="28"/>
  <c r="V24" i="28"/>
  <c r="W24" i="28" s="1"/>
  <c r="G25" i="28"/>
  <c r="H25" i="28" s="1"/>
  <c r="I25" i="28"/>
  <c r="J25" i="28"/>
  <c r="V25" i="28"/>
  <c r="W25" i="28" s="1"/>
  <c r="X25" i="28" s="1"/>
  <c r="AT25" i="28"/>
  <c r="G26" i="28"/>
  <c r="H26" i="28"/>
  <c r="I26" i="28"/>
  <c r="J26" i="28"/>
  <c r="V26" i="28"/>
  <c r="W26" i="28" s="1"/>
  <c r="X26" i="28" s="1"/>
  <c r="AT26" i="28"/>
  <c r="G27" i="28"/>
  <c r="J27" i="28"/>
  <c r="V27" i="28"/>
  <c r="W27" i="28" s="1"/>
  <c r="AT27" i="28"/>
  <c r="G28" i="28"/>
  <c r="H28" i="28" s="1"/>
  <c r="I28" i="28"/>
  <c r="J28" i="28"/>
  <c r="V28" i="28"/>
  <c r="W28" i="28" s="1"/>
  <c r="AT28" i="28"/>
  <c r="G29" i="28"/>
  <c r="J29" i="28"/>
  <c r="V29" i="28"/>
  <c r="W29" i="28" s="1"/>
  <c r="AR29" i="28"/>
  <c r="AT29" i="28"/>
  <c r="G30" i="28"/>
  <c r="H30" i="28" s="1"/>
  <c r="I30" i="28"/>
  <c r="J30" i="28"/>
  <c r="V30" i="28"/>
  <c r="W30" i="28" s="1"/>
  <c r="AR30" i="28"/>
  <c r="AT30" i="28"/>
  <c r="G31" i="28"/>
  <c r="H31" i="28" s="1"/>
  <c r="I31" i="28"/>
  <c r="X31" i="28" s="1"/>
  <c r="J31" i="28"/>
  <c r="V31" i="28"/>
  <c r="W31" i="28"/>
  <c r="AT31" i="28"/>
  <c r="G32" i="28"/>
  <c r="H32" i="28"/>
  <c r="I32" i="28"/>
  <c r="J32" i="28"/>
  <c r="V32" i="28"/>
  <c r="W32" i="28" s="1"/>
  <c r="X32" i="28" s="1"/>
  <c r="AT32" i="28"/>
  <c r="G33" i="28"/>
  <c r="H33" i="28" s="1"/>
  <c r="I33" i="28"/>
  <c r="J33" i="28"/>
  <c r="V33" i="28"/>
  <c r="W33" i="28" s="1"/>
  <c r="X33" i="28" s="1"/>
  <c r="AT33" i="28"/>
  <c r="G34" i="28"/>
  <c r="H34" i="28" s="1"/>
  <c r="I34" i="28"/>
  <c r="J34" i="28"/>
  <c r="V34" i="28"/>
  <c r="W34" i="28" s="1"/>
  <c r="X34" i="28" s="1"/>
  <c r="AT34" i="28"/>
  <c r="G35" i="28"/>
  <c r="H35" i="28" s="1"/>
  <c r="I35" i="28"/>
  <c r="J35" i="28"/>
  <c r="V35" i="28"/>
  <c r="W35" i="28" s="1"/>
  <c r="X35" i="28" s="1"/>
  <c r="AT35" i="28"/>
  <c r="G36" i="28"/>
  <c r="H36" i="28" s="1"/>
  <c r="I36" i="28"/>
  <c r="J36" i="28"/>
  <c r="V36" i="28"/>
  <c r="W36" i="28" s="1"/>
  <c r="X36" i="28" s="1"/>
  <c r="AT36" i="28"/>
  <c r="G37" i="28"/>
  <c r="H37" i="28" s="1"/>
  <c r="I37" i="28"/>
  <c r="J37" i="28"/>
  <c r="V37" i="28"/>
  <c r="W37" i="28" s="1"/>
  <c r="X37" i="28" s="1"/>
  <c r="AT37" i="28"/>
  <c r="G38" i="28"/>
  <c r="H38" i="28" s="1"/>
  <c r="I38" i="28"/>
  <c r="J38" i="28"/>
  <c r="V38" i="28"/>
  <c r="W38" i="28" s="1"/>
  <c r="X38" i="28" s="1"/>
  <c r="AT38" i="28"/>
  <c r="G39" i="28"/>
  <c r="H39" i="28"/>
  <c r="I39" i="28"/>
  <c r="J39" i="28"/>
  <c r="V39" i="28"/>
  <c r="W39" i="28"/>
  <c r="X39" i="28" s="1"/>
  <c r="AT39" i="28"/>
  <c r="AT40" i="28"/>
  <c r="H48" i="28"/>
  <c r="H53" i="28" s="1"/>
  <c r="F59" i="28"/>
  <c r="G59" i="28" s="1"/>
  <c r="F60" i="28"/>
  <c r="G60" i="28" s="1"/>
  <c r="F61" i="28"/>
  <c r="G61" i="28" s="1"/>
  <c r="F62" i="28"/>
  <c r="G62" i="28" s="1"/>
  <c r="F63" i="28"/>
  <c r="G63" i="28" s="1"/>
  <c r="F64" i="28"/>
  <c r="G64" i="28" s="1"/>
  <c r="F65" i="28"/>
  <c r="G65" i="28" s="1"/>
  <c r="E73" i="28"/>
  <c r="H77" i="28" s="1"/>
  <c r="F73" i="28"/>
  <c r="G73" i="28"/>
  <c r="H73" i="28"/>
  <c r="I73" i="28"/>
  <c r="H84" i="28"/>
  <c r="C15" i="36"/>
  <c r="G15" i="36"/>
  <c r="H15" i="36"/>
  <c r="H19" i="36"/>
  <c r="H5" i="35"/>
  <c r="H69" i="35" s="1"/>
  <c r="H6" i="35"/>
  <c r="H11" i="35"/>
  <c r="G24" i="35"/>
  <c r="H24" i="35" s="1"/>
  <c r="I24" i="35"/>
  <c r="J24" i="35"/>
  <c r="V24" i="35"/>
  <c r="W24" i="35" s="1"/>
  <c r="X24" i="35" s="1"/>
  <c r="G25" i="35"/>
  <c r="H25" i="35"/>
  <c r="I25" i="35"/>
  <c r="J25" i="35"/>
  <c r="V25" i="35"/>
  <c r="W25" i="35"/>
  <c r="X25" i="35" s="1"/>
  <c r="AT25" i="35"/>
  <c r="G26" i="35"/>
  <c r="H26" i="35"/>
  <c r="I26" i="35"/>
  <c r="J26" i="35"/>
  <c r="V26" i="35"/>
  <c r="W26" i="35"/>
  <c r="X26" i="35" s="1"/>
  <c r="AT26" i="35"/>
  <c r="G27" i="35"/>
  <c r="H27" i="35"/>
  <c r="I27" i="35"/>
  <c r="J27" i="35"/>
  <c r="V27" i="35"/>
  <c r="W27" i="35"/>
  <c r="X27" i="35" s="1"/>
  <c r="AT27" i="35"/>
  <c r="G28" i="35"/>
  <c r="H28" i="35"/>
  <c r="I28" i="35"/>
  <c r="J28" i="35"/>
  <c r="V28" i="35"/>
  <c r="W28" i="35" s="1"/>
  <c r="X28" i="35" s="1"/>
  <c r="AT28" i="35"/>
  <c r="G29" i="35"/>
  <c r="H29" i="35"/>
  <c r="I29" i="35"/>
  <c r="J29" i="35"/>
  <c r="V29" i="35"/>
  <c r="W29" i="35"/>
  <c r="X29" i="35" s="1"/>
  <c r="AR29" i="35"/>
  <c r="AT29" i="35"/>
  <c r="G30" i="35"/>
  <c r="H30" i="35"/>
  <c r="I30" i="35"/>
  <c r="J30" i="35"/>
  <c r="V30" i="35"/>
  <c r="W30" i="35" s="1"/>
  <c r="X30" i="35" s="1"/>
  <c r="AR30" i="35"/>
  <c r="AT30" i="35"/>
  <c r="G31" i="35"/>
  <c r="H31" i="35"/>
  <c r="I31" i="35"/>
  <c r="J31" i="35"/>
  <c r="V31" i="35"/>
  <c r="W31" i="35"/>
  <c r="X31" i="35" s="1"/>
  <c r="AT31" i="35"/>
  <c r="G32" i="35"/>
  <c r="H32" i="35"/>
  <c r="I32" i="35"/>
  <c r="J32" i="35"/>
  <c r="V32" i="35"/>
  <c r="W32" i="35" s="1"/>
  <c r="X32" i="35" s="1"/>
  <c r="AT32" i="35"/>
  <c r="G33" i="35"/>
  <c r="H33" i="35"/>
  <c r="I33" i="35"/>
  <c r="J33" i="35"/>
  <c r="V33" i="35"/>
  <c r="W33" i="35" s="1"/>
  <c r="X33" i="35" s="1"/>
  <c r="AT33" i="35"/>
  <c r="G34" i="35"/>
  <c r="H34" i="35"/>
  <c r="I34" i="35"/>
  <c r="J34" i="35"/>
  <c r="V34" i="35"/>
  <c r="W34" i="35"/>
  <c r="X34" i="35"/>
  <c r="AT34" i="35"/>
  <c r="G35" i="35"/>
  <c r="H35" i="35"/>
  <c r="I35" i="35"/>
  <c r="J35" i="35"/>
  <c r="V35" i="35"/>
  <c r="W35" i="35" s="1"/>
  <c r="X35" i="35" s="1"/>
  <c r="AT35" i="35"/>
  <c r="G36" i="35"/>
  <c r="H36" i="35"/>
  <c r="I36" i="35"/>
  <c r="J36" i="35"/>
  <c r="V36" i="35"/>
  <c r="W36" i="35"/>
  <c r="X36" i="35" s="1"/>
  <c r="AT36" i="35"/>
  <c r="G37" i="35"/>
  <c r="H37" i="35"/>
  <c r="I37" i="35"/>
  <c r="J37" i="35"/>
  <c r="V37" i="35"/>
  <c r="W37" i="35" s="1"/>
  <c r="X37" i="35" s="1"/>
  <c r="AT37" i="35"/>
  <c r="G38" i="35"/>
  <c r="H38" i="35"/>
  <c r="I38" i="35"/>
  <c r="J38" i="35"/>
  <c r="V38" i="35"/>
  <c r="W38" i="35" s="1"/>
  <c r="X38" i="35" s="1"/>
  <c r="AT38" i="35"/>
  <c r="G39" i="35"/>
  <c r="H39" i="35"/>
  <c r="I39" i="35"/>
  <c r="J39" i="35"/>
  <c r="V39" i="35"/>
  <c r="W39" i="35" s="1"/>
  <c r="X39" i="35" s="1"/>
  <c r="AT39" i="35"/>
  <c r="AT40" i="35"/>
  <c r="F59" i="35"/>
  <c r="G59" i="35" s="1"/>
  <c r="F60" i="35"/>
  <c r="G60" i="35" s="1"/>
  <c r="F61" i="35"/>
  <c r="G61" i="35" s="1"/>
  <c r="F62" i="35"/>
  <c r="G62" i="35" s="1"/>
  <c r="F63" i="35"/>
  <c r="G63" i="35" s="1"/>
  <c r="F64" i="35"/>
  <c r="G64" i="35" s="1"/>
  <c r="F65" i="35"/>
  <c r="G65" i="35" s="1"/>
  <c r="H78" i="35"/>
  <c r="H7" i="25"/>
  <c r="H21" i="25"/>
  <c r="J21" i="25"/>
  <c r="L21" i="25"/>
  <c r="M21" i="25"/>
  <c r="O21" i="25" s="1"/>
  <c r="BI21" i="25"/>
  <c r="BJ21" i="25"/>
  <c r="BK21" i="25"/>
  <c r="BL21" i="25"/>
  <c r="H22" i="25"/>
  <c r="J22" i="25"/>
  <c r="K22" i="25"/>
  <c r="L22" i="25"/>
  <c r="M22" i="25"/>
  <c r="O22" i="25" s="1"/>
  <c r="AY22" i="25"/>
  <c r="BI22" i="25"/>
  <c r="BJ22" i="25"/>
  <c r="BK22" i="25"/>
  <c r="BL22" i="25"/>
  <c r="H23" i="25"/>
  <c r="J23" i="25"/>
  <c r="K23" i="25" s="1"/>
  <c r="L23" i="25"/>
  <c r="M23" i="25"/>
  <c r="O23" i="25" s="1"/>
  <c r="AY23" i="25"/>
  <c r="BI23" i="25"/>
  <c r="BJ23" i="25"/>
  <c r="BK23" i="25"/>
  <c r="BL23" i="25"/>
  <c r="H24" i="25"/>
  <c r="J24" i="25"/>
  <c r="K24" i="25" s="1"/>
  <c r="L24" i="25"/>
  <c r="M24" i="25"/>
  <c r="O24" i="25" s="1"/>
  <c r="AY24" i="25"/>
  <c r="BI24" i="25"/>
  <c r="BJ24" i="25"/>
  <c r="BK24" i="25"/>
  <c r="BL24" i="25"/>
  <c r="H25" i="25"/>
  <c r="J25" i="25"/>
  <c r="K25" i="25" s="1"/>
  <c r="L25" i="25"/>
  <c r="M25" i="25"/>
  <c r="O25" i="25" s="1"/>
  <c r="AY25" i="25"/>
  <c r="BI25" i="25"/>
  <c r="BJ25" i="25"/>
  <c r="BK25" i="25"/>
  <c r="BL25" i="25"/>
  <c r="BM25" i="25" s="1"/>
  <c r="F25" i="25" s="1"/>
  <c r="H26" i="25"/>
  <c r="J26" i="25"/>
  <c r="K26" i="25" s="1"/>
  <c r="L26" i="25"/>
  <c r="M26" i="25"/>
  <c r="O26" i="25" s="1"/>
  <c r="AY26" i="25"/>
  <c r="BI26" i="25"/>
  <c r="BJ26" i="25"/>
  <c r="BK26" i="25"/>
  <c r="BL26" i="25"/>
  <c r="H27" i="25"/>
  <c r="J27" i="25"/>
  <c r="K27" i="25" s="1"/>
  <c r="L27" i="25"/>
  <c r="M27" i="25"/>
  <c r="O27" i="25" s="1"/>
  <c r="AW27" i="25"/>
  <c r="AY27" i="25"/>
  <c r="BI27" i="25"/>
  <c r="BJ27" i="25"/>
  <c r="BK27" i="25"/>
  <c r="BL27" i="25"/>
  <c r="BM27" i="25" s="1"/>
  <c r="F27" i="25" s="1"/>
  <c r="F28" i="25"/>
  <c r="H28" i="25"/>
  <c r="J28" i="25"/>
  <c r="K28" i="25"/>
  <c r="L28" i="25"/>
  <c r="M28" i="25"/>
  <c r="O28" i="25"/>
  <c r="AY28" i="25"/>
  <c r="F29" i="25"/>
  <c r="H29" i="25"/>
  <c r="J29" i="25"/>
  <c r="K29" i="25"/>
  <c r="L29" i="25"/>
  <c r="M29" i="25"/>
  <c r="O29" i="25"/>
  <c r="AY29" i="25"/>
  <c r="F30" i="25"/>
  <c r="H30" i="25"/>
  <c r="J30" i="25"/>
  <c r="K30" i="25"/>
  <c r="L30" i="25"/>
  <c r="M30" i="25"/>
  <c r="O30" i="25"/>
  <c r="AY30" i="25"/>
  <c r="F31" i="25"/>
  <c r="H31" i="25"/>
  <c r="J31" i="25"/>
  <c r="K31" i="25"/>
  <c r="L31" i="25"/>
  <c r="M31" i="25"/>
  <c r="O31" i="25"/>
  <c r="AY31" i="25"/>
  <c r="F32" i="25"/>
  <c r="H32" i="25"/>
  <c r="J32" i="25"/>
  <c r="K32" i="25"/>
  <c r="L32" i="25"/>
  <c r="M32" i="25"/>
  <c r="O32" i="25"/>
  <c r="AY32" i="25"/>
  <c r="F33" i="25"/>
  <c r="H33" i="25"/>
  <c r="J33" i="25"/>
  <c r="K33" i="25"/>
  <c r="L33" i="25"/>
  <c r="M33" i="25"/>
  <c r="O33" i="25"/>
  <c r="AY33" i="25"/>
  <c r="F34" i="25"/>
  <c r="H34" i="25"/>
  <c r="J34" i="25"/>
  <c r="K34" i="25"/>
  <c r="L34" i="25"/>
  <c r="M34" i="25"/>
  <c r="O34" i="25"/>
  <c r="AY34" i="25"/>
  <c r="F35" i="25"/>
  <c r="H35" i="25"/>
  <c r="J35" i="25"/>
  <c r="K35" i="25"/>
  <c r="L35" i="25"/>
  <c r="M35" i="25"/>
  <c r="O35" i="25"/>
  <c r="AY35" i="25"/>
  <c r="F36" i="25"/>
  <c r="H36" i="25"/>
  <c r="J36" i="25"/>
  <c r="K36" i="25"/>
  <c r="L36" i="25"/>
  <c r="M36" i="25"/>
  <c r="O36" i="25"/>
  <c r="AY36" i="25"/>
  <c r="AY37" i="25"/>
  <c r="F45" i="25"/>
  <c r="I45" i="25"/>
  <c r="J45" i="25"/>
  <c r="W45" i="25"/>
  <c r="X45" i="25" s="1"/>
  <c r="H62" i="25"/>
  <c r="H5" i="24"/>
  <c r="H6" i="24"/>
  <c r="H11" i="24"/>
  <c r="F24" i="24"/>
  <c r="G24" i="24"/>
  <c r="H24" i="24"/>
  <c r="I24" i="24"/>
  <c r="U24" i="24"/>
  <c r="V24" i="24" s="1"/>
  <c r="F25" i="24"/>
  <c r="G25" i="24"/>
  <c r="H25" i="24"/>
  <c r="I25" i="24"/>
  <c r="U25" i="24"/>
  <c r="V25" i="24"/>
  <c r="W25" i="24"/>
  <c r="AT25" i="24"/>
  <c r="F26" i="24"/>
  <c r="G26" i="24"/>
  <c r="H26" i="24"/>
  <c r="I26" i="24"/>
  <c r="U26" i="24"/>
  <c r="V26" i="24"/>
  <c r="W26" i="24"/>
  <c r="AT26" i="24"/>
  <c r="F27" i="24"/>
  <c r="G27" i="24"/>
  <c r="H27" i="24"/>
  <c r="I27" i="24"/>
  <c r="U27" i="24"/>
  <c r="V27" i="24"/>
  <c r="W27" i="24"/>
  <c r="AT27" i="24"/>
  <c r="F28" i="24"/>
  <c r="G28" i="24"/>
  <c r="H28" i="24"/>
  <c r="I28" i="24"/>
  <c r="U28" i="24"/>
  <c r="V28" i="24"/>
  <c r="W28" i="24"/>
  <c r="AT28" i="24"/>
  <c r="F29" i="24"/>
  <c r="G29" i="24"/>
  <c r="H29" i="24"/>
  <c r="I29" i="24"/>
  <c r="U29" i="24"/>
  <c r="V29" i="24"/>
  <c r="W29" i="24"/>
  <c r="AR29" i="24"/>
  <c r="AT29" i="24"/>
  <c r="F30" i="24"/>
  <c r="G30" i="24"/>
  <c r="H30" i="24"/>
  <c r="I30" i="24"/>
  <c r="U30" i="24"/>
  <c r="V30" i="24"/>
  <c r="W30" i="24"/>
  <c r="AR30" i="24"/>
  <c r="AT30" i="24"/>
  <c r="F31" i="24"/>
  <c r="G31" i="24"/>
  <c r="H31" i="24"/>
  <c r="I31" i="24"/>
  <c r="U31" i="24"/>
  <c r="V31" i="24"/>
  <c r="W31" i="24"/>
  <c r="AT31" i="24"/>
  <c r="F32" i="24"/>
  <c r="G32" i="24"/>
  <c r="H32" i="24"/>
  <c r="I32" i="24"/>
  <c r="U32" i="24"/>
  <c r="V32" i="24"/>
  <c r="W32" i="24"/>
  <c r="AT32" i="24"/>
  <c r="F33" i="24"/>
  <c r="G33" i="24"/>
  <c r="H33" i="24"/>
  <c r="I33" i="24"/>
  <c r="U33" i="24"/>
  <c r="V33" i="24"/>
  <c r="W33" i="24"/>
  <c r="AT33" i="24"/>
  <c r="F34" i="24"/>
  <c r="G34" i="24"/>
  <c r="H34" i="24"/>
  <c r="I34" i="24"/>
  <c r="U34" i="24"/>
  <c r="V34" i="24"/>
  <c r="W34" i="24"/>
  <c r="AT34" i="24"/>
  <c r="F35" i="24"/>
  <c r="G35" i="24"/>
  <c r="H35" i="24"/>
  <c r="I35" i="24"/>
  <c r="U35" i="24"/>
  <c r="V35" i="24"/>
  <c r="W35" i="24"/>
  <c r="AT35" i="24"/>
  <c r="F36" i="24"/>
  <c r="G36" i="24"/>
  <c r="H36" i="24"/>
  <c r="I36" i="24"/>
  <c r="U36" i="24"/>
  <c r="V36" i="24"/>
  <c r="W36" i="24"/>
  <c r="AT36" i="24"/>
  <c r="F37" i="24"/>
  <c r="G37" i="24"/>
  <c r="H37" i="24"/>
  <c r="I37" i="24"/>
  <c r="U37" i="24"/>
  <c r="V37" i="24"/>
  <c r="W37" i="24"/>
  <c r="AT37" i="24"/>
  <c r="F38" i="24"/>
  <c r="G38" i="24"/>
  <c r="H38" i="24"/>
  <c r="I38" i="24"/>
  <c r="U38" i="24"/>
  <c r="V38" i="24"/>
  <c r="W38" i="24"/>
  <c r="AT38" i="24"/>
  <c r="F39" i="24"/>
  <c r="G39" i="24"/>
  <c r="H39" i="24"/>
  <c r="I39" i="24"/>
  <c r="U39" i="24"/>
  <c r="V39" i="24"/>
  <c r="W39" i="24"/>
  <c r="AT39" i="24"/>
  <c r="AT40" i="24"/>
  <c r="H47" i="24"/>
  <c r="H51" i="24" s="1"/>
  <c r="C55" i="24"/>
  <c r="G55" i="24"/>
  <c r="J55" i="24"/>
  <c r="G56" i="24"/>
  <c r="C57" i="24"/>
  <c r="C58" i="24"/>
  <c r="H59" i="24"/>
  <c r="C60" i="24"/>
  <c r="G60" i="24"/>
  <c r="C61" i="24"/>
  <c r="G61" i="24"/>
  <c r="C62" i="24"/>
  <c r="H62" i="24"/>
  <c r="H5" i="23"/>
  <c r="H68" i="23" s="1"/>
  <c r="H6" i="23"/>
  <c r="H11" i="23"/>
  <c r="G24" i="23"/>
  <c r="H24" i="23"/>
  <c r="I24" i="23"/>
  <c r="J24" i="23"/>
  <c r="V24" i="23"/>
  <c r="W24" i="23" s="1"/>
  <c r="G25" i="23"/>
  <c r="H25" i="23"/>
  <c r="I25" i="23"/>
  <c r="J25" i="23"/>
  <c r="V25" i="23"/>
  <c r="W25" i="23" s="1"/>
  <c r="AT25" i="23"/>
  <c r="G26" i="23"/>
  <c r="J26" i="23"/>
  <c r="V26" i="23"/>
  <c r="W26" i="23" s="1"/>
  <c r="AT26" i="23"/>
  <c r="G27" i="23"/>
  <c r="J27" i="23"/>
  <c r="V27" i="23"/>
  <c r="W27" i="23" s="1"/>
  <c r="AT27" i="23"/>
  <c r="G28" i="23"/>
  <c r="J28" i="23"/>
  <c r="V28" i="23"/>
  <c r="W28" i="23" s="1"/>
  <c r="AT28" i="23"/>
  <c r="G29" i="23"/>
  <c r="J29" i="23"/>
  <c r="V29" i="23"/>
  <c r="W29" i="23" s="1"/>
  <c r="AR29" i="23"/>
  <c r="AT29" i="23"/>
  <c r="G30" i="23"/>
  <c r="H30" i="23"/>
  <c r="I30" i="23"/>
  <c r="J30" i="23"/>
  <c r="V30" i="23"/>
  <c r="W30" i="23"/>
  <c r="X30" i="23" s="1"/>
  <c r="AR30" i="23"/>
  <c r="AT30" i="23"/>
  <c r="G31" i="23"/>
  <c r="H31" i="23"/>
  <c r="I31" i="23"/>
  <c r="J31" i="23"/>
  <c r="V31" i="23"/>
  <c r="W31" i="23"/>
  <c r="X31" i="23" s="1"/>
  <c r="AT31" i="23"/>
  <c r="G32" i="23"/>
  <c r="H32" i="23"/>
  <c r="I32" i="23"/>
  <c r="J32" i="23"/>
  <c r="V32" i="23"/>
  <c r="W32" i="23" s="1"/>
  <c r="X32" i="23" s="1"/>
  <c r="AT32" i="23"/>
  <c r="G33" i="23"/>
  <c r="H33" i="23"/>
  <c r="I33" i="23"/>
  <c r="J33" i="23"/>
  <c r="V33" i="23"/>
  <c r="W33" i="23"/>
  <c r="X33" i="23" s="1"/>
  <c r="AT33" i="23"/>
  <c r="G34" i="23"/>
  <c r="H34" i="23"/>
  <c r="I34" i="23"/>
  <c r="J34" i="23"/>
  <c r="V34" i="23"/>
  <c r="W34" i="23" s="1"/>
  <c r="X34" i="23" s="1"/>
  <c r="AT34" i="23"/>
  <c r="G35" i="23"/>
  <c r="H35" i="23"/>
  <c r="I35" i="23"/>
  <c r="J35" i="23"/>
  <c r="V35" i="23"/>
  <c r="W35" i="23"/>
  <c r="X35" i="23" s="1"/>
  <c r="AT35" i="23"/>
  <c r="G36" i="23"/>
  <c r="H36" i="23"/>
  <c r="I36" i="23"/>
  <c r="J36" i="23"/>
  <c r="V36" i="23"/>
  <c r="W36" i="23"/>
  <c r="X36" i="23"/>
  <c r="AT36" i="23"/>
  <c r="G37" i="23"/>
  <c r="H37" i="23"/>
  <c r="I37" i="23"/>
  <c r="J37" i="23"/>
  <c r="V37" i="23"/>
  <c r="W37" i="23"/>
  <c r="X37" i="23"/>
  <c r="AT37" i="23"/>
  <c r="G38" i="23"/>
  <c r="H38" i="23"/>
  <c r="I38" i="23"/>
  <c r="J38" i="23"/>
  <c r="V38" i="23"/>
  <c r="W38" i="23"/>
  <c r="X38" i="23"/>
  <c r="AT38" i="23"/>
  <c r="G39" i="23"/>
  <c r="H39" i="23"/>
  <c r="I39" i="23"/>
  <c r="J39" i="23"/>
  <c r="V39" i="23"/>
  <c r="W39" i="23"/>
  <c r="X39" i="23"/>
  <c r="AT39" i="23"/>
  <c r="AT40" i="23"/>
  <c r="H48" i="23"/>
  <c r="H53" i="23" s="1"/>
  <c r="F59" i="23"/>
  <c r="G59" i="23"/>
  <c r="F60" i="23"/>
  <c r="G60" i="23"/>
  <c r="F61" i="23"/>
  <c r="G61" i="23"/>
  <c r="F62" i="23"/>
  <c r="G62" i="23"/>
  <c r="F63" i="23"/>
  <c r="G63" i="23"/>
  <c r="F64" i="23"/>
  <c r="G64" i="23"/>
  <c r="G65" i="23"/>
  <c r="H77" i="23"/>
  <c r="C10" i="34"/>
  <c r="C11" i="34"/>
  <c r="H12" i="34"/>
  <c r="C15" i="34"/>
  <c r="G15" i="34"/>
  <c r="H15" i="34"/>
  <c r="H19" i="34"/>
  <c r="H11" i="33"/>
  <c r="G24" i="33"/>
  <c r="H24" i="33"/>
  <c r="I24" i="33"/>
  <c r="J24" i="33"/>
  <c r="V24" i="33"/>
  <c r="W24" i="33"/>
  <c r="X24" i="33"/>
  <c r="G25" i="33"/>
  <c r="H25" i="33"/>
  <c r="I25" i="33"/>
  <c r="J25" i="33"/>
  <c r="V25" i="33"/>
  <c r="W25" i="33"/>
  <c r="X25" i="33"/>
  <c r="AT25" i="33"/>
  <c r="G26" i="33"/>
  <c r="H26" i="33"/>
  <c r="I26" i="33"/>
  <c r="J26" i="33"/>
  <c r="V26" i="33"/>
  <c r="W26" i="33"/>
  <c r="X26" i="33"/>
  <c r="AT26" i="33"/>
  <c r="G27" i="33"/>
  <c r="H27" i="33"/>
  <c r="I27" i="33"/>
  <c r="J27" i="33"/>
  <c r="V27" i="33"/>
  <c r="W27" i="33"/>
  <c r="X27" i="33"/>
  <c r="AT27" i="33"/>
  <c r="G28" i="33"/>
  <c r="H28" i="33"/>
  <c r="I28" i="33"/>
  <c r="J28" i="33"/>
  <c r="V28" i="33"/>
  <c r="W28" i="33"/>
  <c r="X28" i="33"/>
  <c r="AT28" i="33"/>
  <c r="G29" i="33"/>
  <c r="H29" i="33"/>
  <c r="I29" i="33"/>
  <c r="J29" i="33"/>
  <c r="V29" i="33"/>
  <c r="W29" i="33"/>
  <c r="X29" i="33"/>
  <c r="AR29" i="33"/>
  <c r="AT29" i="33"/>
  <c r="G30" i="33"/>
  <c r="H30" i="33"/>
  <c r="I30" i="33"/>
  <c r="J30" i="33"/>
  <c r="V30" i="33"/>
  <c r="W30" i="33"/>
  <c r="X30" i="33"/>
  <c r="AR30" i="33"/>
  <c r="AT30" i="33"/>
  <c r="G31" i="33"/>
  <c r="H31" i="33"/>
  <c r="I31" i="33"/>
  <c r="J31" i="33"/>
  <c r="V31" i="33"/>
  <c r="W31" i="33" s="1"/>
  <c r="X31" i="33" s="1"/>
  <c r="AT31" i="33"/>
  <c r="G32" i="33"/>
  <c r="J32" i="33"/>
  <c r="V32" i="33"/>
  <c r="W32" i="33" s="1"/>
  <c r="AT32" i="33"/>
  <c r="G33" i="33"/>
  <c r="J33" i="33"/>
  <c r="V33" i="33"/>
  <c r="W33" i="33" s="1"/>
  <c r="AT33" i="33"/>
  <c r="G34" i="33"/>
  <c r="J34" i="33"/>
  <c r="V34" i="33"/>
  <c r="W34" i="33" s="1"/>
  <c r="AT34" i="33"/>
  <c r="G35" i="33"/>
  <c r="J35" i="33"/>
  <c r="V35" i="33"/>
  <c r="W35" i="33" s="1"/>
  <c r="AT35" i="33"/>
  <c r="G36" i="33"/>
  <c r="J36" i="33"/>
  <c r="V36" i="33"/>
  <c r="W36" i="33" s="1"/>
  <c r="AT36" i="33"/>
  <c r="G37" i="33"/>
  <c r="J37" i="33"/>
  <c r="V37" i="33"/>
  <c r="W37" i="33" s="1"/>
  <c r="AT37" i="33"/>
  <c r="G38" i="33"/>
  <c r="H38" i="33" s="1"/>
  <c r="I38" i="33"/>
  <c r="J38" i="33"/>
  <c r="V38" i="33"/>
  <c r="W38" i="33" s="1"/>
  <c r="X38" i="33" s="1"/>
  <c r="AT38" i="33"/>
  <c r="G39" i="33"/>
  <c r="H39" i="33"/>
  <c r="I39" i="33"/>
  <c r="J39" i="33"/>
  <c r="V39" i="33"/>
  <c r="W39" i="33"/>
  <c r="X39" i="33" s="1"/>
  <c r="AT39" i="33"/>
  <c r="AT40" i="33"/>
  <c r="H48" i="33"/>
  <c r="H53" i="33" s="1"/>
  <c r="F59" i="33"/>
  <c r="G59" i="33" s="1"/>
  <c r="F60" i="33"/>
  <c r="G60" i="33" s="1"/>
  <c r="F61" i="33"/>
  <c r="G61" i="33" s="1"/>
  <c r="F62" i="33"/>
  <c r="G62" i="33" s="1"/>
  <c r="F63" i="33"/>
  <c r="G63" i="33" s="1"/>
  <c r="F64" i="33"/>
  <c r="G64" i="33" s="1"/>
  <c r="F65" i="33"/>
  <c r="G65" i="33" s="1"/>
  <c r="E71" i="33"/>
  <c r="F71" i="33"/>
  <c r="G71" i="33"/>
  <c r="H71" i="33"/>
  <c r="I71" i="33"/>
  <c r="H82" i="33"/>
  <c r="H5" i="32"/>
  <c r="H6" i="32"/>
  <c r="H11" i="32"/>
  <c r="F24" i="32"/>
  <c r="I24" i="32"/>
  <c r="U24" i="32"/>
  <c r="V24" i="32" s="1"/>
  <c r="F25" i="32"/>
  <c r="G25" i="32"/>
  <c r="H25" i="32"/>
  <c r="I25" i="32"/>
  <c r="U25" i="32"/>
  <c r="V25" i="32"/>
  <c r="W25" i="32"/>
  <c r="AT25" i="32"/>
  <c r="F26" i="32"/>
  <c r="G26" i="32"/>
  <c r="H26" i="32"/>
  <c r="I26" i="32"/>
  <c r="U26" i="32"/>
  <c r="V26" i="32"/>
  <c r="W26" i="32" s="1"/>
  <c r="AT26" i="32"/>
  <c r="F27" i="32"/>
  <c r="G27" i="32"/>
  <c r="H27" i="32"/>
  <c r="I27" i="32"/>
  <c r="U27" i="32"/>
  <c r="V27" i="32" s="1"/>
  <c r="W27" i="32" s="1"/>
  <c r="AT27" i="32"/>
  <c r="F28" i="32"/>
  <c r="G28" i="32"/>
  <c r="H28" i="32"/>
  <c r="I28" i="32"/>
  <c r="U28" i="32"/>
  <c r="V28" i="32" s="1"/>
  <c r="W28" i="32" s="1"/>
  <c r="AT28" i="32"/>
  <c r="F29" i="32"/>
  <c r="G29" i="32"/>
  <c r="H29" i="32"/>
  <c r="I29" i="32"/>
  <c r="U29" i="32"/>
  <c r="V29" i="32" s="1"/>
  <c r="W29" i="32" s="1"/>
  <c r="AR29" i="32"/>
  <c r="AT29" i="32"/>
  <c r="F30" i="32"/>
  <c r="G30" i="32"/>
  <c r="H30" i="32"/>
  <c r="I30" i="32"/>
  <c r="U30" i="32"/>
  <c r="V30" i="32" s="1"/>
  <c r="W30" i="32" s="1"/>
  <c r="AR30" i="32"/>
  <c r="AT30" i="32"/>
  <c r="F31" i="32"/>
  <c r="G31" i="32"/>
  <c r="H31" i="32"/>
  <c r="I31" i="32"/>
  <c r="U31" i="32"/>
  <c r="V31" i="32"/>
  <c r="W31" i="32" s="1"/>
  <c r="AT31" i="32"/>
  <c r="F32" i="32"/>
  <c r="G32" i="32"/>
  <c r="H32" i="32"/>
  <c r="I32" i="32"/>
  <c r="U32" i="32"/>
  <c r="V32" i="32" s="1"/>
  <c r="W32" i="32" s="1"/>
  <c r="AT32" i="32"/>
  <c r="F33" i="32"/>
  <c r="G33" i="32"/>
  <c r="H33" i="32"/>
  <c r="I33" i="32"/>
  <c r="U33" i="32"/>
  <c r="V33" i="32"/>
  <c r="W33" i="32" s="1"/>
  <c r="AT33" i="32"/>
  <c r="F34" i="32"/>
  <c r="G34" i="32"/>
  <c r="H34" i="32"/>
  <c r="I34" i="32"/>
  <c r="U34" i="32"/>
  <c r="V34" i="32"/>
  <c r="W34" i="32" s="1"/>
  <c r="AT34" i="32"/>
  <c r="F35" i="32"/>
  <c r="G35" i="32"/>
  <c r="H35" i="32"/>
  <c r="I35" i="32"/>
  <c r="U35" i="32"/>
  <c r="V35" i="32"/>
  <c r="W35" i="32" s="1"/>
  <c r="AT35" i="32"/>
  <c r="F36" i="32"/>
  <c r="G36" i="32"/>
  <c r="H36" i="32"/>
  <c r="I36" i="32"/>
  <c r="U36" i="32"/>
  <c r="V36" i="32"/>
  <c r="W36" i="32" s="1"/>
  <c r="AT36" i="32"/>
  <c r="F37" i="32"/>
  <c r="G37" i="32"/>
  <c r="H37" i="32"/>
  <c r="I37" i="32"/>
  <c r="U37" i="32"/>
  <c r="V37" i="32"/>
  <c r="W37" i="32" s="1"/>
  <c r="AT37" i="32"/>
  <c r="F38" i="32"/>
  <c r="G38" i="32"/>
  <c r="H38" i="32"/>
  <c r="W38" i="32" s="1"/>
  <c r="I38" i="32"/>
  <c r="U38" i="32"/>
  <c r="V38" i="32"/>
  <c r="AT38" i="32"/>
  <c r="F39" i="32"/>
  <c r="G39" i="32"/>
  <c r="H39" i="32"/>
  <c r="I39" i="32"/>
  <c r="U39" i="32"/>
  <c r="V39" i="32"/>
  <c r="W39" i="32"/>
  <c r="AT39" i="32"/>
  <c r="AT40" i="32"/>
  <c r="H47" i="32"/>
  <c r="H51" i="32"/>
  <c r="C55" i="32"/>
  <c r="G55" i="32"/>
  <c r="J55" i="32"/>
  <c r="G56" i="32"/>
  <c r="C57" i="32"/>
  <c r="C58" i="32"/>
  <c r="H59" i="32"/>
  <c r="C60" i="32"/>
  <c r="G60" i="32"/>
  <c r="C61" i="32"/>
  <c r="G61" i="32"/>
  <c r="C62" i="32"/>
  <c r="H62" i="32"/>
  <c r="H5" i="31"/>
  <c r="H68" i="31" s="1"/>
  <c r="H6" i="31"/>
  <c r="H11" i="31"/>
  <c r="G24" i="31"/>
  <c r="H24" i="31"/>
  <c r="I24" i="31"/>
  <c r="J24" i="31"/>
  <c r="V24" i="31"/>
  <c r="W24" i="31"/>
  <c r="X24" i="31"/>
  <c r="G25" i="31"/>
  <c r="H25" i="31"/>
  <c r="I25" i="31"/>
  <c r="J25" i="31"/>
  <c r="V25" i="31"/>
  <c r="W25" i="31"/>
  <c r="X25" i="31"/>
  <c r="AT25" i="31"/>
  <c r="G26" i="31"/>
  <c r="H26" i="31"/>
  <c r="I26" i="31"/>
  <c r="J26" i="31"/>
  <c r="V26" i="31"/>
  <c r="W26" i="31"/>
  <c r="X26" i="31"/>
  <c r="AT26" i="31"/>
  <c r="G27" i="31"/>
  <c r="H27" i="31"/>
  <c r="I27" i="31"/>
  <c r="J27" i="31"/>
  <c r="V27" i="31"/>
  <c r="W27" i="31"/>
  <c r="X27" i="31"/>
  <c r="AT27" i="31"/>
  <c r="G28" i="31"/>
  <c r="H28" i="31"/>
  <c r="I28" i="31"/>
  <c r="J28" i="31"/>
  <c r="V28" i="31"/>
  <c r="W28" i="31"/>
  <c r="X28" i="31"/>
  <c r="AT28" i="31"/>
  <c r="G29" i="31"/>
  <c r="H29" i="31"/>
  <c r="I29" i="31"/>
  <c r="J29" i="31"/>
  <c r="V29" i="31"/>
  <c r="W29" i="31"/>
  <c r="X29" i="31"/>
  <c r="AR29" i="31"/>
  <c r="AT29" i="31"/>
  <c r="G30" i="31"/>
  <c r="H30" i="31"/>
  <c r="I30" i="31"/>
  <c r="J30" i="31"/>
  <c r="V30" i="31"/>
  <c r="W30" i="31"/>
  <c r="X30" i="31"/>
  <c r="AR30" i="31"/>
  <c r="AT30" i="31"/>
  <c r="G31" i="31"/>
  <c r="H31" i="31"/>
  <c r="I31" i="31"/>
  <c r="J31" i="31"/>
  <c r="V31" i="31"/>
  <c r="W31" i="31"/>
  <c r="X31" i="31"/>
  <c r="AT31" i="31"/>
  <c r="G32" i="31"/>
  <c r="H32" i="31"/>
  <c r="I32" i="31"/>
  <c r="J32" i="31"/>
  <c r="V32" i="31"/>
  <c r="W32" i="31"/>
  <c r="X32" i="31"/>
  <c r="AT32" i="31"/>
  <c r="G33" i="31"/>
  <c r="H33" i="31"/>
  <c r="I33" i="31"/>
  <c r="J33" i="31"/>
  <c r="V33" i="31"/>
  <c r="W33" i="31"/>
  <c r="X33" i="31"/>
  <c r="AT33" i="31"/>
  <c r="G34" i="31"/>
  <c r="H34" i="31"/>
  <c r="I34" i="31"/>
  <c r="J34" i="31"/>
  <c r="V34" i="31"/>
  <c r="W34" i="31"/>
  <c r="X34" i="31"/>
  <c r="AT34" i="31"/>
  <c r="G35" i="31"/>
  <c r="H35" i="31"/>
  <c r="I35" i="31"/>
  <c r="J35" i="31"/>
  <c r="V35" i="31"/>
  <c r="W35" i="31"/>
  <c r="X35" i="31"/>
  <c r="AT35" i="31"/>
  <c r="G36" i="31"/>
  <c r="H36" i="31"/>
  <c r="I36" i="31"/>
  <c r="J36" i="31"/>
  <c r="V36" i="31"/>
  <c r="W36" i="31"/>
  <c r="X36" i="31"/>
  <c r="AT36" i="31"/>
  <c r="G37" i="31"/>
  <c r="H37" i="31"/>
  <c r="I37" i="31"/>
  <c r="J37" i="31"/>
  <c r="V37" i="31"/>
  <c r="W37" i="31"/>
  <c r="X37" i="31"/>
  <c r="AT37" i="31"/>
  <c r="G38" i="31"/>
  <c r="H38" i="31"/>
  <c r="I38" i="31"/>
  <c r="J38" i="31"/>
  <c r="V38" i="31"/>
  <c r="W38" i="31"/>
  <c r="X38" i="31"/>
  <c r="AT38" i="31"/>
  <c r="G39" i="31"/>
  <c r="H39" i="31"/>
  <c r="I39" i="31"/>
  <c r="J39" i="31"/>
  <c r="V39" i="31"/>
  <c r="W39" i="31"/>
  <c r="X39" i="31"/>
  <c r="AT39" i="31"/>
  <c r="AT40" i="31"/>
  <c r="H48" i="31"/>
  <c r="H53" i="31"/>
  <c r="F59" i="31"/>
  <c r="G59" i="31"/>
  <c r="F60" i="31"/>
  <c r="G60" i="31"/>
  <c r="F61" i="31"/>
  <c r="G61" i="31"/>
  <c r="F62" i="31"/>
  <c r="G62" i="31"/>
  <c r="F63" i="31"/>
  <c r="G63" i="31"/>
  <c r="F64" i="31"/>
  <c r="G64" i="31"/>
  <c r="G65" i="31"/>
  <c r="H77" i="31"/>
  <c r="G10" i="18"/>
  <c r="I22" i="18" s="1"/>
  <c r="C50" i="18"/>
  <c r="E51" i="18"/>
  <c r="F51" i="18"/>
  <c r="G51" i="18"/>
  <c r="H51" i="18"/>
  <c r="I51" i="18"/>
  <c r="D53" i="18"/>
  <c r="D54" i="18"/>
  <c r="D55" i="18"/>
  <c r="E55" i="18"/>
  <c r="F55" i="18"/>
  <c r="G55" i="18"/>
  <c r="H55" i="18"/>
  <c r="I55" i="18"/>
  <c r="E57" i="18"/>
  <c r="F57" i="18"/>
  <c r="H6" i="33" s="1"/>
  <c r="H8" i="33" s="1"/>
  <c r="H52" i="33" s="1"/>
  <c r="E58" i="18"/>
  <c r="B63" i="18"/>
  <c r="C66" i="18"/>
  <c r="E67" i="18"/>
  <c r="F67" i="18"/>
  <c r="G67" i="18"/>
  <c r="H67" i="18"/>
  <c r="I67" i="18"/>
  <c r="D68" i="18"/>
  <c r="F68" i="18"/>
  <c r="G68" i="18"/>
  <c r="H68" i="18"/>
  <c r="I68" i="18"/>
  <c r="D69" i="18"/>
  <c r="F69" i="18"/>
  <c r="G69" i="18"/>
  <c r="H69" i="18"/>
  <c r="I69" i="18"/>
  <c r="D70" i="18"/>
  <c r="E72" i="18"/>
  <c r="E73" i="18"/>
  <c r="H73" i="18"/>
  <c r="I73" i="18"/>
  <c r="AA73" i="18"/>
  <c r="E74" i="18"/>
  <c r="H74" i="18"/>
  <c r="C75" i="18"/>
  <c r="C76" i="18"/>
  <c r="G22" i="19"/>
  <c r="G23" i="19"/>
  <c r="G24" i="19"/>
  <c r="G25" i="19"/>
  <c r="G26" i="19"/>
  <c r="G27" i="19"/>
  <c r="G28" i="19"/>
  <c r="G29" i="19"/>
  <c r="G30" i="19"/>
  <c r="G31" i="19"/>
  <c r="G32" i="19"/>
  <c r="G33" i="19"/>
  <c r="F34" i="19"/>
  <c r="G45" i="19"/>
  <c r="H47" i="19"/>
  <c r="G54" i="19"/>
  <c r="C55" i="19"/>
  <c r="F55" i="19"/>
  <c r="G55" i="19"/>
  <c r="C56" i="19"/>
  <c r="C60" i="19"/>
  <c r="F60" i="19"/>
  <c r="G60" i="19"/>
  <c r="C61" i="19"/>
  <c r="C64" i="19"/>
  <c r="F64" i="19"/>
  <c r="G64" i="19"/>
  <c r="C65" i="19"/>
  <c r="H8" i="23" l="1"/>
  <c r="H57" i="24" s="1"/>
  <c r="I16" i="18"/>
  <c r="I17" i="18"/>
  <c r="J29" i="20" s="1"/>
  <c r="J44" i="20" s="1"/>
  <c r="I23" i="18"/>
  <c r="J35" i="20" s="1"/>
  <c r="J50" i="20" s="1"/>
  <c r="I24" i="18"/>
  <c r="J36" i="20" s="1"/>
  <c r="J51" i="20" s="1"/>
  <c r="I25" i="18"/>
  <c r="J37" i="20" s="1"/>
  <c r="I26" i="18"/>
  <c r="J38" i="20" s="1"/>
  <c r="J53" i="20" s="1"/>
  <c r="I18" i="18"/>
  <c r="J30" i="20" s="1"/>
  <c r="J45" i="20" s="1"/>
  <c r="I19" i="18"/>
  <c r="J31" i="20" s="1"/>
  <c r="J46" i="20" s="1"/>
  <c r="I27" i="18"/>
  <c r="I20" i="18"/>
  <c r="J32" i="20" s="1"/>
  <c r="I21" i="18"/>
  <c r="H8" i="24"/>
  <c r="H50" i="24" s="1"/>
  <c r="J33" i="20"/>
  <c r="J48" i="20" s="1"/>
  <c r="J28" i="20"/>
  <c r="J43" i="20" s="1"/>
  <c r="J34" i="20"/>
  <c r="J49" i="20" s="1"/>
  <c r="D45" i="25"/>
  <c r="H47" i="25"/>
  <c r="H48" i="25" s="1"/>
  <c r="BM23" i="25"/>
  <c r="F23" i="25" s="1"/>
  <c r="K21" i="25"/>
  <c r="BM24" i="25"/>
  <c r="F24" i="25" s="1"/>
  <c r="BM21" i="25"/>
  <c r="F21" i="25" s="1"/>
  <c r="BM22" i="25"/>
  <c r="F22" i="25" s="1"/>
  <c r="BM26" i="25"/>
  <c r="F26" i="25" s="1"/>
  <c r="W24" i="24"/>
  <c r="X25" i="23"/>
  <c r="X24" i="23"/>
  <c r="I31" i="20"/>
  <c r="J39" i="20"/>
  <c r="H8" i="35"/>
  <c r="H52" i="35" s="1"/>
  <c r="H8" i="31"/>
  <c r="H52" i="31" s="1"/>
  <c r="H8" i="32"/>
  <c r="H60" i="32" s="1"/>
  <c r="F58" i="18"/>
  <c r="H13" i="19" s="1"/>
  <c r="H75" i="33"/>
  <c r="K23" i="20"/>
  <c r="K24" i="20" s="1"/>
  <c r="G69" i="19" s="1"/>
  <c r="I69" i="20"/>
  <c r="I48" i="20"/>
  <c r="I33" i="20"/>
  <c r="I39" i="20"/>
  <c r="I54" i="20"/>
  <c r="E68" i="20"/>
  <c r="I53" i="20"/>
  <c r="I68" i="20"/>
  <c r="I38" i="20"/>
  <c r="I63" i="20"/>
  <c r="I32" i="20"/>
  <c r="F46" i="20"/>
  <c r="F61" i="20" s="1"/>
  <c r="I61" i="20" s="1"/>
  <c r="I46" i="20"/>
  <c r="I30" i="20"/>
  <c r="I28" i="20"/>
  <c r="H78" i="31"/>
  <c r="H73" i="31"/>
  <c r="F67" i="20"/>
  <c r="I67" i="20" s="1"/>
  <c r="I52" i="20"/>
  <c r="I36" i="20"/>
  <c r="F65" i="20"/>
  <c r="I65" i="20" s="1"/>
  <c r="I50" i="20"/>
  <c r="F64" i="20"/>
  <c r="I64" i="20" s="1"/>
  <c r="I49" i="20"/>
  <c r="E44" i="20"/>
  <c r="E59" i="20" s="1"/>
  <c r="I29" i="20"/>
  <c r="H8" i="28"/>
  <c r="H52" i="28" s="1"/>
  <c r="I37" i="20"/>
  <c r="F66" i="20"/>
  <c r="I66" i="20" s="1"/>
  <c r="I51" i="20"/>
  <c r="I35" i="20"/>
  <c r="I34" i="20"/>
  <c r="E62" i="20"/>
  <c r="I62" i="20" s="1"/>
  <c r="I47" i="20"/>
  <c r="N24" i="20"/>
  <c r="G71" i="19" s="1"/>
  <c r="G14" i="20"/>
  <c r="I9" i="20"/>
  <c r="G56" i="19" s="1"/>
  <c r="I17" i="20"/>
  <c r="M18" i="20"/>
  <c r="F58" i="20"/>
  <c r="I58" i="20" s="1"/>
  <c r="I43" i="20"/>
  <c r="F59" i="20"/>
  <c r="F60" i="20"/>
  <c r="I60" i="20" s="1"/>
  <c r="I45" i="20"/>
  <c r="H27" i="28"/>
  <c r="I27" i="28"/>
  <c r="X27" i="28" s="1"/>
  <c r="I29" i="28"/>
  <c r="X29" i="28" s="1"/>
  <c r="H29" i="28"/>
  <c r="H78" i="23"/>
  <c r="H73" i="23"/>
  <c r="I26" i="23"/>
  <c r="X26" i="23" s="1"/>
  <c r="H26" i="23"/>
  <c r="I27" i="23"/>
  <c r="X27" i="23" s="1"/>
  <c r="H27" i="23"/>
  <c r="I28" i="23"/>
  <c r="X28" i="23" s="1"/>
  <c r="H28" i="23"/>
  <c r="I29" i="23"/>
  <c r="X29" i="23" s="1"/>
  <c r="H29" i="23"/>
  <c r="H32" i="33"/>
  <c r="I32" i="33"/>
  <c r="X32" i="33" s="1"/>
  <c r="I33" i="33"/>
  <c r="X33" i="33" s="1"/>
  <c r="H33" i="33"/>
  <c r="I34" i="33"/>
  <c r="X34" i="33" s="1"/>
  <c r="H34" i="33"/>
  <c r="I35" i="33"/>
  <c r="X35" i="33" s="1"/>
  <c r="H35" i="33"/>
  <c r="H36" i="33"/>
  <c r="I36" i="33"/>
  <c r="X36" i="33" s="1"/>
  <c r="H37" i="33"/>
  <c r="I37" i="33"/>
  <c r="X37" i="33" s="1"/>
  <c r="G24" i="32"/>
  <c r="H24" i="32"/>
  <c r="W24" i="32" s="1"/>
  <c r="F74" i="28"/>
  <c r="F72" i="33"/>
  <c r="G74" i="28"/>
  <c r="G72" i="33"/>
  <c r="H72" i="33"/>
  <c r="H74" i="28"/>
  <c r="I74" i="28"/>
  <c r="I72" i="33"/>
  <c r="X24" i="28"/>
  <c r="X28" i="28"/>
  <c r="X30" i="28"/>
  <c r="G66" i="28"/>
  <c r="H80" i="28" s="1"/>
  <c r="H85" i="28" s="1"/>
  <c r="H41" i="35"/>
  <c r="H48" i="35" s="1"/>
  <c r="H53" i="35" s="1"/>
  <c r="G66" i="35"/>
  <c r="H74" i="35" s="1"/>
  <c r="H79" i="35" s="1"/>
  <c r="G66" i="33"/>
  <c r="H60" i="24" l="1"/>
  <c r="H57" i="32"/>
  <c r="H52" i="23"/>
  <c r="I44" i="20"/>
  <c r="I59" i="20"/>
  <c r="H53" i="25"/>
  <c r="H45" i="25"/>
  <c r="Y45" i="25" s="1"/>
  <c r="H49" i="25" s="1"/>
  <c r="H54" i="25" s="1"/>
  <c r="G45" i="25"/>
  <c r="H78" i="33"/>
  <c r="H83" i="33" s="1"/>
  <c r="J54" i="20"/>
  <c r="K39" i="20"/>
  <c r="L39" i="20" s="1"/>
  <c r="K32" i="20"/>
  <c r="L32" i="20" s="1"/>
  <c r="J47" i="20"/>
  <c r="K37" i="20"/>
  <c r="L37" i="20" s="1"/>
  <c r="J52" i="20"/>
  <c r="G39" i="20"/>
  <c r="G54" i="20" s="1"/>
  <c r="G69" i="20" s="1"/>
  <c r="G84" i="20" s="1"/>
  <c r="H29" i="19"/>
  <c r="G37" i="20"/>
  <c r="G33" i="20"/>
  <c r="G48" i="20" s="1"/>
  <c r="G63" i="20" s="1"/>
  <c r="G78" i="20" s="1"/>
  <c r="G31" i="20"/>
  <c r="G46" i="20" s="1"/>
  <c r="G61" i="20" s="1"/>
  <c r="G76" i="20" s="1"/>
  <c r="G30" i="20"/>
  <c r="G45" i="20" s="1"/>
  <c r="G60" i="20" s="1"/>
  <c r="G75" i="20" s="1"/>
  <c r="G29" i="20"/>
  <c r="G44" i="20" s="1"/>
  <c r="G59" i="20" s="1"/>
  <c r="G74" i="20" s="1"/>
  <c r="G28" i="20"/>
  <c r="H28" i="19"/>
  <c r="H33" i="19"/>
  <c r="H22" i="19"/>
  <c r="H24" i="19"/>
  <c r="G38" i="20"/>
  <c r="G53" i="20" s="1"/>
  <c r="G68" i="20" s="1"/>
  <c r="G83" i="20" s="1"/>
  <c r="G34" i="20"/>
  <c r="G49" i="20" s="1"/>
  <c r="G64" i="20" s="1"/>
  <c r="G79" i="20" s="1"/>
  <c r="H26" i="19"/>
  <c r="H32" i="19"/>
  <c r="H27" i="19"/>
  <c r="H23" i="19"/>
  <c r="H31" i="19"/>
  <c r="H30" i="19"/>
  <c r="G36" i="20"/>
  <c r="G51" i="20" s="1"/>
  <c r="G66" i="20" s="1"/>
  <c r="G81" i="20" s="1"/>
  <c r="G35" i="20"/>
  <c r="G50" i="20" s="1"/>
  <c r="G65" i="20" s="1"/>
  <c r="G80" i="20" s="1"/>
  <c r="G32" i="20"/>
  <c r="H25" i="19"/>
  <c r="K38" i="20"/>
  <c r="L38" i="20" s="1"/>
  <c r="K35" i="20"/>
  <c r="L35" i="20" s="1"/>
  <c r="K33" i="20"/>
  <c r="L33" i="20" s="1"/>
  <c r="K31" i="20"/>
  <c r="L31" i="20" s="1"/>
  <c r="K28" i="20"/>
  <c r="L28" i="20" s="1"/>
  <c r="H50" i="32"/>
  <c r="K29" i="20"/>
  <c r="L29" i="20" s="1"/>
  <c r="K36" i="20"/>
  <c r="L36" i="20" s="1"/>
  <c r="K34" i="20"/>
  <c r="L34" i="20" s="1"/>
  <c r="K30" i="20"/>
  <c r="L30" i="20" s="1"/>
  <c r="H39" i="20"/>
  <c r="N39" i="20" s="1"/>
  <c r="H38" i="20"/>
  <c r="N38" i="20" s="1"/>
  <c r="H37" i="20"/>
  <c r="N37" i="20" s="1"/>
  <c r="H36" i="20"/>
  <c r="N36" i="20" s="1"/>
  <c r="H35" i="20"/>
  <c r="N35" i="20" s="1"/>
  <c r="H34" i="20"/>
  <c r="N34" i="20" s="1"/>
  <c r="H33" i="20"/>
  <c r="N33" i="20" s="1"/>
  <c r="H32" i="20"/>
  <c r="N32" i="20" s="1"/>
  <c r="H31" i="20"/>
  <c r="N31" i="20" s="1"/>
  <c r="H30" i="20"/>
  <c r="N30" i="20" s="1"/>
  <c r="H29" i="20"/>
  <c r="N29" i="20" s="1"/>
  <c r="H28" i="20"/>
  <c r="N28" i="20" s="1"/>
  <c r="F72" i="18"/>
  <c r="E68" i="18"/>
  <c r="E69" i="18" s="1"/>
  <c r="G53" i="19"/>
  <c r="K17" i="20"/>
  <c r="G66" i="19"/>
  <c r="J58" i="20"/>
  <c r="K58" i="20" s="1"/>
  <c r="K43" i="20"/>
  <c r="J59" i="20"/>
  <c r="K59" i="20" s="1"/>
  <c r="K44" i="20"/>
  <c r="J60" i="20"/>
  <c r="K60" i="20" s="1"/>
  <c r="K45" i="20"/>
  <c r="J61" i="20"/>
  <c r="K61" i="20" s="1"/>
  <c r="K46" i="20"/>
  <c r="J63" i="20"/>
  <c r="K63" i="20" s="1"/>
  <c r="K48" i="20"/>
  <c r="J64" i="20"/>
  <c r="K64" i="20" s="1"/>
  <c r="K49" i="20"/>
  <c r="J65" i="20"/>
  <c r="K65" i="20" s="1"/>
  <c r="K50" i="20"/>
  <c r="J66" i="20"/>
  <c r="K66" i="20" s="1"/>
  <c r="K51" i="20"/>
  <c r="J68" i="20"/>
  <c r="K68" i="20" s="1"/>
  <c r="K53" i="20"/>
  <c r="O39" i="20" l="1"/>
  <c r="J69" i="20"/>
  <c r="K69" i="20" s="1"/>
  <c r="K54" i="20"/>
  <c r="M39" i="20"/>
  <c r="J62" i="20"/>
  <c r="K62" i="20" s="1"/>
  <c r="K47" i="20"/>
  <c r="K52" i="20"/>
  <c r="J67" i="20"/>
  <c r="K67" i="20" s="1"/>
  <c r="M38" i="20"/>
  <c r="M35" i="20"/>
  <c r="H34" i="19"/>
  <c r="M33" i="20"/>
  <c r="M31" i="20"/>
  <c r="M28" i="20"/>
  <c r="M29" i="20"/>
  <c r="M36" i="20"/>
  <c r="M34" i="20"/>
  <c r="M30" i="20"/>
  <c r="O38" i="20"/>
  <c r="O37" i="20"/>
  <c r="O36" i="20"/>
  <c r="O35" i="20"/>
  <c r="O34" i="20"/>
  <c r="O33" i="20"/>
  <c r="O32" i="20"/>
  <c r="O31" i="20"/>
  <c r="O30" i="20"/>
  <c r="O29" i="20"/>
  <c r="O28" i="20"/>
  <c r="G52" i="20"/>
  <c r="G67" i="20" s="1"/>
  <c r="G82" i="20" s="1"/>
  <c r="M37" i="20"/>
  <c r="G43" i="20"/>
  <c r="G40" i="20"/>
  <c r="G47" i="20"/>
  <c r="G62" i="20" s="1"/>
  <c r="G77" i="20" s="1"/>
  <c r="M32" i="20"/>
  <c r="D83" i="19"/>
  <c r="L64" i="20"/>
  <c r="M64" i="20" s="1"/>
  <c r="D88" i="19"/>
  <c r="L69" i="20"/>
  <c r="M69" i="20" s="1"/>
  <c r="D87" i="19"/>
  <c r="L68" i="20"/>
  <c r="M68" i="20" s="1"/>
  <c r="D85" i="19"/>
  <c r="L66" i="20"/>
  <c r="M66" i="20" s="1"/>
  <c r="D84" i="19"/>
  <c r="L65" i="20"/>
  <c r="M65" i="20" s="1"/>
  <c r="D82" i="19"/>
  <c r="L63" i="20"/>
  <c r="M63" i="20" s="1"/>
  <c r="D80" i="19"/>
  <c r="L61" i="20"/>
  <c r="M61" i="20" s="1"/>
  <c r="D79" i="19"/>
  <c r="L60" i="20"/>
  <c r="M60" i="20" s="1"/>
  <c r="F73" i="18"/>
  <c r="G58" i="19"/>
  <c r="K18" i="20"/>
  <c r="H8" i="36"/>
  <c r="H9" i="36" s="1"/>
  <c r="H56" i="32"/>
  <c r="H8" i="34"/>
  <c r="H9" i="34" s="1"/>
  <c r="H56" i="24"/>
  <c r="H8" i="29"/>
  <c r="H9" i="29" s="1"/>
  <c r="D77" i="19"/>
  <c r="L58" i="20"/>
  <c r="D78" i="19"/>
  <c r="L59" i="20"/>
  <c r="M59" i="20" s="1"/>
  <c r="P39" i="20" l="1"/>
  <c r="Q39" i="20" s="1"/>
  <c r="R39" i="20" s="1"/>
  <c r="P28" i="20"/>
  <c r="Q28" i="20" s="1"/>
  <c r="R28" i="20" s="1"/>
  <c r="P37" i="20"/>
  <c r="Q37" i="20" s="1"/>
  <c r="R37" i="20" s="1"/>
  <c r="P38" i="20"/>
  <c r="Q38" i="20" s="1"/>
  <c r="R38" i="20" s="1"/>
  <c r="P36" i="20"/>
  <c r="Q36" i="20" s="1"/>
  <c r="R36" i="20" s="1"/>
  <c r="P35" i="20"/>
  <c r="Q35" i="20" s="1"/>
  <c r="R35" i="20" s="1"/>
  <c r="P34" i="20"/>
  <c r="Q34" i="20" s="1"/>
  <c r="R34" i="20" s="1"/>
  <c r="P33" i="20"/>
  <c r="Q33" i="20" s="1"/>
  <c r="R33" i="20" s="1"/>
  <c r="P31" i="20"/>
  <c r="Q31" i="20" s="1"/>
  <c r="R31" i="20" s="1"/>
  <c r="P30" i="20"/>
  <c r="Q30" i="20" s="1"/>
  <c r="R30" i="20" s="1"/>
  <c r="P29" i="20"/>
  <c r="Q29" i="20" s="1"/>
  <c r="R29" i="20" s="1"/>
  <c r="D81" i="19"/>
  <c r="L62" i="20"/>
  <c r="M62" i="20" s="1"/>
  <c r="D86" i="19"/>
  <c r="L67" i="20"/>
  <c r="M67" i="20" s="1"/>
  <c r="P32" i="20"/>
  <c r="Q32" i="20" s="1"/>
  <c r="R32" i="20" s="1"/>
  <c r="G58" i="20"/>
  <c r="M58" i="20" s="1"/>
  <c r="G55" i="20"/>
  <c r="G9" i="20"/>
  <c r="K15" i="20"/>
  <c r="E74" i="28"/>
  <c r="F74" i="18"/>
  <c r="E72" i="33"/>
  <c r="K9" i="20"/>
  <c r="L54" i="20"/>
  <c r="M54" i="20" s="1"/>
  <c r="L53" i="20"/>
  <c r="M53" i="20" s="1"/>
  <c r="L52" i="20"/>
  <c r="M52" i="20" s="1"/>
  <c r="L51" i="20"/>
  <c r="M51" i="20" s="1"/>
  <c r="L50" i="20"/>
  <c r="M50" i="20" s="1"/>
  <c r="L49" i="20"/>
  <c r="M49" i="20" s="1"/>
  <c r="L48" i="20"/>
  <c r="M48" i="20" s="1"/>
  <c r="L47" i="20"/>
  <c r="M47" i="20" s="1"/>
  <c r="L46" i="20"/>
  <c r="M46" i="20" s="1"/>
  <c r="L45" i="20"/>
  <c r="M45" i="20" s="1"/>
  <c r="L44" i="20"/>
  <c r="M44" i="20" s="1"/>
  <c r="L43" i="20"/>
  <c r="M43" i="20" s="1"/>
  <c r="G59" i="19"/>
  <c r="R40" i="20" l="1"/>
  <c r="G20" i="20" s="1"/>
  <c r="Q40" i="20"/>
  <c r="G19" i="20" s="1"/>
  <c r="G57" i="19" s="1"/>
  <c r="G73" i="20"/>
  <c r="G70" i="20"/>
  <c r="G61" i="19"/>
  <c r="H54" i="20"/>
  <c r="N54" i="20" s="1"/>
  <c r="O54" i="20" s="1"/>
  <c r="P54" i="20" s="1"/>
  <c r="Q54" i="20" s="1"/>
  <c r="R54" i="20" s="1"/>
  <c r="H53" i="20"/>
  <c r="N53" i="20" s="1"/>
  <c r="O53" i="20" s="1"/>
  <c r="P53" i="20" s="1"/>
  <c r="Q53" i="20" s="1"/>
  <c r="R53" i="20" s="1"/>
  <c r="H52" i="20"/>
  <c r="N52" i="20" s="1"/>
  <c r="O52" i="20" s="1"/>
  <c r="P52" i="20" s="1"/>
  <c r="Q52" i="20" s="1"/>
  <c r="R52" i="20" s="1"/>
  <c r="H51" i="20"/>
  <c r="N51" i="20" s="1"/>
  <c r="O51" i="20" s="1"/>
  <c r="P51" i="20" s="1"/>
  <c r="Q51" i="20" s="1"/>
  <c r="R51" i="20" s="1"/>
  <c r="H50" i="20"/>
  <c r="N50" i="20" s="1"/>
  <c r="O50" i="20" s="1"/>
  <c r="P50" i="20" s="1"/>
  <c r="Q50" i="20" s="1"/>
  <c r="R50" i="20" s="1"/>
  <c r="H49" i="20"/>
  <c r="N49" i="20" s="1"/>
  <c r="O49" i="20" s="1"/>
  <c r="P49" i="20" s="1"/>
  <c r="Q49" i="20" s="1"/>
  <c r="R49" i="20" s="1"/>
  <c r="H48" i="20"/>
  <c r="N48" i="20" s="1"/>
  <c r="O48" i="20" s="1"/>
  <c r="P48" i="20" s="1"/>
  <c r="Q48" i="20" s="1"/>
  <c r="R48" i="20" s="1"/>
  <c r="H47" i="20"/>
  <c r="N47" i="20" s="1"/>
  <c r="O47" i="20" s="1"/>
  <c r="P47" i="20" s="1"/>
  <c r="Q47" i="20" s="1"/>
  <c r="R47" i="20" s="1"/>
  <c r="H46" i="20"/>
  <c r="N46" i="20" s="1"/>
  <c r="O46" i="20" s="1"/>
  <c r="P46" i="20" s="1"/>
  <c r="Q46" i="20" s="1"/>
  <c r="R46" i="20" s="1"/>
  <c r="H45" i="20"/>
  <c r="N45" i="20" s="1"/>
  <c r="O45" i="20" s="1"/>
  <c r="P45" i="20" s="1"/>
  <c r="Q45" i="20" s="1"/>
  <c r="R45" i="20" s="1"/>
  <c r="H44" i="20"/>
  <c r="N44" i="20" s="1"/>
  <c r="O44" i="20" s="1"/>
  <c r="P44" i="20" s="1"/>
  <c r="Q44" i="20" s="1"/>
  <c r="R44" i="20" s="1"/>
  <c r="H43" i="20"/>
  <c r="N43" i="20" s="1"/>
  <c r="O43" i="20" s="1"/>
  <c r="P43" i="20" s="1"/>
  <c r="Q43" i="20" s="1"/>
  <c r="L15" i="20"/>
  <c r="G68" i="19"/>
  <c r="H69" i="20" l="1"/>
  <c r="N69" i="20" s="1"/>
  <c r="O69" i="20" s="1"/>
  <c r="P69" i="20" s="1"/>
  <c r="H68" i="20"/>
  <c r="N68" i="20" s="1"/>
  <c r="O68" i="20" s="1"/>
  <c r="P68" i="20" s="1"/>
  <c r="H67" i="20"/>
  <c r="N67" i="20" s="1"/>
  <c r="O67" i="20" s="1"/>
  <c r="P67" i="20" s="1"/>
  <c r="H66" i="20"/>
  <c r="N66" i="20" s="1"/>
  <c r="O66" i="20" s="1"/>
  <c r="P66" i="20" s="1"/>
  <c r="H65" i="20"/>
  <c r="N65" i="20" s="1"/>
  <c r="O65" i="20" s="1"/>
  <c r="P65" i="20" s="1"/>
  <c r="H64" i="20"/>
  <c r="N64" i="20" s="1"/>
  <c r="O64" i="20" s="1"/>
  <c r="P64" i="20" s="1"/>
  <c r="H63" i="20"/>
  <c r="N63" i="20" s="1"/>
  <c r="O63" i="20" s="1"/>
  <c r="P63" i="20" s="1"/>
  <c r="H62" i="20"/>
  <c r="N62" i="20" s="1"/>
  <c r="O62" i="20" s="1"/>
  <c r="P62" i="20" s="1"/>
  <c r="H61" i="20"/>
  <c r="N61" i="20" s="1"/>
  <c r="O61" i="20" s="1"/>
  <c r="P61" i="20" s="1"/>
  <c r="H60" i="20"/>
  <c r="N60" i="20" s="1"/>
  <c r="O60" i="20" s="1"/>
  <c r="P60" i="20" s="1"/>
  <c r="H59" i="20"/>
  <c r="N59" i="20" s="1"/>
  <c r="O59" i="20" s="1"/>
  <c r="P59" i="20" s="1"/>
  <c r="H58" i="20"/>
  <c r="N58" i="20" s="1"/>
  <c r="O58" i="20" s="1"/>
  <c r="P58" i="20" s="1"/>
  <c r="Q55" i="20"/>
  <c r="K19" i="20" s="1"/>
  <c r="G62" i="19" s="1"/>
  <c r="R43" i="20"/>
  <c r="R55" i="20" s="1"/>
  <c r="K20" i="20" s="1"/>
  <c r="Q69" i="20" l="1"/>
  <c r="E88" i="19"/>
  <c r="Q68" i="20"/>
  <c r="E87" i="19"/>
  <c r="Q67" i="20"/>
  <c r="E86" i="19"/>
  <c r="Q66" i="20"/>
  <c r="E85" i="19"/>
  <c r="Q65" i="20"/>
  <c r="E84" i="19"/>
  <c r="Q64" i="20"/>
  <c r="E83" i="19"/>
  <c r="Q63" i="20"/>
  <c r="E82" i="19"/>
  <c r="Q62" i="20"/>
  <c r="E81" i="19"/>
  <c r="Q61" i="20"/>
  <c r="E80" i="19"/>
  <c r="Q60" i="20"/>
  <c r="E79" i="19"/>
  <c r="E78" i="19"/>
  <c r="Q59" i="20"/>
  <c r="E77" i="19"/>
  <c r="Q58" i="20"/>
  <c r="F88" i="19" l="1"/>
  <c r="R69" i="20"/>
  <c r="F87" i="19"/>
  <c r="R68" i="20"/>
  <c r="F86" i="19"/>
  <c r="R67" i="20"/>
  <c r="F85" i="19"/>
  <c r="R66" i="20"/>
  <c r="F84" i="19"/>
  <c r="R65" i="20"/>
  <c r="F83" i="19"/>
  <c r="R64" i="20"/>
  <c r="F82" i="19"/>
  <c r="R63" i="20"/>
  <c r="F81" i="19"/>
  <c r="R62" i="20"/>
  <c r="F80" i="19"/>
  <c r="R61" i="20"/>
  <c r="F79" i="19"/>
  <c r="R60" i="20"/>
  <c r="F78" i="19"/>
  <c r="R59" i="20"/>
  <c r="F77" i="19"/>
  <c r="Q70" i="20"/>
  <c r="N19" i="20" s="1"/>
  <c r="G67" i="19" s="1"/>
  <c r="R58" i="20"/>
  <c r="F89" i="19" l="1"/>
  <c r="R70" i="20"/>
  <c r="N20" i="20" s="1"/>
</calcChain>
</file>

<file path=xl/sharedStrings.xml><?xml version="1.0" encoding="utf-8"?>
<sst xmlns="http://schemas.openxmlformats.org/spreadsheetml/2006/main" count="2339" uniqueCount="751">
  <si>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</si>
  <si>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</si>
  <si>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</si>
  <si>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</si>
  <si>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</si>
  <si>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</si>
  <si>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</si>
  <si>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</si>
  <si>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</si>
  <si>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</si>
  <si>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</si>
  <si>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</si>
  <si>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ºC</t>
  </si>
  <si>
    <t>FrU</t>
  </si>
  <si>
    <t>Fr Tau</t>
  </si>
  <si>
    <t>F'r/Fr</t>
  </si>
  <si>
    <t>m2</t>
  </si>
  <si>
    <t>K1</t>
  </si>
  <si>
    <t>l</t>
  </si>
  <si>
    <t>K2</t>
  </si>
  <si>
    <t>f</t>
  </si>
  <si>
    <t>l/m2</t>
  </si>
  <si>
    <t>TauAlf/tauAlfn</t>
  </si>
  <si>
    <t>N</t>
  </si>
  <si>
    <t>Tamb (ºC)</t>
  </si>
  <si>
    <t>Taf (ºC)</t>
  </si>
  <si>
    <t>kWh/año.m2</t>
  </si>
  <si>
    <t>m2/captador</t>
  </si>
  <si>
    <t>captador solar</t>
  </si>
  <si>
    <t>altura captador</t>
  </si>
  <si>
    <t>m</t>
  </si>
  <si>
    <t>Inclinación</t>
  </si>
  <si>
    <t>º</t>
  </si>
  <si>
    <t>Sur</t>
  </si>
  <si>
    <t>Ordenanza: f =</t>
  </si>
  <si>
    <t>Tacs</t>
  </si>
  <si>
    <t>S</t>
  </si>
  <si>
    <t>Dmes (kWh/mes)</t>
  </si>
  <si>
    <t>D1</t>
  </si>
  <si>
    <t>D2</t>
  </si>
  <si>
    <t>Sc</t>
  </si>
  <si>
    <t>V/Sc</t>
  </si>
  <si>
    <t xml:space="preserve">cálculo superficie captación </t>
  </si>
  <si>
    <t>Método f-chart:    f = 1,029*D1 - 0,065*D2 - 0,245*D1^2 + 0,0018*D2^2 + 0,0215*D^13</t>
  </si>
  <si>
    <t>EI (kWh/m2.dia)</t>
  </si>
  <si>
    <t>EAmes (kWh)</t>
  </si>
  <si>
    <t>EImes (kWh/m2)</t>
  </si>
  <si>
    <t>Delta t (h)</t>
  </si>
  <si>
    <t>EPmes (kWh)</t>
  </si>
  <si>
    <t>EUmes (kWh)</t>
  </si>
  <si>
    <t>Prod (kWh/m2)</t>
  </si>
  <si>
    <t>(**)</t>
  </si>
  <si>
    <t>(*) ICAEN. "Atlas radiació solar a Catalunya": radiación incidente sobre superf. inclinada 45º</t>
  </si>
  <si>
    <t>productiv. anual</t>
  </si>
  <si>
    <t>(**) Corrección de Enersoft a las tablas de "Conceptos Generales"</t>
  </si>
  <si>
    <t xml:space="preserve">Superficie de captadores </t>
  </si>
  <si>
    <t>Superficie(m2)</t>
  </si>
  <si>
    <t>Factor de Ganancia</t>
  </si>
  <si>
    <t>Factor de pérdidas</t>
  </si>
  <si>
    <t>Captador</t>
  </si>
  <si>
    <t>(Factor óptico)</t>
  </si>
  <si>
    <t>( pérdidas térmicas)</t>
  </si>
  <si>
    <t>ATESA</t>
  </si>
  <si>
    <t>CHROMAGEN-LORDAN CR 10 DS</t>
  </si>
  <si>
    <t>CHROMAGEN-LORDAN CR 10 S</t>
  </si>
  <si>
    <t>CHROMAGEN-LORDAN CR 12 S</t>
  </si>
  <si>
    <t>CHROMAGEN-LORDAN CR 10 SN</t>
  </si>
  <si>
    <t>CHROMAGEN-LORDAN CR 12 SN</t>
  </si>
  <si>
    <t>DISOL M-21</t>
  </si>
  <si>
    <t>FRIGICOLL CO 2000 EC</t>
  </si>
  <si>
    <t>GIORDANO-C8S</t>
  </si>
  <si>
    <t>GAROL-I</t>
  </si>
  <si>
    <t>ISONOX</t>
  </si>
  <si>
    <t>ISONOX II</t>
  </si>
  <si>
    <t>MADE 4000-E</t>
  </si>
  <si>
    <t>MEGASUN STEEL 2000</t>
  </si>
  <si>
    <t>MEGASUN STEEL 2500</t>
  </si>
  <si>
    <t>NIMROD AC 1</t>
  </si>
  <si>
    <t>NIMROD AC 2</t>
  </si>
  <si>
    <t>NIMROD AC 3</t>
  </si>
  <si>
    <t>PMP V1-H2</t>
  </si>
  <si>
    <t>RAYOSOL V-18</t>
  </si>
  <si>
    <t>RAYOSOL V-18 AS</t>
  </si>
  <si>
    <t>KAPLAN K-1</t>
  </si>
  <si>
    <t>SOLAHART JD</t>
  </si>
  <si>
    <t>SOLAHART M</t>
  </si>
  <si>
    <t>SOLAHART L</t>
  </si>
  <si>
    <t>TERMICOL T 105</t>
  </si>
  <si>
    <t>TERMICOL T 105 S</t>
  </si>
  <si>
    <t>TERMICOL T 130 S</t>
  </si>
  <si>
    <t>VIESSMANN VITOSOL S 1.7</t>
  </si>
  <si>
    <t>VIESSMANN VITOSOL W 1.7</t>
  </si>
  <si>
    <t>VIESSMANN VITOSOL W 2.5</t>
  </si>
  <si>
    <t>VIESSMANN VITOSOL S 2.5</t>
  </si>
  <si>
    <t>WOLF IBÉRICA TOPSON TX</t>
  </si>
  <si>
    <t>MAX WEISHAUPT GMBH WTS-F</t>
  </si>
  <si>
    <t>STIEBEL ELTRON SOL 25 S</t>
  </si>
  <si>
    <t>COLECTOR NORMALIZADO (por defecto)</t>
  </si>
  <si>
    <t>7.755</t>
  </si>
  <si>
    <t>(*) Tabla obtenida de PROSOL  (**) El símbolo decimal es el punto</t>
  </si>
  <si>
    <t>1.89</t>
  </si>
  <si>
    <t>0.7883</t>
  </si>
  <si>
    <t>2.17</t>
  </si>
  <si>
    <t>6.263</t>
  </si>
  <si>
    <t>3.141</t>
  </si>
  <si>
    <t>4.396</t>
  </si>
  <si>
    <t>7.233</t>
  </si>
  <si>
    <t>4.152</t>
  </si>
  <si>
    <t>6.303</t>
  </si>
  <si>
    <t>7.91</t>
  </si>
  <si>
    <t>4.138</t>
  </si>
  <si>
    <t>5.007</t>
  </si>
  <si>
    <t>6.167</t>
  </si>
  <si>
    <t>6.22</t>
  </si>
  <si>
    <t>2.56</t>
  </si>
  <si>
    <t>2.18</t>
  </si>
  <si>
    <t>0.6715</t>
  </si>
  <si>
    <t>2.6</t>
  </si>
  <si>
    <t>0.7132</t>
  </si>
  <si>
    <t>0.7108</t>
  </si>
  <si>
    <t>2.1</t>
  </si>
  <si>
    <t>1.88</t>
  </si>
  <si>
    <t>0.699</t>
  </si>
  <si>
    <t>1.86</t>
  </si>
  <si>
    <t>0.6881</t>
  </si>
  <si>
    <t>0.804</t>
  </si>
  <si>
    <t>0.7514</t>
  </si>
  <si>
    <t>0.7283</t>
  </si>
  <si>
    <t>0.7978</t>
  </si>
  <si>
    <t>0.6348</t>
  </si>
  <si>
    <t>0.683</t>
  </si>
  <si>
    <t>0.6726</t>
  </si>
  <si>
    <t>0.6648</t>
  </si>
  <si>
    <t>1.886</t>
  </si>
  <si>
    <t>2.16</t>
  </si>
  <si>
    <t>1.9</t>
  </si>
  <si>
    <t>1.792</t>
  </si>
  <si>
    <t>2.307</t>
  </si>
  <si>
    <t>1.5</t>
  </si>
  <si>
    <t>2.29</t>
  </si>
  <si>
    <t>2.5</t>
  </si>
  <si>
    <t>7.014</t>
  </si>
  <si>
    <t>5.478</t>
  </si>
  <si>
    <t>6.329</t>
  </si>
  <si>
    <t>6.944</t>
  </si>
  <si>
    <t>0.7743</t>
  </si>
  <si>
    <t>1.85</t>
  </si>
  <si>
    <t>1.81</t>
  </si>
  <si>
    <t>1.91</t>
  </si>
  <si>
    <t>1.98</t>
  </si>
  <si>
    <t>1.849</t>
  </si>
  <si>
    <t>2.09</t>
  </si>
  <si>
    <t>0.8329</t>
  </si>
  <si>
    <t>0.7501</t>
  </si>
  <si>
    <t>0.7026</t>
  </si>
  <si>
    <t>0.787</t>
  </si>
  <si>
    <t>0.6954</t>
  </si>
  <si>
    <t>0.7023</t>
  </si>
  <si>
    <t>0.78</t>
  </si>
  <si>
    <t>0.67</t>
  </si>
  <si>
    <t>1.606</t>
  </si>
  <si>
    <t>1.6</t>
  </si>
  <si>
    <t>2.01</t>
  </si>
  <si>
    <t>2.32</t>
  </si>
  <si>
    <t>0.802</t>
  </si>
  <si>
    <t>0.7949</t>
  </si>
  <si>
    <t>0.809</t>
  </si>
  <si>
    <t>0.828</t>
  </si>
  <si>
    <t>0.7594</t>
  </si>
  <si>
    <t>0.73</t>
  </si>
  <si>
    <t>0.69</t>
  </si>
  <si>
    <t>8.836</t>
  </si>
  <si>
    <t>4.394</t>
  </si>
  <si>
    <t>5.5315</t>
  </si>
  <si>
    <t>8.37</t>
  </si>
  <si>
    <t>5.541</t>
  </si>
  <si>
    <t>6.835</t>
  </si>
  <si>
    <t>7.8</t>
  </si>
  <si>
    <t>4.3</t>
  </si>
  <si>
    <t>4.2</t>
  </si>
  <si>
    <t>4.781</t>
  </si>
  <si>
    <t>4.488</t>
  </si>
  <si>
    <t>3.706</t>
  </si>
  <si>
    <t>4.441</t>
  </si>
  <si>
    <t>4.619</t>
  </si>
  <si>
    <t>5.2</t>
  </si>
  <si>
    <t>4.5</t>
  </si>
  <si>
    <t>1.692</t>
  </si>
  <si>
    <t>0.7824</t>
  </si>
  <si>
    <t>DATOS DE CAPTADORES SOLARES</t>
  </si>
  <si>
    <t>Provincia</t>
  </si>
  <si>
    <t>ENE</t>
  </si>
  <si>
    <t>FEB</t>
  </si>
  <si>
    <t>MAR</t>
  </si>
  <si>
    <t>ABR</t>
  </si>
  <si>
    <t>MAY</t>
  </si>
  <si>
    <t>JUN</t>
  </si>
  <si>
    <t>JUL</t>
  </si>
  <si>
    <t xml:space="preserve">AGO </t>
  </si>
  <si>
    <t>SEP</t>
  </si>
  <si>
    <t xml:space="preserve">OCT </t>
  </si>
  <si>
    <t>NOV</t>
  </si>
  <si>
    <t>DIC</t>
  </si>
  <si>
    <t>ÁLAVA</t>
  </si>
  <si>
    <t>ALBACETE</t>
  </si>
  <si>
    <t>ALICANTE</t>
  </si>
  <si>
    <t>ALMERÍA</t>
  </si>
  <si>
    <t>ASTURIAS</t>
  </si>
  <si>
    <t>ÁVILA</t>
  </si>
  <si>
    <t>BADAJOZ</t>
  </si>
  <si>
    <t>BALEARES</t>
  </si>
  <si>
    <t>BARCELONA</t>
  </si>
  <si>
    <t>BURGOS</t>
  </si>
  <si>
    <t>CÁCERES</t>
  </si>
  <si>
    <t xml:space="preserve"> CÁDIZ</t>
  </si>
  <si>
    <t>CANTABRIA</t>
  </si>
  <si>
    <t>CASTELLON</t>
  </si>
  <si>
    <t>CEUTA</t>
  </si>
  <si>
    <t>CIUDAD REAL</t>
  </si>
  <si>
    <t>CÓRDOBA</t>
  </si>
  <si>
    <t xml:space="preserve"> LA CORUÑA</t>
  </si>
  <si>
    <t>CUENCA</t>
  </si>
  <si>
    <t>GIRONA</t>
  </si>
  <si>
    <t>GRANADA</t>
  </si>
  <si>
    <t>GUADALAJARA</t>
  </si>
  <si>
    <t>GUIPÚZCOA</t>
  </si>
  <si>
    <t>HUELVA</t>
  </si>
  <si>
    <t>HUESCA</t>
  </si>
  <si>
    <t>JAÉN</t>
  </si>
  <si>
    <t>LEÓN</t>
  </si>
  <si>
    <t>LLEIDA</t>
  </si>
  <si>
    <t>LUGO</t>
  </si>
  <si>
    <t>MADRID</t>
  </si>
  <si>
    <t>MÁLAGA</t>
  </si>
  <si>
    <t>MELILLA</t>
  </si>
  <si>
    <t>MURCIA</t>
  </si>
  <si>
    <t>NAVARRA</t>
  </si>
  <si>
    <t>ORENSE</t>
  </si>
  <si>
    <t>PALENCIA</t>
  </si>
  <si>
    <t>LAS PALMAS</t>
  </si>
  <si>
    <t>PONTEVEDRA</t>
  </si>
  <si>
    <t>LA RIOJA</t>
  </si>
  <si>
    <t>SALAMANCA</t>
  </si>
  <si>
    <t>STA.C.TENERIFE</t>
  </si>
  <si>
    <t>SEGOVIA</t>
  </si>
  <si>
    <t>SEVILLA</t>
  </si>
  <si>
    <t>SORIA</t>
  </si>
  <si>
    <t>TARRAGONA</t>
  </si>
  <si>
    <t>TERUEL</t>
  </si>
  <si>
    <t>TOLEDO</t>
  </si>
  <si>
    <t>VALENCIA</t>
  </si>
  <si>
    <t>VALLADOLID</t>
  </si>
  <si>
    <t>VIZCAYA</t>
  </si>
  <si>
    <t>ZAMORA</t>
  </si>
  <si>
    <t>ZARAGOZA</t>
  </si>
  <si>
    <t>(*) Tabla de CENSOLAR. Tabla 2a del manual (versión Montse)</t>
  </si>
  <si>
    <t>TEMPERATURAS AGUA FRÍA EN PROVINCIAS ESPAÑOLAS(ºC)</t>
  </si>
  <si>
    <t>(*) Tabla de CENSOLAR. Tabla 3 del manual (versión Montse)</t>
  </si>
  <si>
    <t>ENERGÍA INCIDENTE SOBRE UNA SUPERFICIE HORIZONTAL</t>
  </si>
  <si>
    <t>kWh/m2·dia</t>
  </si>
  <si>
    <t>Mj/m2·dia</t>
  </si>
  <si>
    <t>(*) Tabla de CENSOLAR. Tabla 5a del manual (versión Montse)</t>
  </si>
  <si>
    <t>LATITUDES APROXIMADAS DE PROVINCIAS ESPAÑOLAS</t>
  </si>
  <si>
    <t>(*) Tabla de PCT IDAE. Tabla 8 del manual (versión Montse)</t>
  </si>
  <si>
    <t>Latitud (º)</t>
  </si>
  <si>
    <t>Latitud</t>
  </si>
  <si>
    <t>Nombre del proyecto</t>
  </si>
  <si>
    <t>Localización del proyecto</t>
  </si>
  <si>
    <t>Demanda energética de ACS</t>
  </si>
  <si>
    <t>Datos del proyecto</t>
  </si>
  <si>
    <t>Número total de viviendas</t>
  </si>
  <si>
    <r>
      <t>Localización</t>
    </r>
    <r>
      <rPr>
        <sz val="10"/>
        <rFont val="Arial"/>
        <family val="2"/>
      </rPr>
      <t xml:space="preserve"> (datos climáticos y radiación solar)</t>
    </r>
  </si>
  <si>
    <t>Temperatura</t>
  </si>
  <si>
    <t xml:space="preserve">agua </t>
  </si>
  <si>
    <t>ambiental</t>
  </si>
  <si>
    <t>fría</t>
  </si>
  <si>
    <t>media</t>
  </si>
  <si>
    <t>Datos climáticos y de radiación solar</t>
  </si>
  <si>
    <t>Inclinación de los captadores</t>
  </si>
  <si>
    <t>ºN</t>
  </si>
  <si>
    <t>Radiación solar</t>
  </si>
  <si>
    <t>incidente superf.</t>
  </si>
  <si>
    <t>(es función de la latitud</t>
  </si>
  <si>
    <t>e inclinación captador)</t>
  </si>
  <si>
    <t xml:space="preserve">Factor K </t>
  </si>
  <si>
    <r>
      <t xml:space="preserve">horizontal 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dia</t>
    </r>
  </si>
  <si>
    <t>LATITUD = 35º</t>
  </si>
  <si>
    <t>AGO</t>
  </si>
  <si>
    <t>OCT</t>
  </si>
  <si>
    <t>LATITUD = 36º</t>
  </si>
  <si>
    <t>FACTOR DE CORRECCIÓN K EN FUNCIÓN DE LA LATITUD Y LA INCLINACIÓN</t>
  </si>
  <si>
    <t>LATITUD = 37º</t>
  </si>
  <si>
    <t>CÁDIZ, GRANADA, HUELVA, MÁLAGA, SEVILLA</t>
  </si>
  <si>
    <t>LATITUD = 38º</t>
  </si>
  <si>
    <t>ALICANTE, CORDOBA, JAÉN, MURCIA</t>
  </si>
  <si>
    <t>LATITUD = 39º</t>
  </si>
  <si>
    <t>ALBACETE, BADAJOZ, CIUDAD REAL</t>
  </si>
  <si>
    <t>LATITUD = 40º</t>
  </si>
  <si>
    <t>BALEARES, CACERES, CASTELLÓN, CUENCA, MADRID, TERUEL, TOLEDO, VALENCIA</t>
  </si>
  <si>
    <t>LATITUD = 41º</t>
  </si>
  <si>
    <t>ÁVILA, BARCELONA,  GUADALAJARA, SALAMANCA, SEGOVIA, TARRAGONA</t>
  </si>
  <si>
    <t>LATITUD = 42º</t>
  </si>
  <si>
    <t>BURG, GIRON, HUES, LLEID, OREN, PALEN, PONTEV, SORIA, VALLAD, ZAMORA, ZARAG</t>
  </si>
  <si>
    <t>LATITUD = 43º</t>
  </si>
  <si>
    <t>ALAVA, ASTURIAS, LA CORUÑA, GUIPUZCOA, LEÓN, LUGO, NAVARRA, LA RIOJA, VIZCAYA</t>
  </si>
  <si>
    <t>LATITUD = 44º</t>
  </si>
  <si>
    <t>Temperatura de ACS</t>
  </si>
  <si>
    <t>litros/(persona·dia·viv)</t>
  </si>
  <si>
    <t xml:space="preserve">Caudal mínimo </t>
  </si>
  <si>
    <t xml:space="preserve">Demanda </t>
  </si>
  <si>
    <t>kWh</t>
  </si>
  <si>
    <t>ANUAL</t>
  </si>
  <si>
    <t>dias/mes</t>
  </si>
  <si>
    <t>litros/dia</t>
  </si>
  <si>
    <t>Fr Tau (factor óptico)</t>
  </si>
  <si>
    <t>Modelo de captador</t>
  </si>
  <si>
    <t>Características de los captadores</t>
  </si>
  <si>
    <t>%</t>
  </si>
  <si>
    <t>Superficie de captación sugerida</t>
  </si>
  <si>
    <t>Número de captadores sugerido</t>
  </si>
  <si>
    <t>min</t>
  </si>
  <si>
    <t>max</t>
  </si>
  <si>
    <t>Ciudad:</t>
  </si>
  <si>
    <t>V/Sc (IDAE)</t>
  </si>
  <si>
    <t>V/Q (PROSOL)</t>
  </si>
  <si>
    <t>Nota: Aplicar "Buscar objetivo" sobre f para encontrar A</t>
  </si>
  <si>
    <t>Q/Sc (PROSOL)</t>
  </si>
  <si>
    <t>W/m2 ºC</t>
  </si>
  <si>
    <t>Sugerencia:</t>
  </si>
  <si>
    <t>Selección usuario</t>
  </si>
  <si>
    <t>captadores</t>
  </si>
  <si>
    <t>f real sugerida</t>
  </si>
  <si>
    <t>f real selección</t>
  </si>
  <si>
    <t xml:space="preserve">productiv. anual </t>
  </si>
  <si>
    <t>productiv. anual real</t>
  </si>
  <si>
    <t xml:space="preserve">Orientación </t>
  </si>
  <si>
    <t>distancia entre captadores:  d = h * k = h * 1/(tan h0)</t>
  </si>
  <si>
    <t>h0</t>
  </si>
  <si>
    <t>h</t>
  </si>
  <si>
    <t>hobstaculo</t>
  </si>
  <si>
    <t>d</t>
  </si>
  <si>
    <t>cálculo de la fracción solar y productividad reales con el nº de paneles sugeridos</t>
  </si>
  <si>
    <t>cálculo de la fracción solar y productividad reales con el nº de paneles seleccionados</t>
  </si>
  <si>
    <t>EI = Hdia * K</t>
  </si>
  <si>
    <t>Azul</t>
  </si>
  <si>
    <t>Negro</t>
  </si>
  <si>
    <t>La inclinación no se permite introducir al usuario (únicamente las de las tablas del factor K).</t>
  </si>
  <si>
    <t>El factor K se introduce a partir de la latitud y la selección de la inclinación del captador</t>
  </si>
  <si>
    <t>La latitud, Taf, Tamb y Hdia se introducen al seleccionar la provincia</t>
  </si>
  <si>
    <t>EImes = Hdia*Factor K  cuando se usan esos datos</t>
  </si>
  <si>
    <t>Introducción de datos a partir de las tablas disponibles:</t>
  </si>
  <si>
    <t>Si se introduce manualmente el valor de EImes los valores de Hdia y Factor K no hará falta utilizarlos.</t>
  </si>
  <si>
    <t>Para volver a usar los valores de Hdia y Factor K se ha de seleccionar una inclinación. Eso actualiza</t>
  </si>
  <si>
    <t>las fórmulas para los valores de EImes.</t>
  </si>
  <si>
    <t>Sin embargo, se eliminan las fórmulas de las celdas de  EImes.</t>
  </si>
  <si>
    <t>Superficie de captación calculada</t>
  </si>
  <si>
    <t>Número de captadores calculado</t>
  </si>
  <si>
    <t>Fracción solar anual calculada</t>
  </si>
  <si>
    <t>Altura captador</t>
  </si>
  <si>
    <t>Superficie captador</t>
  </si>
  <si>
    <t>Fracción solar con superf. sugerida</t>
  </si>
  <si>
    <t>Número de captadores seleccionado</t>
  </si>
  <si>
    <t>Superficie de captación resultante</t>
  </si>
  <si>
    <t>Fracción solar anual resultante</t>
  </si>
  <si>
    <t>kWh/m2</t>
  </si>
  <si>
    <t xml:space="preserve">Fracción </t>
  </si>
  <si>
    <t>solar</t>
  </si>
  <si>
    <r>
      <t xml:space="preserve">inclinada </t>
    </r>
    <r>
      <rPr>
        <b/>
        <sz val="10"/>
        <rFont val="Arial"/>
        <family val="2"/>
      </rPr>
      <t>EI</t>
    </r>
    <r>
      <rPr>
        <b/>
        <vertAlign val="subscript"/>
        <sz val="10"/>
        <rFont val="Arial"/>
        <family val="2"/>
      </rPr>
      <t>mes</t>
    </r>
  </si>
  <si>
    <r>
      <t xml:space="preserve">mensual </t>
    </r>
    <r>
      <rPr>
        <b/>
        <sz val="10"/>
        <rFont val="Arial"/>
        <family val="2"/>
      </rPr>
      <t>f</t>
    </r>
  </si>
  <si>
    <t>Energía útil</t>
  </si>
  <si>
    <t>aportada por</t>
  </si>
  <si>
    <t>Origen de los datos</t>
  </si>
  <si>
    <t>Fecha</t>
  </si>
  <si>
    <t>litros</t>
  </si>
  <si>
    <t>Distancia mínima entre filas de captadores</t>
  </si>
  <si>
    <t>Temp. agua fría</t>
  </si>
  <si>
    <t>tubo de cobre</t>
  </si>
  <si>
    <t>factor incremento Pdc</t>
  </si>
  <si>
    <t>fluido</t>
  </si>
  <si>
    <t>factor</t>
  </si>
  <si>
    <t>DN</t>
  </si>
  <si>
    <t>e (mm)</t>
  </si>
  <si>
    <t>Di (mm)</t>
  </si>
  <si>
    <t>e min (mm)</t>
  </si>
  <si>
    <t>agua</t>
  </si>
  <si>
    <t>---</t>
  </si>
  <si>
    <t>aislante de 0,040 W/(m.K)</t>
  </si>
  <si>
    <t>DNmin</t>
  </si>
  <si>
    <t>DNmax</t>
  </si>
  <si>
    <t>Tipo local:</t>
  </si>
  <si>
    <t>Tramo</t>
  </si>
  <si>
    <t>DN tubo</t>
  </si>
  <si>
    <t>Codo de 45º</t>
  </si>
  <si>
    <t>local habitado</t>
  </si>
  <si>
    <t>Codo de 90º</t>
  </si>
  <si>
    <t>Curva de 90º</t>
  </si>
  <si>
    <t>AB</t>
  </si>
  <si>
    <t>Reducción</t>
  </si>
  <si>
    <t>Fluido caloportador:</t>
  </si>
  <si>
    <t>BC</t>
  </si>
  <si>
    <t>T tipo1</t>
  </si>
  <si>
    <t>CD</t>
  </si>
  <si>
    <t>T tipo2</t>
  </si>
  <si>
    <t>EF</t>
  </si>
  <si>
    <t>T tipo3</t>
  </si>
  <si>
    <t>FG</t>
  </si>
  <si>
    <t>GH</t>
  </si>
  <si>
    <t>lambda</t>
  </si>
  <si>
    <t>l/captador</t>
  </si>
  <si>
    <t>TOTAL tubos</t>
  </si>
  <si>
    <t>Caudal en el circuito primario</t>
  </si>
  <si>
    <t>Número de captadores</t>
  </si>
  <si>
    <t>Superficie de cada captador</t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</si>
  <si>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/captador</t>
    </r>
  </si>
  <si>
    <t>litros/h</t>
  </si>
  <si>
    <t>Caudal de fluido caloportador</t>
  </si>
  <si>
    <r>
      <t>litros/(h.m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</si>
  <si>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Fluido caloportador</t>
  </si>
  <si>
    <t xml:space="preserve">Tipo de singularidades </t>
  </si>
  <si>
    <t>Diámetro Nominal (mm)</t>
  </si>
  <si>
    <t>Longitud equivalente singularidades (m)</t>
  </si>
  <si>
    <t>Tablas de parámetros y celdas de control de los ComboBox (NO TOCAR)</t>
  </si>
  <si>
    <t>Tipo de local o recinto</t>
  </si>
  <si>
    <t>exterior</t>
  </si>
  <si>
    <t>local no habitado</t>
  </si>
  <si>
    <t>m/s</t>
  </si>
  <si>
    <t>Velocidad máxima aconsejada del fluido</t>
  </si>
  <si>
    <t>vmax1</t>
  </si>
  <si>
    <t>vmax2</t>
  </si>
  <si>
    <t>Diámetro y pérdida de carga en tuberías</t>
  </si>
  <si>
    <t>Se considera tubo de cobre sanitario.</t>
  </si>
  <si>
    <t>Pérdida de carga máxima admisible = 10 - 40 mmca/m</t>
  </si>
  <si>
    <t>tubo de cobre sanitario</t>
  </si>
  <si>
    <t>tramo (mm)</t>
  </si>
  <si>
    <t>Di</t>
  </si>
  <si>
    <t>velocidad</t>
  </si>
  <si>
    <t>(m/s)</t>
  </si>
  <si>
    <t xml:space="preserve"> (l/h)</t>
  </si>
  <si>
    <t>Caudal</t>
  </si>
  <si>
    <t>aislamiento (mm) (*)</t>
  </si>
  <si>
    <t xml:space="preserve">espesor </t>
  </si>
  <si>
    <t>recto (m)</t>
  </si>
  <si>
    <t xml:space="preserve">L tramo </t>
  </si>
  <si>
    <t>Singularidades</t>
  </si>
  <si>
    <t>Nº</t>
  </si>
  <si>
    <t>Singul. (m)</t>
  </si>
  <si>
    <t xml:space="preserve">L Equiv. </t>
  </si>
  <si>
    <t>L</t>
  </si>
  <si>
    <t>Total (m)</t>
  </si>
  <si>
    <t xml:space="preserve">Pérdida de carga en el lado primario </t>
  </si>
  <si>
    <t>del intercambiador de calor</t>
  </si>
  <si>
    <t>Pérdida de carga en un captador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</si>
  <si>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captadores</t>
    </r>
  </si>
  <si>
    <t>Consultar el  catálogo del fabricante (1ª estimación = 1,5 mca)</t>
  </si>
  <si>
    <t>Consultar el catálogo del fabricante (1ª estimación = 30 mmca/captador)</t>
  </si>
  <si>
    <t>Pérdida de carga en las tuberías</t>
  </si>
  <si>
    <t>Vaso de expansión</t>
  </si>
  <si>
    <t>Volumen de fluido en las tuberías</t>
  </si>
  <si>
    <t>de DN</t>
  </si>
  <si>
    <t>Tramos</t>
  </si>
  <si>
    <t>Volumen</t>
  </si>
  <si>
    <t>tubo(l/m)</t>
  </si>
  <si>
    <t>tubo(l)</t>
  </si>
  <si>
    <t>Volumen de fluido en los captadores solares</t>
  </si>
  <si>
    <t xml:space="preserve">Consultar el  catálogo del fabricante </t>
  </si>
  <si>
    <t xml:space="preserve"> total (m)</t>
  </si>
  <si>
    <t xml:space="preserve"> (mm)</t>
  </si>
  <si>
    <t>Volumen total de fluido en el circuito primario</t>
  </si>
  <si>
    <t>vaso de expansión</t>
  </si>
  <si>
    <r>
      <t>kg/cm</t>
    </r>
    <r>
      <rPr>
        <vertAlign val="superscript"/>
        <sz val="10"/>
        <rFont val="Arial"/>
        <family val="2"/>
      </rPr>
      <t>2</t>
    </r>
  </si>
  <si>
    <t>Presión de tarado de la válvula de seguridad</t>
  </si>
  <si>
    <t>Volumen del vaso de expansión calculado</t>
  </si>
  <si>
    <t>Altura manométrica</t>
  </si>
  <si>
    <t>Datos para la selección de la bomba del circuito primario</t>
  </si>
  <si>
    <t>Caudal en el circuito secundario</t>
  </si>
  <si>
    <t>Mismo caudal que en circuito primario +-10%</t>
  </si>
  <si>
    <t>Fluido</t>
  </si>
  <si>
    <t xml:space="preserve">Pdcl </t>
  </si>
  <si>
    <t>Volumen en todos los tramos del circuito</t>
  </si>
  <si>
    <t>Pérdida de carga total en el circuito secundario</t>
  </si>
  <si>
    <t>Pérdida de carga en el lado secundario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</si>
  <si>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</t>
    </r>
    <r>
      <rPr>
        <sz val="12"/>
        <rFont val="Arial"/>
        <family val="2"/>
      </rPr>
      <t xml:space="preserve"> </t>
    </r>
  </si>
  <si>
    <t>Pérdida de carga total del circuito secundario</t>
  </si>
  <si>
    <t>Datos para la selección de la bomba del circuito secundario</t>
  </si>
  <si>
    <t>(l/s)</t>
  </si>
  <si>
    <t xml:space="preserve">Caudal de fluido </t>
  </si>
  <si>
    <t>Pérdida de carga total en el recorrido más desfavorable del circuito primario</t>
  </si>
  <si>
    <t xml:space="preserve">Pérdida de carga total </t>
  </si>
  <si>
    <r>
      <t>Pérdida de carga en las tuberías (Pdc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>)</t>
    </r>
  </si>
  <si>
    <t>Relación V/Sc (hipótesis inicial)</t>
  </si>
  <si>
    <t>Relación V/Sc resultante</t>
  </si>
  <si>
    <t>En base a la hipótesis inicial de V/Sc</t>
  </si>
  <si>
    <t>Cálculo de la superficie de captadores (Método f-Chart)</t>
  </si>
  <si>
    <t>agua sin aditivos</t>
  </si>
  <si>
    <t>agua con anticongelante</t>
  </si>
  <si>
    <t>agua+anticongelante</t>
  </si>
  <si>
    <t>(*) Aislamiento con lambda=0,04 W/(m·K) y temp. fluido entre 66 y 100ºC</t>
  </si>
  <si>
    <t>66-100ºC</t>
  </si>
  <si>
    <t>40-66ºC</t>
  </si>
  <si>
    <t>(*) Aislamiento con lambda=0,04 W/(m·K) y temp. fluido entre 40 y 66ºC</t>
  </si>
  <si>
    <t>Según catálogo de fabricante</t>
  </si>
  <si>
    <t>Cobertura mínima exigida (kWh/mes)</t>
  </si>
  <si>
    <t>GENERICO 1</t>
  </si>
  <si>
    <t>GENERICO 2</t>
  </si>
  <si>
    <t>2</t>
  </si>
  <si>
    <t>6.5</t>
  </si>
  <si>
    <t>TEMPERATURAS AMBIENTE MEDIA EN HORAS DE SOL EN PROVINCIAS ESPAÑOLAS(ºC)</t>
  </si>
  <si>
    <t>TEMPERATURAS AMBIENTE MEDIA DIARIA EN PROVINCIAS ESPAÑOLAS(ºC)</t>
  </si>
  <si>
    <t xml:space="preserve">(*) Tabla de CENSOLAR. </t>
  </si>
  <si>
    <t>CÁDIZ</t>
  </si>
  <si>
    <t>A CORUÑA</t>
  </si>
  <si>
    <t>OURENSE</t>
  </si>
  <si>
    <r>
      <t>Factor simultaneidad</t>
    </r>
    <r>
      <rPr>
        <sz val="8"/>
        <rFont val="Arial"/>
        <family val="2"/>
      </rPr>
      <t xml:space="preserve"> (en función de la Ordenanza Solar)</t>
    </r>
  </si>
  <si>
    <t>Determinación de la superficie de captadores solares y acumulación de ACS</t>
  </si>
  <si>
    <t>calculado</t>
  </si>
  <si>
    <t>seleccionado</t>
  </si>
  <si>
    <t>Acumulación total calculada</t>
  </si>
  <si>
    <t>según Sc sugerida</t>
  </si>
  <si>
    <t>colectiva</t>
  </si>
  <si>
    <t>acum. individual</t>
  </si>
  <si>
    <t>acum. individual total</t>
  </si>
  <si>
    <t>Topología de acumulación solar acs:</t>
  </si>
  <si>
    <t>Celdas de control</t>
  </si>
  <si>
    <t>GAS NATURAL SDG, S.A. - Dirección de Tecnología y Medio Ambiente</t>
  </si>
  <si>
    <t>Fracción solar anual exigida</t>
  </si>
  <si>
    <t>Factor de presión: Pf / (Pf-Pi)</t>
  </si>
  <si>
    <t>Presión absoluta inicial del vaso de expansión (Pi)</t>
  </si>
  <si>
    <t>Presión absoluta final del vaso de expansión (Pf)</t>
  </si>
  <si>
    <t>nº grupos</t>
  </si>
  <si>
    <t>consumo</t>
  </si>
  <si>
    <t>Coeficiente</t>
  </si>
  <si>
    <t>simultaneidad</t>
  </si>
  <si>
    <t>coeficiente</t>
  </si>
  <si>
    <t>superior</t>
  </si>
  <si>
    <t>inferior</t>
  </si>
  <si>
    <t>interpola</t>
  </si>
  <si>
    <t>gconssup</t>
  </si>
  <si>
    <t>gconsinf</t>
  </si>
  <si>
    <t>A</t>
  </si>
  <si>
    <t>B</t>
  </si>
  <si>
    <t>C</t>
  </si>
  <si>
    <t>D</t>
  </si>
  <si>
    <t>F</t>
  </si>
  <si>
    <t>Interpolación lineal de los coeficientes de simulataneidad</t>
  </si>
  <si>
    <t>F=B+((D-B)/(C-A))*(E-A)</t>
  </si>
  <si>
    <t>Retorno</t>
  </si>
  <si>
    <t>Pérdidas energéticas en tuberías aisladas</t>
  </si>
  <si>
    <t>T=50ºC</t>
  </si>
  <si>
    <t>P(W/m)</t>
  </si>
  <si>
    <t>T=60ºC</t>
  </si>
  <si>
    <t>Pérdidas</t>
  </si>
  <si>
    <t>(W/m)</t>
  </si>
  <si>
    <t>Pérdida de temperatura admisible</t>
  </si>
  <si>
    <t>e(mm)</t>
  </si>
  <si>
    <t>emin(mm)</t>
  </si>
  <si>
    <t>Control</t>
  </si>
  <si>
    <t>Pérdida de carga en la tubería de retorno</t>
  </si>
  <si>
    <t>Datos para la selección de la bomba de recirculación</t>
  </si>
  <si>
    <t>l/min</t>
  </si>
  <si>
    <t>Potencia mínima que debe suministrar</t>
  </si>
  <si>
    <t>kW</t>
  </si>
  <si>
    <t>Se considera un salto de temperaturas para ACS de 25ºC</t>
  </si>
  <si>
    <t>Datos para la selección de la bomba del circuito hidráulico</t>
  </si>
  <si>
    <t>Pérdida de carga total en el recorrido más desfavorable del circuito hidráulico</t>
  </si>
  <si>
    <t>Volumen total de fluido en el circuito hidráulico</t>
  </si>
  <si>
    <t>Tipo de intercambiador de calor</t>
  </si>
  <si>
    <t>Interno al acumulador</t>
  </si>
  <si>
    <t>Externo de placas</t>
  </si>
  <si>
    <t>Seleccionar tipo de intercambiador (externo, interno)</t>
  </si>
  <si>
    <t>Se seleccionará un tamaño comercial superior</t>
  </si>
  <si>
    <t>aislam (mm)</t>
  </si>
  <si>
    <t>Pdc en un intercambiador de un interacumulador</t>
  </si>
  <si>
    <r>
      <t xml:space="preserve">Selección del intercambiador de calor </t>
    </r>
    <r>
      <rPr>
        <b/>
        <i/>
        <sz val="10"/>
        <color indexed="9"/>
        <rFont val="Arial"/>
        <family val="2"/>
      </rPr>
      <t>(Interacumuladores individuales)</t>
    </r>
  </si>
  <si>
    <t>Superficie útil de intercambio total</t>
  </si>
  <si>
    <r>
      <t>m</t>
    </r>
    <r>
      <rPr>
        <vertAlign val="superscript"/>
        <sz val="10"/>
        <rFont val="Arial"/>
        <family val="2"/>
      </rPr>
      <t>2</t>
    </r>
  </si>
  <si>
    <t>Sup. útil de intercambio en cada interacum.</t>
  </si>
  <si>
    <t>Caudal que debe suministrar</t>
  </si>
  <si>
    <t>(*) Tabla de PCT-IDAE.</t>
  </si>
  <si>
    <t>-</t>
  </si>
  <si>
    <t>(W)</t>
  </si>
  <si>
    <t>Número de bajantes considerados</t>
  </si>
  <si>
    <t xml:space="preserve">velocidad </t>
  </si>
  <si>
    <t>(m/s) (*)</t>
  </si>
  <si>
    <t>(*) La velocidad ha de ser como mínimo de 0,5 m/s y como máximo 1 m/s</t>
  </si>
  <si>
    <t>Diámetro y pérdida de carga en tuberías en el retorno distribución (UN BAJANTE)</t>
  </si>
  <si>
    <t>Distancia mín. entre 1ª fila y el obstáculo</t>
  </si>
  <si>
    <t>Altura de obstáculo (p.ej. murete)</t>
  </si>
  <si>
    <t>Datos para la selección del interacumulador</t>
  </si>
  <si>
    <t>Selección del subsistema de apoyo a gas natural</t>
  </si>
  <si>
    <t>retorno (mm)</t>
  </si>
  <si>
    <t xml:space="preserve">Caudal que debe suministrar </t>
  </si>
  <si>
    <t>HI</t>
  </si>
  <si>
    <t>IJ</t>
  </si>
  <si>
    <t>JK</t>
  </si>
  <si>
    <t>KL</t>
  </si>
  <si>
    <t>LM</t>
  </si>
  <si>
    <t>MN</t>
  </si>
  <si>
    <t>NO</t>
  </si>
  <si>
    <t>OP</t>
  </si>
  <si>
    <t>PA</t>
  </si>
  <si>
    <t>Pérdidas térmicas totales (W)</t>
  </si>
  <si>
    <t>0.79</t>
  </si>
  <si>
    <t>6.4</t>
  </si>
  <si>
    <r>
      <t>kWh/(m</t>
    </r>
    <r>
      <rPr>
        <vertAlign val="superscript"/>
        <sz val="12"/>
        <rFont val="Arial"/>
        <family val="2"/>
      </rPr>
      <t>2</t>
    </r>
    <r>
      <rPr>
        <sz val="12"/>
        <rFont val="Arial"/>
        <family val="2"/>
      </rPr>
      <t>·dia)</t>
    </r>
  </si>
  <si>
    <t>Consultar el  catálogo del fabricante (1ª estimación = 1,3 m.c.a)</t>
  </si>
  <si>
    <t>m.c.a.</t>
  </si>
  <si>
    <t>(mm.c.a./m)</t>
  </si>
  <si>
    <t>(mm.c.a.)</t>
  </si>
  <si>
    <t xml:space="preserve">Pdc </t>
  </si>
  <si>
    <t>Pérdida de carga máxima admisible = 10 - 40 mm.c.a./m</t>
  </si>
  <si>
    <t xml:space="preserve"> (mm.c.a.)</t>
  </si>
  <si>
    <t>Pdc</t>
  </si>
  <si>
    <t xml:space="preserve"> (mm.c.a./m)</t>
  </si>
  <si>
    <t>Pdcl</t>
  </si>
  <si>
    <t>mm.c.a./captador</t>
  </si>
  <si>
    <t>Consultar el catálogo del fabricante (1ª estimación = 30 mm.c.a./captador)</t>
  </si>
  <si>
    <t>Consultar el  catálogo del fabricante (1ª estimación = 0,5 m.c.a)</t>
  </si>
  <si>
    <t>Superficie</t>
  </si>
  <si>
    <t>(m2)</t>
  </si>
  <si>
    <t>captador</t>
  </si>
  <si>
    <t>Factor óptico</t>
  </si>
  <si>
    <t xml:space="preserve">Coeficiente de </t>
  </si>
  <si>
    <t>pérdidas energ.</t>
  </si>
  <si>
    <t>W/(m2·K)</t>
  </si>
  <si>
    <t>(m)</t>
  </si>
  <si>
    <t xml:space="preserve">Altura </t>
  </si>
  <si>
    <t xml:space="preserve"> (fabricante y/o modelo)</t>
  </si>
  <si>
    <t>Nombre del captador</t>
  </si>
  <si>
    <t>En caso de cambiar el formato o el orden de la tabla, HSolGas podría no funcionar correctamente.</t>
  </si>
  <si>
    <t>El símbolo decimal es el punto.</t>
  </si>
  <si>
    <t>¡ATENCIÓN!</t>
  </si>
  <si>
    <t xml:space="preserve">Los datos se pueden introducir manualmente: </t>
  </si>
  <si>
    <t>Consultar recomendación del fabricante de los captadores solares</t>
  </si>
  <si>
    <t>Consultar  recomendaciones del fabricante de los captadores solares</t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</si>
  <si>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capt</t>
    </r>
  </si>
  <si>
    <t>Características básicas de la edificación</t>
  </si>
  <si>
    <t>Viv. tipo 1</t>
  </si>
  <si>
    <t>Viv. tipo 2</t>
  </si>
  <si>
    <t>Viv. tipo 3</t>
  </si>
  <si>
    <t>Viv. tipo 4</t>
  </si>
  <si>
    <t>Viv. tipo 5</t>
  </si>
  <si>
    <t>Número total de personas</t>
  </si>
  <si>
    <t>viviendas/edificio</t>
  </si>
  <si>
    <t>personas/edificio</t>
  </si>
  <si>
    <t>Caudal ACS demandado por edificio</t>
  </si>
  <si>
    <t>Si no se ha de usar, introducir un 1</t>
  </si>
  <si>
    <t>más desfavorable?</t>
  </si>
  <si>
    <t>¿Recorrido</t>
  </si>
  <si>
    <t>¿Recorrido más desfavorable?</t>
  </si>
  <si>
    <t xml:space="preserve"> (mmca/ml)</t>
  </si>
  <si>
    <t>Pérdidas térmicas tramos impulsión (W)</t>
  </si>
  <si>
    <t>recirculación?</t>
  </si>
  <si>
    <t>¿Tramo</t>
  </si>
  <si>
    <t>Rojo</t>
  </si>
  <si>
    <r>
      <t>W/(m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·K)</t>
    </r>
  </si>
  <si>
    <r>
      <t>l/m</t>
    </r>
    <r>
      <rPr>
        <vertAlign val="superscript"/>
        <sz val="10"/>
        <rFont val="Arial"/>
        <family val="2"/>
      </rPr>
      <t>2</t>
    </r>
  </si>
  <si>
    <t>Valv. Antirret.</t>
  </si>
  <si>
    <t xml:space="preserve">Diámetro en tuberías impulsión distribución </t>
  </si>
  <si>
    <t>Tramos en la impulsión de un bajante</t>
  </si>
  <si>
    <r>
      <t>Volumen de fluido en las tuberías (V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>)</t>
    </r>
  </si>
  <si>
    <r>
      <t>Volumen de fluido en los captadores (V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>)</t>
    </r>
  </si>
  <si>
    <r>
      <t>V</t>
    </r>
    <r>
      <rPr>
        <vertAlign val="subscript"/>
        <sz val="12"/>
        <rFont val="Arial"/>
        <family val="2"/>
      </rPr>
      <t>circuito</t>
    </r>
    <r>
      <rPr>
        <sz val="12"/>
        <rFont val="Arial"/>
        <family val="2"/>
      </rPr>
      <t xml:space="preserve"> = 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 xml:space="preserve"> +</t>
    </r>
    <r>
      <rPr>
        <vertAlign val="subscript"/>
        <sz val="12"/>
        <rFont val="Arial"/>
        <family val="2"/>
      </rPr>
      <t xml:space="preserve"> </t>
    </r>
    <r>
      <rPr>
        <sz val="12"/>
        <rFont val="Arial"/>
        <family val="2"/>
      </rPr>
      <t>V</t>
    </r>
    <r>
      <rPr>
        <vertAlign val="subscript"/>
        <sz val="12"/>
        <rFont val="Arial"/>
        <family val="2"/>
      </rPr>
      <t>interc.</t>
    </r>
  </si>
  <si>
    <t>Vol. Acum. Indv. Seleccionado</t>
  </si>
  <si>
    <t>Vol. Fluido en intercambiador (litros)</t>
  </si>
  <si>
    <t>Volumen de fluido en los intercambiadores de calor de los interacumuladores:</t>
  </si>
  <si>
    <r>
      <t>Vol. total de fluido en los intercamb. de calor (V</t>
    </r>
    <r>
      <rPr>
        <vertAlign val="subscript"/>
        <sz val="12"/>
        <rFont val="Arial"/>
        <family val="2"/>
      </rPr>
      <t>interc.</t>
    </r>
    <r>
      <rPr>
        <sz val="12"/>
        <rFont val="Arial"/>
        <family val="2"/>
      </rPr>
      <t>):</t>
    </r>
  </si>
  <si>
    <t>nº de viviendas de ese tipo</t>
  </si>
  <si>
    <t xml:space="preserve">Consultar datos del fabricante </t>
  </si>
  <si>
    <r>
      <t>V</t>
    </r>
    <r>
      <rPr>
        <vertAlign val="subscript"/>
        <sz val="12"/>
        <rFont val="Arial"/>
        <family val="2"/>
      </rPr>
      <t>circuito</t>
    </r>
    <r>
      <rPr>
        <sz val="12"/>
        <rFont val="Arial"/>
        <family val="2"/>
      </rPr>
      <t xml:space="preserve"> = 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interc.</t>
    </r>
  </si>
  <si>
    <t>Volumen de fluido en el intercambiador de calor</t>
  </si>
  <si>
    <t>Datos para la selección del intercambiador de calor centralizado</t>
  </si>
  <si>
    <t>Circuito hidráulico entre acumulación centralizada e interacumuladores individuales</t>
  </si>
  <si>
    <t>Caudal en el circuito hidráulico</t>
  </si>
  <si>
    <t>Celda auxilliar volumen centralizado en acumulación mixta</t>
  </si>
  <si>
    <t>CENSOLAR e IDAE</t>
  </si>
  <si>
    <t>Número de interacumuladores</t>
  </si>
  <si>
    <t>Caudal de fluido por cada interacumulador</t>
  </si>
  <si>
    <t>Consultar  recomendaciones del fabricante de los interacumuladores</t>
  </si>
  <si>
    <t>Caudal de fluido total</t>
  </si>
  <si>
    <t>Tac</t>
  </si>
  <si>
    <t>En caso de existir Ordenanza Solar,</t>
  </si>
  <si>
    <t>comprobar si se indica un método de</t>
  </si>
  <si>
    <t xml:space="preserve">cálculo de la distancia diferente al </t>
  </si>
  <si>
    <t>considerado en HSolGas (ver ayuda).</t>
  </si>
  <si>
    <t>1,5 kg/m2 si el vaso está al mismo nivel que el circuito. Considerar la columna de fluido por encima del vaso de expansión.</t>
  </si>
  <si>
    <t>Pérdidas térmicas tramo retorno (W)</t>
  </si>
  <si>
    <r>
      <t xml:space="preserve">captadores </t>
    </r>
    <r>
      <rPr>
        <b/>
        <sz val="10"/>
        <rFont val="Arial"/>
        <family val="2"/>
      </rPr>
      <t>EU</t>
    </r>
    <r>
      <rPr>
        <b/>
        <vertAlign val="subscript"/>
        <sz val="10"/>
        <rFont val="Arial"/>
        <family val="2"/>
      </rPr>
      <t>mes</t>
    </r>
  </si>
  <si>
    <t>Orientación de los captadores (azimut)</t>
  </si>
  <si>
    <t>Valor entre -90º y +90º. Los 0º corresponden al Sur.</t>
  </si>
  <si>
    <r>
      <t xml:space="preserve">inclinada </t>
    </r>
    <r>
      <rPr>
        <b/>
        <sz val="12"/>
        <rFont val="Arial"/>
        <family val="2"/>
      </rPr>
      <t>EI</t>
    </r>
    <r>
      <rPr>
        <b/>
        <vertAlign val="subscript"/>
        <sz val="12"/>
        <rFont val="Arial"/>
        <family val="2"/>
      </rPr>
      <t>dia</t>
    </r>
    <r>
      <rPr>
        <b/>
        <sz val="12"/>
        <rFont val="Arial"/>
        <family val="2"/>
      </rPr>
      <t>(*)</t>
    </r>
  </si>
  <si>
    <r>
      <t>Pérdidas por ORIENTACIÓN (P</t>
    </r>
    <r>
      <rPr>
        <vertAlign val="subscript"/>
        <sz val="12"/>
        <rFont val="Arial"/>
        <family val="2"/>
      </rPr>
      <t>o</t>
    </r>
    <r>
      <rPr>
        <sz val="12"/>
        <rFont val="Arial"/>
        <family val="2"/>
      </rPr>
      <t>)</t>
    </r>
  </si>
  <si>
    <t>Pérdida de carga total del circuito</t>
  </si>
  <si>
    <t>Columna de fluido</t>
  </si>
  <si>
    <t>Edif. Multifamiliar: Acumulación solar INDIVIDUAL para cada vivienda</t>
  </si>
  <si>
    <t>Edif. Multifamiliar: Acumulación solar MIXTA (Centraliz. + Individual)</t>
  </si>
  <si>
    <r>
      <t>Vol. de fluido en el intercamb. de calor (V</t>
    </r>
    <r>
      <rPr>
        <vertAlign val="subscript"/>
        <sz val="12"/>
        <rFont val="Arial"/>
        <family val="2"/>
      </rPr>
      <t>interc.</t>
    </r>
    <r>
      <rPr>
        <sz val="12"/>
        <rFont val="Arial"/>
        <family val="2"/>
      </rPr>
      <t>):</t>
    </r>
  </si>
  <si>
    <t>Caudal fluido caloportador</t>
  </si>
  <si>
    <t>Temp. de entrada a intercambiador</t>
  </si>
  <si>
    <t>Curva de 45º</t>
  </si>
  <si>
    <t>Configuración del sistema solar</t>
  </si>
  <si>
    <t>Edif. Multifamiliar: Acumulación solar CENTRALIZADA</t>
  </si>
  <si>
    <t>Ir a la hoja Principal</t>
  </si>
  <si>
    <t>Configuración de sistema solar</t>
  </si>
  <si>
    <t>nº viviendas</t>
  </si>
  <si>
    <t>Tipo configuración:</t>
  </si>
  <si>
    <t>Edif. Unifamiliar: Configuración A MEDIDA</t>
  </si>
  <si>
    <t>Edif. Unifamiliar: Equipo PREFABRICADO por termosifón</t>
  </si>
  <si>
    <r>
      <t>Pérdidas por SOMBRAS edific. adyacentes (P</t>
    </r>
    <r>
      <rPr>
        <vertAlign val="subscript"/>
        <sz val="12"/>
        <rFont val="Arial"/>
        <family val="2"/>
      </rPr>
      <t>s</t>
    </r>
    <r>
      <rPr>
        <sz val="12"/>
        <rFont val="Arial"/>
        <family val="2"/>
      </rPr>
      <t>)</t>
    </r>
  </si>
  <si>
    <t>Ver el volumen "Conceptos Generales" del manual de Gas Natural</t>
  </si>
  <si>
    <r>
      <t xml:space="preserve">(*) </t>
    </r>
    <r>
      <rPr>
        <b/>
        <sz val="12"/>
        <rFont val="Arial"/>
        <family val="2"/>
      </rPr>
      <t>EI</t>
    </r>
    <r>
      <rPr>
        <b/>
        <vertAlign val="subscript"/>
        <sz val="12"/>
        <rFont val="Arial"/>
        <family val="2"/>
      </rPr>
      <t>dia</t>
    </r>
    <r>
      <rPr>
        <sz val="12"/>
        <rFont val="Arial"/>
        <family val="2"/>
      </rPr>
      <t xml:space="preserve"> = 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dia</t>
    </r>
    <r>
      <rPr>
        <sz val="12"/>
        <rFont val="Arial"/>
        <family val="2"/>
      </rPr>
      <t xml:space="preserve"> * K * (1-P</t>
    </r>
    <r>
      <rPr>
        <vertAlign val="subscript"/>
        <sz val="12"/>
        <rFont val="Arial"/>
        <family val="2"/>
      </rPr>
      <t>o</t>
    </r>
    <r>
      <rPr>
        <sz val="12"/>
        <rFont val="Arial"/>
        <family val="2"/>
      </rPr>
      <t>) * (1-P</t>
    </r>
    <r>
      <rPr>
        <vertAlign val="subscript"/>
        <sz val="12"/>
        <rFont val="Arial"/>
        <family val="2"/>
      </rPr>
      <t>s</t>
    </r>
    <r>
      <rPr>
        <sz val="12"/>
        <rFont val="Arial"/>
        <family val="2"/>
      </rPr>
      <t>)</t>
    </r>
  </si>
  <si>
    <t xml:space="preserve">  Datos que debe introducir el usuario necesariamente</t>
  </si>
  <si>
    <t xml:space="preserve">  Datos para los que hay tablas y que el usuario puede cambiar si lo desea</t>
  </si>
  <si>
    <t xml:space="preserve">  Cálculos y datos que no se pueden cambiar</t>
  </si>
  <si>
    <t xml:space="preserve">  Sugerencia de la hoja de cálculo</t>
  </si>
  <si>
    <t xml:space="preserve">  Valores fuera del rango recomendado o permitido</t>
  </si>
  <si>
    <t>Cálculo de captadores de energía solar térmica para ACS en viviendas de nueva construcción</t>
  </si>
  <si>
    <r>
      <t xml:space="preserve">    </t>
    </r>
    <r>
      <rPr>
        <u/>
        <sz val="10"/>
        <color indexed="53"/>
        <rFont val="Arial"/>
        <family val="2"/>
      </rPr>
      <t>Características básicas de la edificación</t>
    </r>
  </si>
  <si>
    <t xml:space="preserve">    La de la Odenanza Solar o bien 60%</t>
  </si>
  <si>
    <r>
      <t>DEmes = Q * N * (Tacs - Taf) * 1,16*10</t>
    </r>
    <r>
      <rPr>
        <vertAlign val="superscript"/>
        <sz val="10"/>
        <color indexed="54"/>
        <rFont val="Arial"/>
        <family val="2"/>
      </rPr>
      <t>-3</t>
    </r>
  </si>
  <si>
    <r>
      <t xml:space="preserve">    Valor recomendado: entre 50 y 100 l/m</t>
    </r>
    <r>
      <rPr>
        <vertAlign val="superscript"/>
        <sz val="10"/>
        <color indexed="54"/>
        <rFont val="Arial"/>
        <family val="2"/>
      </rPr>
      <t>2</t>
    </r>
  </si>
  <si>
    <r>
      <t>Valor recomendado: entre 50 y 100 l/m</t>
    </r>
    <r>
      <rPr>
        <vertAlign val="superscript"/>
        <sz val="10"/>
        <color indexed="54"/>
        <rFont val="Arial"/>
        <family val="2"/>
      </rPr>
      <t>2</t>
    </r>
  </si>
  <si>
    <t>Tabla de datos de captadores solares</t>
  </si>
  <si>
    <r>
      <t xml:space="preserve">Gas Natural </t>
    </r>
    <r>
      <rPr>
        <sz val="7"/>
        <color indexed="53"/>
        <rFont val="Arial"/>
        <family val="2"/>
      </rPr>
      <t>SDG, S.A</t>
    </r>
    <r>
      <rPr>
        <sz val="10"/>
        <color indexed="53"/>
        <rFont val="Arial"/>
        <family val="2"/>
      </rPr>
      <t>. - Dirección de Tecnología y Medio Ambiente</t>
    </r>
  </si>
  <si>
    <t>Cálculos de los circuitos hidráulicos</t>
  </si>
  <si>
    <r>
      <t>Circuito primario de captación solar</t>
    </r>
    <r>
      <rPr>
        <sz val="12"/>
        <color indexed="9"/>
        <rFont val="Arial"/>
        <family val="2"/>
      </rPr>
      <t xml:space="preserve"> (Edif. multifamiliar: Instalación con acumulación de ACS centralizada)</t>
    </r>
  </si>
  <si>
    <r>
      <t xml:space="preserve">Circuito secundario </t>
    </r>
    <r>
      <rPr>
        <sz val="12"/>
        <color indexed="9"/>
        <rFont val="Arial"/>
        <family val="2"/>
      </rPr>
      <t>(Edif. multifamiliar: Instalación con acumulación de ACS centralizada)</t>
    </r>
  </si>
  <si>
    <r>
      <t>Circuito de distribución de ACS</t>
    </r>
    <r>
      <rPr>
        <sz val="12"/>
        <color indexed="9"/>
        <rFont val="Arial"/>
        <family val="2"/>
      </rPr>
      <t xml:space="preserve"> (Edif. multifamiliar: Instalación con acumulación de ACS centralizada)</t>
    </r>
  </si>
  <si>
    <t>Cálculo del Circuito Hidráulico</t>
  </si>
  <si>
    <r>
      <t>Circuito hidráulico de captación solar y distribución</t>
    </r>
    <r>
      <rPr>
        <sz val="12"/>
        <color indexed="9"/>
        <rFont val="Arial"/>
        <family val="2"/>
      </rPr>
      <t xml:space="preserve"> (Edif. multifamiliar: Instalación con acumulación de ACS individual para cada vivienda)</t>
    </r>
  </si>
  <si>
    <r>
      <t>Mínimo 0,2 m</t>
    </r>
    <r>
      <rPr>
        <vertAlign val="superscript"/>
        <sz val="10"/>
        <color indexed="54"/>
        <rFont val="Arial"/>
        <family val="2"/>
      </rPr>
      <t>2</t>
    </r>
    <r>
      <rPr>
        <sz val="10"/>
        <color indexed="54"/>
        <rFont val="Arial"/>
        <family val="2"/>
      </rPr>
      <t>/m</t>
    </r>
    <r>
      <rPr>
        <vertAlign val="superscript"/>
        <sz val="10"/>
        <color indexed="54"/>
        <rFont val="Arial"/>
        <family val="2"/>
      </rPr>
      <t>2</t>
    </r>
    <r>
      <rPr>
        <sz val="10"/>
        <color indexed="54"/>
        <rFont val="Arial"/>
        <family val="2"/>
      </rPr>
      <t xml:space="preserve"> captadores</t>
    </r>
  </si>
  <si>
    <t>Cálculos de los Circuitos Hidráulicos</t>
  </si>
  <si>
    <r>
      <t>Circuito primario de captación solar</t>
    </r>
    <r>
      <rPr>
        <sz val="12"/>
        <color indexed="9"/>
        <rFont val="Arial"/>
        <family val="2"/>
      </rPr>
      <t xml:space="preserve"> (Edif. multifamiliar: Instalación con acumulación de ACS MIXTA)</t>
    </r>
  </si>
  <si>
    <r>
      <t xml:space="preserve">Circuito secundario </t>
    </r>
    <r>
      <rPr>
        <sz val="12"/>
        <color indexed="9"/>
        <rFont val="Arial"/>
        <family val="2"/>
      </rPr>
      <t>(Edif. multifamiliar: Instalación con acumulación de ACS MIXTA)</t>
    </r>
  </si>
  <si>
    <r>
      <t>Selección del intercambiador de calor</t>
    </r>
    <r>
      <rPr>
        <sz val="12"/>
        <color indexed="9"/>
        <rFont val="Arial"/>
        <family val="2"/>
      </rPr>
      <t xml:space="preserve"> (Interacumuladores individuales)</t>
    </r>
  </si>
  <si>
    <r>
      <t>Circuito hidráulico de captación solar y distribución</t>
    </r>
    <r>
      <rPr>
        <sz val="12"/>
        <color indexed="9"/>
        <rFont val="Arial"/>
        <family val="2"/>
      </rPr>
      <t xml:space="preserve"> (Edif. unifamiliar: Instalación A MEDIDA)</t>
    </r>
  </si>
  <si>
    <r>
      <t>Selección del intercambiador de calo</t>
    </r>
    <r>
      <rPr>
        <sz val="12"/>
        <color indexed="9"/>
        <rFont val="Arial"/>
        <family val="2"/>
      </rPr>
      <t>r (Edif. Unifamiliar: Interacumulador en instalación A MEDIDA)</t>
    </r>
  </si>
  <si>
    <t>FrU (pérdidas térmicas)</t>
  </si>
  <si>
    <t xml:space="preserve">  Hoja de cálculo y diseño de instalaciones de producción de agua caliente sanitaria</t>
  </si>
  <si>
    <t xml:space="preserve">  en edificios de viviendas mediante energía solar y apoyo individual a gas natural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</si>
  <si>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intercambiador_interacum</t>
    </r>
  </si>
  <si>
    <t>Pérdida de carga en un intercambiador</t>
  </si>
  <si>
    <t>de un interacumulador</t>
  </si>
  <si>
    <t>FABRICANTE</t>
  </si>
  <si>
    <t>Práctica Energía Solar Térmica (Instalaciones II)</t>
  </si>
  <si>
    <t>Autores</t>
  </si>
  <si>
    <t>Salamanca</t>
  </si>
  <si>
    <t>Alberto España Carrete 
Carlos Fernández Palanca 
Rubén Modino López
Juan Diego Niño González</t>
  </si>
  <si>
    <t>0.82</t>
  </si>
  <si>
    <t>2.33</t>
  </si>
  <si>
    <t>4.75</t>
  </si>
  <si>
    <t>2.38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</si>
</sst>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"/>
    <numFmt numFmtId="166" formatCode="0.0"/>
    <numFmt numFmtId="167" formatCode="0.0%"/>
    <numFmt numFmtId="168" formatCode="#,##0.0"/>
    <numFmt numFmtId="169" formatCode="0.00E+00;\ĝ"/>
    <numFmt numFmtId="170" formatCode="#,##0.000"/>
  </numFmts>
  <fonts count="8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sz val="8"/>
      <color indexed="32"/>
      <name val="Arial"/>
      <family val="2"/>
    </font>
    <font>
      <b/>
      <sz val="10"/>
      <color indexed="32"/>
      <name val="Times New Roman"/>
      <family val="1"/>
    </font>
    <font>
      <sz val="10"/>
      <color indexed="32"/>
      <name val="Arial"/>
      <family val="2"/>
    </font>
    <font>
      <b/>
      <sz val="8"/>
      <color indexed="32"/>
      <name val="Arial"/>
      <family val="2"/>
    </font>
    <font>
      <u/>
      <sz val="10"/>
      <color indexed="12"/>
      <name val="Arial"/>
      <family val="2"/>
    </font>
    <font>
      <b/>
      <sz val="8"/>
      <color indexed="32"/>
      <name val="Arial"/>
      <family val="2"/>
    </font>
    <font>
      <sz val="12"/>
      <name val="Times New Roman"/>
      <family val="1"/>
    </font>
    <font>
      <b/>
      <sz val="13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vertAlign val="subscript"/>
      <sz val="12"/>
      <name val="Arial"/>
      <family val="2"/>
    </font>
    <font>
      <sz val="9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b/>
      <vertAlign val="subscript"/>
      <sz val="10"/>
      <name val="Arial"/>
      <family val="2"/>
    </font>
    <font>
      <sz val="11"/>
      <name val="Arial"/>
      <family val="2"/>
    </font>
    <font>
      <sz val="11"/>
      <color indexed="12"/>
      <name val="Arial"/>
      <family val="2"/>
    </font>
    <font>
      <b/>
      <sz val="11"/>
      <name val="Arial"/>
      <family val="2"/>
    </font>
    <font>
      <b/>
      <sz val="12"/>
      <color indexed="12"/>
      <name val="Arial"/>
      <family val="2"/>
    </font>
    <font>
      <vertAlign val="superscript"/>
      <sz val="10"/>
      <name val="Arial"/>
      <family val="2"/>
    </font>
    <font>
      <vertAlign val="subscript"/>
      <sz val="12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sz val="11"/>
      <color indexed="8"/>
      <name val="Arial"/>
      <family val="2"/>
    </font>
    <font>
      <sz val="8"/>
      <color indexed="21"/>
      <name val="Arial"/>
      <family val="2"/>
    </font>
    <font>
      <sz val="8"/>
      <color indexed="62"/>
      <name val="Arial"/>
      <family val="2"/>
    </font>
    <font>
      <b/>
      <i/>
      <sz val="10"/>
      <color indexed="9"/>
      <name val="Arial"/>
      <family val="2"/>
    </font>
    <font>
      <b/>
      <sz val="12"/>
      <color indexed="63"/>
      <name val="Arial"/>
      <family val="2"/>
    </font>
    <font>
      <b/>
      <sz val="40"/>
      <color indexed="63"/>
      <name val="Arial"/>
      <family val="2"/>
    </font>
    <font>
      <sz val="8"/>
      <color indexed="61"/>
      <name val="Arial"/>
      <family val="2"/>
    </font>
    <font>
      <vertAlign val="superscript"/>
      <sz val="12"/>
      <name val="Arial"/>
      <family val="2"/>
    </font>
    <font>
      <b/>
      <sz val="8"/>
      <color indexed="10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sz val="10"/>
      <color indexed="21"/>
      <name val="Arial"/>
      <family val="2"/>
    </font>
    <font>
      <b/>
      <sz val="10"/>
      <color indexed="21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sz val="10"/>
      <color indexed="61"/>
      <name val="Arial"/>
      <family val="2"/>
    </font>
    <font>
      <b/>
      <sz val="10"/>
      <color indexed="62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sz val="8"/>
      <color indexed="57"/>
      <name val="Arial"/>
      <family val="2"/>
    </font>
    <font>
      <sz val="10"/>
      <color indexed="57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color indexed="53"/>
      <name val="Arial"/>
      <family val="2"/>
    </font>
    <font>
      <sz val="8"/>
      <color indexed="53"/>
      <name val="Arial"/>
      <family val="2"/>
    </font>
    <font>
      <b/>
      <sz val="13"/>
      <color indexed="9"/>
      <name val="Arial"/>
      <family val="2"/>
    </font>
    <font>
      <sz val="10"/>
      <color indexed="23"/>
      <name val="Arial"/>
      <family val="2"/>
    </font>
    <font>
      <b/>
      <sz val="16"/>
      <color indexed="53"/>
      <name val="Arial"/>
      <family val="2"/>
    </font>
    <font>
      <sz val="12"/>
      <color indexed="54"/>
      <name val="Arial"/>
      <family val="2"/>
    </font>
    <font>
      <u/>
      <sz val="10"/>
      <color indexed="53"/>
      <name val="Arial"/>
      <family val="2"/>
    </font>
    <font>
      <sz val="11"/>
      <color indexed="54"/>
      <name val="Arial"/>
      <family val="2"/>
    </font>
    <font>
      <b/>
      <sz val="10"/>
      <color indexed="53"/>
      <name val="Arial"/>
      <family val="2"/>
    </font>
    <font>
      <sz val="10"/>
      <color indexed="54"/>
      <name val="Arial"/>
      <family val="2"/>
    </font>
    <font>
      <vertAlign val="superscript"/>
      <sz val="10"/>
      <color indexed="54"/>
      <name val="Arial"/>
      <family val="2"/>
    </font>
    <font>
      <b/>
      <sz val="10"/>
      <color indexed="54"/>
      <name val="Arial"/>
      <family val="2"/>
    </font>
    <font>
      <sz val="10"/>
      <color indexed="8"/>
      <name val="Arial"/>
      <family val="2"/>
    </font>
    <font>
      <sz val="12"/>
      <color indexed="54"/>
      <name val="Arial"/>
      <family val="2"/>
    </font>
    <font>
      <u/>
      <sz val="10"/>
      <color indexed="10"/>
      <name val="Arial"/>
      <family val="2"/>
    </font>
    <font>
      <sz val="10"/>
      <color indexed="53"/>
      <name val="Arial"/>
      <family val="2"/>
    </font>
    <font>
      <sz val="7"/>
      <color indexed="53"/>
      <name val="Arial"/>
      <family val="2"/>
    </font>
    <font>
      <u/>
      <sz val="10"/>
      <name val="Arial"/>
      <family val="2"/>
    </font>
    <font>
      <b/>
      <sz val="12"/>
      <color indexed="54"/>
      <name val="Arial"/>
      <family val="2"/>
    </font>
    <font>
      <b/>
      <sz val="16"/>
      <color indexed="10"/>
      <name val="Arial"/>
      <family val="2"/>
    </font>
    <font>
      <sz val="10"/>
      <color indexed="12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666699"/>
      <name val="Arial"/>
      <family val="2"/>
    </font>
    <font>
      <sz val="12"/>
      <color rgb="FF000000"/>
      <name val="Arial"/>
      <family val="2"/>
    </font>
    <font>
      <sz val="12"/>
      <color rgb="FF66669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32"/>
      </left>
      <right style="thin">
        <color indexed="32"/>
      </right>
      <top/>
      <bottom/>
      <diagonal/>
    </border>
    <border>
      <left style="thin">
        <color indexed="32"/>
      </left>
      <right style="thin">
        <color indexed="32"/>
      </right>
      <top/>
      <bottom style="thin">
        <color indexed="32"/>
      </bottom>
      <diagonal/>
    </border>
    <border>
      <left style="thin">
        <color indexed="32"/>
      </left>
      <right style="thin">
        <color indexed="32"/>
      </right>
      <top style="thin">
        <color indexed="32"/>
      </top>
      <bottom style="thin">
        <color indexed="3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2"/>
      </right>
      <top/>
      <bottom/>
      <diagonal/>
    </border>
    <border>
      <left style="thin">
        <color indexed="62"/>
      </left>
      <right/>
      <top/>
      <bottom/>
      <diagonal/>
    </border>
    <border>
      <left style="thin">
        <color indexed="62"/>
      </left>
      <right/>
      <top/>
      <bottom style="thin">
        <color indexed="62"/>
      </bottom>
      <diagonal/>
    </border>
    <border>
      <left/>
      <right/>
      <top/>
      <bottom style="thin">
        <color indexed="62"/>
      </bottom>
      <diagonal/>
    </border>
    <border>
      <left/>
      <right style="thin">
        <color indexed="62"/>
      </right>
      <top/>
      <bottom style="thin">
        <color indexed="62"/>
      </bottom>
      <diagonal/>
    </border>
    <border>
      <left/>
      <right/>
      <top style="thin">
        <color indexed="62"/>
      </top>
      <bottom/>
      <diagonal/>
    </border>
    <border>
      <left/>
      <right style="thin">
        <color indexed="62"/>
      </right>
      <top style="thin">
        <color indexed="62"/>
      </top>
      <bottom/>
      <diagonal/>
    </border>
    <border>
      <left/>
      <right style="thin">
        <color indexed="62"/>
      </right>
      <top style="thin">
        <color indexed="64"/>
      </top>
      <bottom/>
      <diagonal/>
    </border>
    <border>
      <left/>
      <right style="thin">
        <color indexed="62"/>
      </right>
      <top style="thin">
        <color indexed="64"/>
      </top>
      <bottom style="thin">
        <color indexed="64"/>
      </bottom>
      <diagonal/>
    </border>
    <border>
      <left/>
      <right style="thin">
        <color indexed="62"/>
      </right>
      <top/>
      <bottom style="thin">
        <color indexed="64"/>
      </bottom>
      <diagonal/>
    </border>
    <border>
      <left style="thin">
        <color indexed="62"/>
      </left>
      <right style="thin">
        <color indexed="64"/>
      </right>
      <top/>
      <bottom/>
      <diagonal/>
    </border>
    <border>
      <left/>
      <right/>
      <top/>
      <bottom style="thin">
        <color indexed="5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53"/>
      </bottom>
      <diagonal/>
    </border>
    <border>
      <left/>
      <right/>
      <top/>
      <bottom style="medium">
        <color indexed="53"/>
      </bottom>
      <diagonal/>
    </border>
    <border>
      <left/>
      <right/>
      <top style="thin">
        <color indexed="53"/>
      </top>
      <bottom style="thin">
        <color indexed="64"/>
      </bottom>
      <diagonal/>
    </border>
    <border>
      <left/>
      <right/>
      <top style="thin">
        <color indexed="53"/>
      </top>
      <bottom style="thin">
        <color indexed="53"/>
      </bottom>
      <diagonal/>
    </border>
    <border>
      <left/>
      <right/>
      <top style="thin">
        <color indexed="53"/>
      </top>
      <bottom style="medium">
        <color indexed="53"/>
      </bottom>
      <diagonal/>
    </border>
    <border>
      <left/>
      <right/>
      <top style="thin">
        <color indexed="53"/>
      </top>
      <bottom/>
      <diagonal/>
    </border>
    <border>
      <left/>
      <right/>
      <top style="medium">
        <color indexed="53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 style="thin">
        <color indexed="21"/>
      </top>
      <bottom/>
      <diagonal/>
    </border>
    <border>
      <left/>
      <right style="thin">
        <color indexed="21"/>
      </right>
      <top style="thin">
        <color indexed="21"/>
      </top>
      <bottom/>
      <diagonal/>
    </border>
    <border>
      <left/>
      <right/>
      <top style="medium">
        <color indexed="53"/>
      </top>
      <bottom style="thin">
        <color indexed="5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ck">
        <color indexed="53"/>
      </top>
      <bottom/>
      <diagonal/>
    </border>
    <border>
      <left style="thin">
        <color indexed="9"/>
      </left>
      <right style="thin">
        <color indexed="9"/>
      </right>
      <top style="thin">
        <color indexed="53"/>
      </top>
      <bottom style="thin">
        <color indexed="9"/>
      </bottom>
      <diagonal/>
    </border>
    <border>
      <left style="thin">
        <color indexed="21"/>
      </left>
      <right/>
      <top/>
      <bottom/>
      <diagonal/>
    </border>
    <border>
      <left/>
      <right style="thin">
        <color indexed="21"/>
      </right>
      <top/>
      <bottom/>
      <diagonal/>
    </border>
    <border>
      <left style="thin">
        <color indexed="62"/>
      </left>
      <right/>
      <top style="thin">
        <color indexed="62"/>
      </top>
      <bottom/>
      <diagonal/>
    </border>
    <border>
      <left style="thin">
        <color indexed="64"/>
      </left>
      <right style="thin">
        <color indexed="62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" fontId="1" fillId="2" borderId="1" applyNumberFormat="0" applyFont="0" applyBorder="0" applyAlignment="0">
      <alignment horizontal="center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4" fillId="0" borderId="0"/>
    <xf numFmtId="9" fontId="1" fillId="0" borderId="0" applyFont="0" applyFill="0" applyBorder="0" applyAlignment="0" applyProtection="0"/>
  </cellStyleXfs>
  <cellXfs count="804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4" xfId="0" applyBorder="1"/>
    <xf numFmtId="0" fontId="2" fillId="0" borderId="0" xfId="0" applyFont="1"/>
    <xf numFmtId="0" fontId="0" fillId="0" borderId="0" xfId="0" applyAlignment="1">
      <alignment horizontal="right"/>
    </xf>
    <xf numFmtId="0" fontId="3" fillId="0" borderId="0" xfId="0" applyFont="1"/>
    <xf numFmtId="0" fontId="3" fillId="0" borderId="0" xfId="0" applyFont="1" applyAlignment="1">
      <alignment horizontal="center"/>
    </xf>
    <xf numFmtId="168" fontId="3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2" fontId="5" fillId="0" borderId="0" xfId="0" applyNumberFormat="1" applyFont="1" applyAlignment="1">
      <alignment horizontal="center"/>
    </xf>
    <xf numFmtId="166" fontId="5" fillId="0" borderId="0" xfId="0" applyNumberFormat="1" applyFont="1"/>
    <xf numFmtId="0" fontId="0" fillId="0" borderId="5" xfId="0" applyBorder="1"/>
    <xf numFmtId="0" fontId="5" fillId="0" borderId="6" xfId="0" applyFont="1" applyBorder="1"/>
    <xf numFmtId="1" fontId="0" fillId="0" borderId="0" xfId="0" applyNumberFormat="1"/>
    <xf numFmtId="0" fontId="5" fillId="0" borderId="0" xfId="0" applyFont="1"/>
    <xf numFmtId="0" fontId="2" fillId="0" borderId="2" xfId="0" applyFont="1" applyBorder="1"/>
    <xf numFmtId="0" fontId="0" fillId="0" borderId="7" xfId="0" applyBorder="1"/>
    <xf numFmtId="1" fontId="5" fillId="0" borderId="8" xfId="0" applyNumberFormat="1" applyFon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6" fillId="0" borderId="0" xfId="0" applyFont="1"/>
    <xf numFmtId="0" fontId="3" fillId="3" borderId="0" xfId="0" applyFont="1" applyFill="1"/>
    <xf numFmtId="1" fontId="5" fillId="0" borderId="0" xfId="0" applyNumberFormat="1" applyFont="1"/>
    <xf numFmtId="0" fontId="3" fillId="0" borderId="5" xfId="0" applyFont="1" applyBorder="1" applyAlignment="1">
      <alignment horizontal="right"/>
    </xf>
    <xf numFmtId="0" fontId="5" fillId="0" borderId="2" xfId="0" applyFont="1" applyBorder="1"/>
    <xf numFmtId="0" fontId="5" fillId="0" borderId="3" xfId="0" applyFont="1" applyBorder="1"/>
    <xf numFmtId="0" fontId="3" fillId="0" borderId="9" xfId="0" applyFont="1" applyBorder="1" applyAlignment="1">
      <alignment horizontal="left"/>
    </xf>
    <xf numFmtId="165" fontId="0" fillId="0" borderId="0" xfId="0" applyNumberFormat="1"/>
    <xf numFmtId="0" fontId="4" fillId="0" borderId="0" xfId="0" applyFont="1"/>
    <xf numFmtId="167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2" fillId="4" borderId="10" xfId="0" applyFont="1" applyFill="1" applyBorder="1"/>
    <xf numFmtId="0" fontId="2" fillId="4" borderId="11" xfId="0" applyFont="1" applyFill="1" applyBorder="1"/>
    <xf numFmtId="0" fontId="0" fillId="3" borderId="3" xfId="0" applyFill="1" applyBorder="1"/>
    <xf numFmtId="0" fontId="0" fillId="3" borderId="9" xfId="0" applyFill="1" applyBorder="1"/>
    <xf numFmtId="0" fontId="5" fillId="0" borderId="8" xfId="0" applyFont="1" applyBorder="1" applyAlignment="1">
      <alignment horizontal="center"/>
    </xf>
    <xf numFmtId="4" fontId="5" fillId="0" borderId="0" xfId="1" applyNumberFormat="1" applyFont="1" applyFill="1" applyBorder="1" applyAlignment="1" applyProtection="1">
      <alignment horizontal="center"/>
      <protection hidden="1"/>
    </xf>
    <xf numFmtId="164" fontId="0" fillId="0" borderId="0" xfId="0" applyNumberFormat="1"/>
    <xf numFmtId="0" fontId="3" fillId="0" borderId="7" xfId="0" applyFont="1" applyBorder="1"/>
    <xf numFmtId="0" fontId="0" fillId="5" borderId="0" xfId="0" applyFill="1" applyAlignment="1">
      <alignment horizontal="center"/>
    </xf>
    <xf numFmtId="3" fontId="3" fillId="3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4" fillId="0" borderId="7" xfId="0" applyFont="1" applyBorder="1"/>
    <xf numFmtId="0" fontId="0" fillId="5" borderId="0" xfId="0" applyFill="1"/>
    <xf numFmtId="0" fontId="0" fillId="5" borderId="9" xfId="0" applyFill="1" applyBorder="1"/>
    <xf numFmtId="2" fontId="0" fillId="0" borderId="9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3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>
      <alignment horizontal="right"/>
    </xf>
    <xf numFmtId="167" fontId="4" fillId="0" borderId="7" xfId="0" applyNumberFormat="1" applyFont="1" applyBorder="1"/>
    <xf numFmtId="1" fontId="0" fillId="0" borderId="8" xfId="0" applyNumberFormat="1" applyBorder="1"/>
    <xf numFmtId="166" fontId="4" fillId="0" borderId="7" xfId="0" applyNumberFormat="1" applyFont="1" applyBorder="1"/>
    <xf numFmtId="2" fontId="0" fillId="0" borderId="8" xfId="0" applyNumberFormat="1" applyBorder="1"/>
    <xf numFmtId="0" fontId="0" fillId="0" borderId="6" xfId="0" applyBorder="1"/>
    <xf numFmtId="0" fontId="8" fillId="6" borderId="0" xfId="0" applyFont="1" applyFill="1"/>
    <xf numFmtId="0" fontId="8" fillId="6" borderId="12" xfId="0" applyFont="1" applyFill="1" applyBorder="1" applyAlignment="1">
      <alignment horizontal="center"/>
    </xf>
    <xf numFmtId="0" fontId="11" fillId="6" borderId="0" xfId="0" applyFont="1" applyFill="1" applyAlignment="1">
      <alignment horizontal="center"/>
    </xf>
    <xf numFmtId="0" fontId="11" fillId="6" borderId="12" xfId="0" applyFont="1" applyFill="1" applyBorder="1" applyAlignment="1">
      <alignment horizontal="center"/>
    </xf>
    <xf numFmtId="0" fontId="11" fillId="6" borderId="13" xfId="0" applyFont="1" applyFill="1" applyBorder="1" applyAlignment="1">
      <alignment horizontal="center"/>
    </xf>
    <xf numFmtId="0" fontId="8" fillId="6" borderId="12" xfId="0" applyFont="1" applyFill="1" applyBorder="1"/>
    <xf numFmtId="0" fontId="11" fillId="6" borderId="14" xfId="0" applyFont="1" applyFill="1" applyBorder="1"/>
    <xf numFmtId="49" fontId="9" fillId="6" borderId="0" xfId="0" applyNumberFormat="1" applyFont="1" applyFill="1" applyProtection="1">
      <protection hidden="1"/>
    </xf>
    <xf numFmtId="49" fontId="8" fillId="6" borderId="0" xfId="0" applyNumberFormat="1" applyFont="1" applyFill="1"/>
    <xf numFmtId="49" fontId="8" fillId="6" borderId="12" xfId="0" applyNumberFormat="1" applyFont="1" applyFill="1" applyBorder="1" applyAlignment="1">
      <alignment horizontal="center"/>
    </xf>
    <xf numFmtId="49" fontId="11" fillId="6" borderId="14" xfId="0" applyNumberFormat="1" applyFont="1" applyFill="1" applyBorder="1" applyAlignment="1">
      <alignment horizontal="center"/>
    </xf>
    <xf numFmtId="0" fontId="10" fillId="6" borderId="0" xfId="0" applyFont="1" applyFill="1"/>
    <xf numFmtId="0" fontId="8" fillId="6" borderId="0" xfId="0" applyFont="1" applyFill="1" applyAlignment="1" applyProtection="1">
      <alignment horizontal="center"/>
      <protection locked="0" hidden="1"/>
    </xf>
    <xf numFmtId="49" fontId="8" fillId="6" borderId="0" xfId="0" applyNumberFormat="1" applyFont="1" applyFill="1" applyAlignment="1">
      <alignment horizontal="center"/>
    </xf>
    <xf numFmtId="0" fontId="0" fillId="7" borderId="3" xfId="0" applyFill="1" applyBorder="1"/>
    <xf numFmtId="0" fontId="3" fillId="7" borderId="9" xfId="0" applyFont="1" applyFill="1" applyBorder="1"/>
    <xf numFmtId="0" fontId="0" fillId="7" borderId="9" xfId="0" applyFill="1" applyBorder="1"/>
    <xf numFmtId="0" fontId="13" fillId="6" borderId="0" xfId="0" applyFont="1" applyFill="1"/>
    <xf numFmtId="0" fontId="6" fillId="4" borderId="15" xfId="3" applyFont="1" applyFill="1" applyBorder="1" applyAlignment="1">
      <alignment horizontal="center" vertical="center"/>
    </xf>
    <xf numFmtId="0" fontId="15" fillId="4" borderId="15" xfId="3" applyFont="1" applyFill="1" applyBorder="1" applyAlignment="1">
      <alignment horizontal="center" vertical="center"/>
    </xf>
    <xf numFmtId="0" fontId="5" fillId="0" borderId="16" xfId="3" applyFont="1" applyBorder="1" applyAlignment="1">
      <alignment horizontal="center" vertical="center"/>
    </xf>
    <xf numFmtId="0" fontId="5" fillId="0" borderId="17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166" fontId="2" fillId="0" borderId="3" xfId="3" applyNumberFormat="1" applyFont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166" fontId="5" fillId="0" borderId="0" xfId="3" applyNumberFormat="1" applyFont="1" applyAlignment="1">
      <alignment horizontal="center" vertical="center"/>
    </xf>
    <xf numFmtId="0" fontId="5" fillId="0" borderId="8" xfId="3" applyFont="1" applyBorder="1" applyAlignment="1">
      <alignment horizontal="center" vertical="center"/>
    </xf>
    <xf numFmtId="166" fontId="5" fillId="0" borderId="8" xfId="3" applyNumberFormat="1" applyFont="1" applyBorder="1" applyAlignment="1">
      <alignment horizontal="center" vertical="center"/>
    </xf>
    <xf numFmtId="0" fontId="6" fillId="4" borderId="16" xfId="3" applyFont="1" applyFill="1" applyBorder="1" applyAlignment="1">
      <alignment horizontal="center" vertical="center"/>
    </xf>
    <xf numFmtId="0" fontId="6" fillId="4" borderId="18" xfId="3" applyFont="1" applyFill="1" applyBorder="1" applyAlignment="1">
      <alignment horizontal="center" vertical="center"/>
    </xf>
    <xf numFmtId="0" fontId="15" fillId="4" borderId="18" xfId="3" applyFont="1" applyFill="1" applyBorder="1" applyAlignment="1">
      <alignment horizontal="center" vertical="center"/>
    </xf>
    <xf numFmtId="166" fontId="5" fillId="0" borderId="15" xfId="3" applyNumberFormat="1" applyFont="1" applyBorder="1" applyAlignment="1">
      <alignment horizontal="center" vertical="center"/>
    </xf>
    <xf numFmtId="166" fontId="5" fillId="0" borderId="16" xfId="3" applyNumberFormat="1" applyFont="1" applyBorder="1" applyAlignment="1">
      <alignment horizontal="center" vertical="center"/>
    </xf>
    <xf numFmtId="166" fontId="5" fillId="0" borderId="17" xfId="3" applyNumberFormat="1" applyFont="1" applyBorder="1" applyAlignment="1">
      <alignment horizontal="center" vertical="center"/>
    </xf>
    <xf numFmtId="0" fontId="6" fillId="4" borderId="15" xfId="0" applyFont="1" applyFill="1" applyBorder="1"/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0" fontId="19" fillId="0" borderId="0" xfId="0" applyFont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left"/>
    </xf>
    <xf numFmtId="0" fontId="17" fillId="0" borderId="0" xfId="0" applyFont="1"/>
    <xf numFmtId="0" fontId="2" fillId="0" borderId="18" xfId="0" applyFont="1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0" xfId="0" applyAlignment="1">
      <alignment vertical="center"/>
    </xf>
    <xf numFmtId="0" fontId="2" fillId="4" borderId="18" xfId="0" applyFont="1" applyFill="1" applyBorder="1" applyAlignment="1">
      <alignment vertical="center"/>
    </xf>
    <xf numFmtId="0" fontId="2" fillId="4" borderId="1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2" fillId="0" borderId="18" xfId="0" applyFont="1" applyBorder="1" applyAlignment="1">
      <alignment vertical="center"/>
    </xf>
    <xf numFmtId="0" fontId="2" fillId="4" borderId="19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2" fillId="0" borderId="0" xfId="2" applyAlignment="1" applyProtection="1">
      <alignment horizontal="center"/>
    </xf>
    <xf numFmtId="3" fontId="6" fillId="0" borderId="0" xfId="0" applyNumberFormat="1" applyFont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2" xfId="0" applyFont="1" applyBorder="1" applyAlignment="1">
      <alignment horizontal="right"/>
    </xf>
    <xf numFmtId="166" fontId="5" fillId="0" borderId="5" xfId="0" applyNumberFormat="1" applyFont="1" applyBorder="1"/>
    <xf numFmtId="0" fontId="5" fillId="0" borderId="9" xfId="0" applyFont="1" applyBorder="1" applyAlignment="1">
      <alignment horizontal="center"/>
    </xf>
    <xf numFmtId="0" fontId="5" fillId="0" borderId="3" xfId="0" applyFont="1" applyBorder="1" applyAlignment="1">
      <alignment horizontal="right"/>
    </xf>
    <xf numFmtId="2" fontId="5" fillId="0" borderId="9" xfId="0" applyNumberFormat="1" applyFont="1" applyBorder="1"/>
    <xf numFmtId="0" fontId="5" fillId="0" borderId="4" xfId="0" applyFont="1" applyBorder="1" applyAlignment="1">
      <alignment horizontal="right"/>
    </xf>
    <xf numFmtId="166" fontId="5" fillId="0" borderId="6" xfId="0" applyNumberFormat="1" applyFont="1" applyBorder="1"/>
    <xf numFmtId="0" fontId="5" fillId="0" borderId="6" xfId="0" applyFont="1" applyBorder="1" applyAlignment="1">
      <alignment horizontal="center"/>
    </xf>
    <xf numFmtId="0" fontId="5" fillId="2" borderId="2" xfId="0" applyFont="1" applyFill="1" applyBorder="1"/>
    <xf numFmtId="0" fontId="5" fillId="2" borderId="5" xfId="0" applyFont="1" applyFill="1" applyBorder="1"/>
    <xf numFmtId="0" fontId="7" fillId="8" borderId="2" xfId="0" applyFont="1" applyFill="1" applyBorder="1"/>
    <xf numFmtId="0" fontId="7" fillId="8" borderId="5" xfId="0" applyFont="1" applyFill="1" applyBorder="1"/>
    <xf numFmtId="0" fontId="5" fillId="2" borderId="4" xfId="0" applyFont="1" applyFill="1" applyBorder="1"/>
    <xf numFmtId="0" fontId="5" fillId="2" borderId="6" xfId="0" applyFont="1" applyFill="1" applyBorder="1"/>
    <xf numFmtId="0" fontId="7" fillId="8" borderId="4" xfId="0" applyFont="1" applyFill="1" applyBorder="1"/>
    <xf numFmtId="0" fontId="7" fillId="8" borderId="6" xfId="0" applyFont="1" applyFill="1" applyBorder="1"/>
    <xf numFmtId="0" fontId="0" fillId="2" borderId="2" xfId="0" applyFill="1" applyBorder="1"/>
    <xf numFmtId="167" fontId="0" fillId="2" borderId="7" xfId="0" applyNumberFormat="1" applyFill="1" applyBorder="1"/>
    <xf numFmtId="0" fontId="0" fillId="2" borderId="5" xfId="0" applyFill="1" applyBorder="1"/>
    <xf numFmtId="0" fontId="5" fillId="9" borderId="2" xfId="0" applyFont="1" applyFill="1" applyBorder="1"/>
    <xf numFmtId="167" fontId="2" fillId="9" borderId="7" xfId="0" applyNumberFormat="1" applyFont="1" applyFill="1" applyBorder="1"/>
    <xf numFmtId="0" fontId="2" fillId="9" borderId="5" xfId="0" applyFont="1" applyFill="1" applyBorder="1"/>
    <xf numFmtId="0" fontId="0" fillId="2" borderId="4" xfId="0" applyFill="1" applyBorder="1"/>
    <xf numFmtId="1" fontId="0" fillId="2" borderId="8" xfId="0" applyNumberFormat="1" applyFill="1" applyBorder="1"/>
    <xf numFmtId="0" fontId="5" fillId="9" borderId="4" xfId="0" applyFont="1" applyFill="1" applyBorder="1"/>
    <xf numFmtId="1" fontId="2" fillId="9" borderId="8" xfId="0" applyNumberFormat="1" applyFont="1" applyFill="1" applyBorder="1"/>
    <xf numFmtId="0" fontId="2" fillId="9" borderId="6" xfId="0" applyFont="1" applyFill="1" applyBorder="1"/>
    <xf numFmtId="9" fontId="0" fillId="0" borderId="0" xfId="0" applyNumberFormat="1"/>
    <xf numFmtId="0" fontId="5" fillId="3" borderId="10" xfId="0" applyFont="1" applyFill="1" applyBorder="1"/>
    <xf numFmtId="0" fontId="3" fillId="3" borderId="18" xfId="0" applyFont="1" applyFill="1" applyBorder="1" applyAlignment="1">
      <alignment horizontal="left"/>
    </xf>
    <xf numFmtId="0" fontId="0" fillId="3" borderId="18" xfId="0" applyFill="1" applyBorder="1"/>
    <xf numFmtId="0" fontId="3" fillId="3" borderId="18" xfId="0" applyFont="1" applyFill="1" applyBorder="1"/>
    <xf numFmtId="1" fontId="3" fillId="3" borderId="11" xfId="0" applyNumberFormat="1" applyFont="1" applyFill="1" applyBorder="1"/>
    <xf numFmtId="2" fontId="2" fillId="4" borderId="18" xfId="0" applyNumberFormat="1" applyFont="1" applyFill="1" applyBorder="1"/>
    <xf numFmtId="0" fontId="0" fillId="0" borderId="10" xfId="0" applyBorder="1" applyAlignment="1">
      <alignment horizontal="right"/>
    </xf>
    <xf numFmtId="0" fontId="0" fillId="0" borderId="11" xfId="0" applyBorder="1"/>
    <xf numFmtId="1" fontId="5" fillId="0" borderId="17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67" fontId="0" fillId="0" borderId="0" xfId="4" applyNumberFormat="1" applyFont="1" applyBorder="1" applyAlignment="1">
      <alignment horizontal="center"/>
    </xf>
    <xf numFmtId="3" fontId="5" fillId="0" borderId="8" xfId="0" applyNumberFormat="1" applyFont="1" applyBorder="1" applyAlignment="1" applyProtection="1">
      <alignment horizontal="center"/>
      <protection locked="0"/>
    </xf>
    <xf numFmtId="167" fontId="2" fillId="0" borderId="0" xfId="4" applyNumberFormat="1" applyFont="1" applyBorder="1" applyAlignment="1">
      <alignment horizontal="center"/>
    </xf>
    <xf numFmtId="0" fontId="0" fillId="0" borderId="7" xfId="0" applyBorder="1" applyAlignment="1">
      <alignment horizontal="right"/>
    </xf>
    <xf numFmtId="0" fontId="5" fillId="7" borderId="0" xfId="0" applyFont="1" applyFill="1"/>
    <xf numFmtId="0" fontId="2" fillId="3" borderId="0" xfId="0" applyFont="1" applyFill="1"/>
    <xf numFmtId="0" fontId="5" fillId="0" borderId="7" xfId="0" applyFont="1" applyBorder="1" applyAlignment="1">
      <alignment horizontal="right"/>
    </xf>
    <xf numFmtId="0" fontId="5" fillId="3" borderId="18" xfId="0" applyFont="1" applyFill="1" applyBorder="1" applyAlignment="1">
      <alignment horizontal="right"/>
    </xf>
    <xf numFmtId="2" fontId="3" fillId="3" borderId="0" xfId="0" applyNumberFormat="1" applyFont="1" applyFill="1" applyAlignment="1">
      <alignment horizontal="center"/>
    </xf>
    <xf numFmtId="0" fontId="0" fillId="0" borderId="19" xfId="0" applyBorder="1" applyAlignment="1">
      <alignment horizontal="center"/>
    </xf>
    <xf numFmtId="0" fontId="18" fillId="0" borderId="0" xfId="0" applyFont="1"/>
    <xf numFmtId="0" fontId="20" fillId="0" borderId="0" xfId="0" applyFont="1"/>
    <xf numFmtId="0" fontId="2" fillId="0" borderId="0" xfId="0" applyFont="1" applyAlignment="1">
      <alignment horizontal="right"/>
    </xf>
    <xf numFmtId="0" fontId="5" fillId="2" borderId="10" xfId="0" applyFont="1" applyFill="1" applyBorder="1"/>
    <xf numFmtId="0" fontId="0" fillId="0" borderId="10" xfId="0" applyBorder="1"/>
    <xf numFmtId="0" fontId="0" fillId="0" borderId="18" xfId="0" applyBorder="1" applyAlignment="1">
      <alignment horizontal="center"/>
    </xf>
    <xf numFmtId="0" fontId="0" fillId="0" borderId="19" xfId="0" applyBorder="1"/>
    <xf numFmtId="0" fontId="0" fillId="0" borderId="2" xfId="0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15" xfId="0" applyBorder="1"/>
    <xf numFmtId="0" fontId="0" fillId="0" borderId="4" xfId="0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6" fontId="2" fillId="0" borderId="0" xfId="0" applyNumberFormat="1" applyFont="1"/>
    <xf numFmtId="0" fontId="0" fillId="0" borderId="15" xfId="0" quotePrefix="1" applyBorder="1" applyAlignment="1">
      <alignment horizontal="center"/>
    </xf>
    <xf numFmtId="0" fontId="0" fillId="0" borderId="16" xfId="0" applyBorder="1" applyAlignment="1">
      <alignment horizontal="center" vertical="center"/>
    </xf>
    <xf numFmtId="166" fontId="0" fillId="0" borderId="0" xfId="0" applyNumberFormat="1"/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7" borderId="19" xfId="0" applyFont="1" applyFill="1" applyBorder="1" applyAlignment="1">
      <alignment vertical="center"/>
    </xf>
    <xf numFmtId="0" fontId="2" fillId="7" borderId="19" xfId="0" applyFont="1" applyFill="1" applyBorder="1"/>
    <xf numFmtId="0" fontId="0" fillId="0" borderId="2" xfId="0" applyBorder="1" applyAlignment="1">
      <alignment horizontal="left"/>
    </xf>
    <xf numFmtId="0" fontId="2" fillId="7" borderId="19" xfId="0" applyFont="1" applyFill="1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vertical="center"/>
    </xf>
    <xf numFmtId="0" fontId="0" fillId="0" borderId="8" xfId="0" applyBorder="1"/>
    <xf numFmtId="0" fontId="2" fillId="7" borderId="18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0" fillId="0" borderId="17" xfId="0" applyBorder="1"/>
    <xf numFmtId="0" fontId="0" fillId="0" borderId="0" xfId="0" applyAlignment="1">
      <alignment horizontal="right" vertical="center"/>
    </xf>
    <xf numFmtId="0" fontId="2" fillId="7" borderId="10" xfId="0" applyFont="1" applyFill="1" applyBorder="1"/>
    <xf numFmtId="0" fontId="0" fillId="7" borderId="11" xfId="0" applyFill="1" applyBorder="1"/>
    <xf numFmtId="0" fontId="2" fillId="7" borderId="10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23" fillId="0" borderId="0" xfId="0" applyFont="1" applyAlignment="1">
      <alignment horizontal="center"/>
    </xf>
    <xf numFmtId="0" fontId="0" fillId="7" borderId="5" xfId="0" applyFill="1" applyBorder="1" applyAlignment="1">
      <alignment horizontal="center"/>
    </xf>
    <xf numFmtId="0" fontId="3" fillId="0" borderId="0" xfId="0" applyFont="1" applyAlignment="1">
      <alignment horizontal="right"/>
    </xf>
    <xf numFmtId="1" fontId="2" fillId="0" borderId="0" xfId="0" applyNumberFormat="1" applyFont="1" applyAlignment="1">
      <alignment horizontal="center"/>
    </xf>
    <xf numFmtId="0" fontId="2" fillId="7" borderId="11" xfId="0" applyFont="1" applyFill="1" applyBorder="1"/>
    <xf numFmtId="49" fontId="0" fillId="0" borderId="0" xfId="0" applyNumberFormat="1" applyAlignment="1">
      <alignment horizontal="right"/>
    </xf>
    <xf numFmtId="0" fontId="0" fillId="0" borderId="20" xfId="0" applyBorder="1"/>
    <xf numFmtId="0" fontId="0" fillId="0" borderId="21" xfId="0" applyBorder="1"/>
    <xf numFmtId="0" fontId="4" fillId="0" borderId="0" xfId="0" applyFont="1" applyAlignment="1">
      <alignment horizontal="left"/>
    </xf>
    <xf numFmtId="0" fontId="0" fillId="0" borderId="21" xfId="0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166" fontId="2" fillId="0" borderId="0" xfId="0" applyNumberFormat="1" applyFont="1" applyAlignment="1">
      <alignment horizontal="center"/>
    </xf>
    <xf numFmtId="0" fontId="0" fillId="0" borderId="20" xfId="0" applyBorder="1" applyAlignment="1">
      <alignment vertical="center"/>
    </xf>
    <xf numFmtId="0" fontId="0" fillId="0" borderId="25" xfId="0" applyBorder="1"/>
    <xf numFmtId="0" fontId="0" fillId="0" borderId="26" xfId="0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/>
    <xf numFmtId="0" fontId="12" fillId="0" borderId="0" xfId="2" applyBorder="1" applyAlignment="1" applyProtection="1"/>
    <xf numFmtId="0" fontId="12" fillId="0" borderId="0" xfId="2" applyAlignment="1" applyProtection="1">
      <alignment horizontal="left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2" fillId="0" borderId="0" xfId="2" applyBorder="1" applyAlignment="1" applyProtection="1">
      <alignment horizontal="left"/>
    </xf>
    <xf numFmtId="0" fontId="0" fillId="0" borderId="23" xfId="0" applyBorder="1" applyAlignment="1">
      <alignment horizontal="center"/>
    </xf>
    <xf numFmtId="0" fontId="18" fillId="0" borderId="0" xfId="0" applyFont="1" applyAlignment="1">
      <alignment horizontal="left"/>
    </xf>
    <xf numFmtId="0" fontId="0" fillId="0" borderId="31" xfId="0" applyBorder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7" borderId="15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166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3" fontId="2" fillId="9" borderId="19" xfId="0" applyNumberFormat="1" applyFont="1" applyFill="1" applyBorder="1"/>
    <xf numFmtId="2" fontId="5" fillId="0" borderId="8" xfId="0" applyNumberFormat="1" applyFont="1" applyBorder="1" applyAlignment="1">
      <alignment horizontal="center"/>
    </xf>
    <xf numFmtId="3" fontId="3" fillId="3" borderId="8" xfId="0" applyNumberFormat="1" applyFont="1" applyFill="1" applyBorder="1" applyAlignment="1" applyProtection="1">
      <alignment horizontal="center"/>
      <protection locked="0"/>
    </xf>
    <xf numFmtId="2" fontId="3" fillId="3" borderId="8" xfId="0" applyNumberFormat="1" applyFont="1" applyFill="1" applyBorder="1" applyAlignment="1">
      <alignment horizontal="center"/>
    </xf>
    <xf numFmtId="0" fontId="0" fillId="0" borderId="18" xfId="0" applyBorder="1"/>
    <xf numFmtId="0" fontId="0" fillId="0" borderId="3" xfId="0" applyBorder="1" applyAlignment="1">
      <alignment horizontal="right" vertical="center"/>
    </xf>
    <xf numFmtId="0" fontId="0" fillId="0" borderId="3" xfId="0" applyBorder="1" applyAlignment="1">
      <alignment vertical="center"/>
    </xf>
    <xf numFmtId="0" fontId="5" fillId="0" borderId="19" xfId="0" applyFont="1" applyBorder="1" applyAlignment="1">
      <alignment vertical="center"/>
    </xf>
    <xf numFmtId="2" fontId="0" fillId="0" borderId="18" xfId="0" applyNumberFormat="1" applyBorder="1"/>
    <xf numFmtId="165" fontId="5" fillId="0" borderId="6" xfId="0" applyNumberFormat="1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5" fillId="0" borderId="25" xfId="0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5" fillId="0" borderId="19" xfId="0" applyNumberFormat="1" applyFont="1" applyBorder="1" applyAlignment="1">
      <alignment horizontal="center"/>
    </xf>
    <xf numFmtId="0" fontId="15" fillId="7" borderId="15" xfId="3" applyFont="1" applyFill="1" applyBorder="1" applyAlignment="1">
      <alignment horizontal="center" vertical="center"/>
    </xf>
    <xf numFmtId="0" fontId="5" fillId="0" borderId="7" xfId="3" applyFont="1" applyBorder="1" applyAlignment="1">
      <alignment horizontal="center" vertical="center"/>
    </xf>
    <xf numFmtId="0" fontId="5" fillId="0" borderId="16" xfId="3" applyFont="1" applyBorder="1" applyAlignment="1">
      <alignment horizontal="left" vertical="center"/>
    </xf>
    <xf numFmtId="0" fontId="5" fillId="0" borderId="17" xfId="3" applyFont="1" applyBorder="1" applyAlignment="1">
      <alignment horizontal="left" vertical="center"/>
    </xf>
    <xf numFmtId="0" fontId="5" fillId="0" borderId="18" xfId="0" applyFont="1" applyBorder="1" applyAlignment="1">
      <alignment horizontal="center"/>
    </xf>
    <xf numFmtId="0" fontId="3" fillId="0" borderId="18" xfId="0" applyFont="1" applyBorder="1" applyAlignment="1">
      <alignment horizontal="left"/>
    </xf>
    <xf numFmtId="1" fontId="0" fillId="2" borderId="19" xfId="0" applyNumberFormat="1" applyFill="1" applyBorder="1"/>
    <xf numFmtId="0" fontId="5" fillId="0" borderId="9" xfId="0" applyFont="1" applyBorder="1"/>
    <xf numFmtId="0" fontId="0" fillId="9" borderId="19" xfId="0" applyFill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5" fillId="7" borderId="6" xfId="0" applyFont="1" applyFill="1" applyBorder="1" applyAlignment="1">
      <alignment horizontal="center"/>
    </xf>
    <xf numFmtId="2" fontId="19" fillId="0" borderId="0" xfId="0" applyNumberFormat="1" applyFont="1" applyAlignment="1">
      <alignment horizontal="center"/>
    </xf>
    <xf numFmtId="0" fontId="2" fillId="7" borderId="10" xfId="0" applyFont="1" applyFill="1" applyBorder="1" applyAlignment="1">
      <alignment horizontal="left"/>
    </xf>
    <xf numFmtId="0" fontId="0" fillId="0" borderId="3" xfId="0" quotePrefix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0" fillId="0" borderId="0" xfId="0" quotePrefix="1" applyAlignment="1">
      <alignment horizontal="center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center" wrapText="1"/>
    </xf>
    <xf numFmtId="166" fontId="0" fillId="0" borderId="0" xfId="0" applyNumberFormat="1" applyAlignment="1">
      <alignment horizontal="center" vertical="center"/>
    </xf>
    <xf numFmtId="0" fontId="0" fillId="0" borderId="8" xfId="0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0" fontId="19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5" fillId="0" borderId="0" xfId="0" applyFont="1" applyProtection="1">
      <protection hidden="1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/>
      <protection locked="0" hidden="1"/>
    </xf>
    <xf numFmtId="0" fontId="0" fillId="0" borderId="16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/>
      <protection locked="0"/>
    </xf>
    <xf numFmtId="2" fontId="5" fillId="0" borderId="0" xfId="0" applyNumberFormat="1" applyFont="1" applyAlignment="1" applyProtection="1">
      <alignment horizontal="center"/>
      <protection locked="0"/>
    </xf>
    <xf numFmtId="0" fontId="0" fillId="0" borderId="8" xfId="0" applyBorder="1" applyAlignment="1">
      <alignment horizontal="right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19" fillId="0" borderId="0" xfId="0" applyFont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5" fillId="0" borderId="0" xfId="0" applyFont="1" applyAlignment="1" applyProtection="1">
      <alignment horizontal="right"/>
      <protection hidden="1"/>
    </xf>
    <xf numFmtId="0" fontId="2" fillId="0" borderId="0" xfId="0" applyFont="1" applyAlignment="1" applyProtection="1">
      <alignment horizontal="right"/>
      <protection hidden="1"/>
    </xf>
    <xf numFmtId="0" fontId="6" fillId="0" borderId="0" xfId="0" applyFont="1" applyProtection="1">
      <protection hidden="1"/>
    </xf>
    <xf numFmtId="4" fontId="27" fillId="0" borderId="0" xfId="0" applyNumberFormat="1" applyFont="1" applyAlignment="1" applyProtection="1">
      <alignment horizontal="right"/>
      <protection hidden="1"/>
    </xf>
    <xf numFmtId="170" fontId="27" fillId="0" borderId="0" xfId="0" applyNumberFormat="1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170" fontId="27" fillId="0" borderId="0" xfId="0" applyNumberFormat="1" applyFont="1" applyProtection="1">
      <protection hidden="1"/>
    </xf>
    <xf numFmtId="0" fontId="27" fillId="0" borderId="0" xfId="0" applyFont="1" applyAlignment="1" applyProtection="1">
      <alignment horizontal="left"/>
      <protection hidden="1"/>
    </xf>
    <xf numFmtId="0" fontId="27" fillId="0" borderId="0" xfId="0" applyFont="1" applyAlignment="1" applyProtection="1">
      <alignment horizontal="right"/>
      <protection hidden="1"/>
    </xf>
    <xf numFmtId="0" fontId="12" fillId="0" borderId="0" xfId="2" applyAlignment="1" applyProtection="1">
      <alignment horizontal="left"/>
      <protection hidden="1"/>
    </xf>
    <xf numFmtId="0" fontId="19" fillId="0" borderId="0" xfId="0" applyFont="1" applyAlignment="1" applyProtection="1">
      <alignment horizontal="right"/>
      <protection hidden="1"/>
    </xf>
    <xf numFmtId="0" fontId="3" fillId="0" borderId="0" xfId="0" applyFont="1" applyProtection="1">
      <protection hidden="1"/>
    </xf>
    <xf numFmtId="0" fontId="4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right"/>
      <protection hidden="1"/>
    </xf>
    <xf numFmtId="0" fontId="2" fillId="0" borderId="0" xfId="0" applyFont="1" applyProtection="1">
      <protection hidden="1"/>
    </xf>
    <xf numFmtId="0" fontId="19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center" wrapText="1"/>
      <protection hidden="1"/>
    </xf>
    <xf numFmtId="0" fontId="23" fillId="0" borderId="0" xfId="0" applyFont="1" applyAlignment="1">
      <alignment horizontal="center" vertical="center"/>
    </xf>
    <xf numFmtId="0" fontId="5" fillId="0" borderId="0" xfId="0" applyFont="1" applyAlignment="1" applyProtection="1">
      <alignment horizontal="center" vertical="center"/>
      <protection hidden="1"/>
    </xf>
    <xf numFmtId="0" fontId="42" fillId="6" borderId="0" xfId="0" applyFont="1" applyFill="1"/>
    <xf numFmtId="0" fontId="43" fillId="6" borderId="16" xfId="0" applyFont="1" applyFill="1" applyBorder="1" applyAlignment="1" applyProtection="1">
      <alignment horizontal="center"/>
      <protection hidden="1"/>
    </xf>
    <xf numFmtId="0" fontId="8" fillId="6" borderId="16" xfId="0" applyFont="1" applyFill="1" applyBorder="1" applyProtection="1">
      <protection hidden="1"/>
    </xf>
    <xf numFmtId="0" fontId="43" fillId="6" borderId="17" xfId="0" applyFont="1" applyFill="1" applyBorder="1" applyAlignment="1" applyProtection="1">
      <alignment horizontal="center"/>
      <protection hidden="1"/>
    </xf>
    <xf numFmtId="49" fontId="8" fillId="6" borderId="0" xfId="0" applyNumberFormat="1" applyFont="1" applyFill="1" applyProtection="1">
      <protection hidden="1"/>
    </xf>
    <xf numFmtId="0" fontId="42" fillId="6" borderId="0" xfId="0" applyFont="1" applyFill="1" applyProtection="1">
      <protection hidden="1"/>
    </xf>
    <xf numFmtId="0" fontId="8" fillId="6" borderId="0" xfId="0" applyFont="1" applyFill="1" applyProtection="1">
      <protection hidden="1"/>
    </xf>
    <xf numFmtId="0" fontId="32" fillId="6" borderId="0" xfId="0" applyFont="1" applyFill="1" applyAlignment="1" applyProtection="1">
      <alignment horizontal="center"/>
      <protection hidden="1"/>
    </xf>
    <xf numFmtId="0" fontId="46" fillId="0" borderId="0" xfId="0" applyFont="1" applyProtection="1">
      <protection hidden="1"/>
    </xf>
    <xf numFmtId="0" fontId="47" fillId="0" borderId="0" xfId="0" applyFont="1" applyProtection="1">
      <protection hidden="1"/>
    </xf>
    <xf numFmtId="0" fontId="48" fillId="0" borderId="0" xfId="0" applyFont="1"/>
    <xf numFmtId="0" fontId="49" fillId="0" borderId="0" xfId="0" applyFont="1" applyProtection="1">
      <protection hidden="1"/>
    </xf>
    <xf numFmtId="0" fontId="50" fillId="0" borderId="0" xfId="0" applyFont="1"/>
    <xf numFmtId="0" fontId="50" fillId="0" borderId="0" xfId="0" applyFont="1" applyProtection="1">
      <protection hidden="1"/>
    </xf>
    <xf numFmtId="0" fontId="51" fillId="0" borderId="0" xfId="0" applyFont="1" applyProtection="1">
      <protection hidden="1"/>
    </xf>
    <xf numFmtId="0" fontId="49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>
      <alignment horizontal="left"/>
    </xf>
    <xf numFmtId="0" fontId="6" fillId="0" borderId="0" xfId="0" applyFont="1" applyAlignment="1" applyProtection="1">
      <alignment horizontal="left"/>
      <protection hidden="1"/>
    </xf>
    <xf numFmtId="0" fontId="0" fillId="0" borderId="32" xfId="0" applyBorder="1"/>
    <xf numFmtId="0" fontId="0" fillId="0" borderId="16" xfId="0" applyBorder="1" applyProtection="1">
      <protection locked="0" hidden="1"/>
    </xf>
    <xf numFmtId="0" fontId="0" fillId="0" borderId="16" xfId="0" applyBorder="1" applyAlignment="1" applyProtection="1">
      <alignment vertical="center"/>
      <protection locked="0" hidden="1"/>
    </xf>
    <xf numFmtId="0" fontId="0" fillId="0" borderId="17" xfId="0" applyBorder="1" applyProtection="1">
      <protection locked="0" hidden="1"/>
    </xf>
    <xf numFmtId="0" fontId="6" fillId="0" borderId="0" xfId="0" applyFont="1" applyAlignment="1" applyProtection="1">
      <alignment horizontal="center"/>
      <protection hidden="1"/>
    </xf>
    <xf numFmtId="0" fontId="2" fillId="7" borderId="2" xfId="0" applyFont="1" applyFill="1" applyBorder="1" applyAlignment="1">
      <alignment horizontal="left"/>
    </xf>
    <xf numFmtId="0" fontId="2" fillId="7" borderId="7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0" fillId="0" borderId="0" xfId="0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0" fillId="0" borderId="20" xfId="0" applyBorder="1" applyProtection="1">
      <protection locked="0"/>
    </xf>
    <xf numFmtId="0" fontId="0" fillId="0" borderId="20" xfId="0" applyBorder="1" applyAlignment="1" applyProtection="1">
      <alignment vertical="center"/>
      <protection locked="0"/>
    </xf>
    <xf numFmtId="0" fontId="4" fillId="0" borderId="19" xfId="0" applyFont="1" applyBorder="1" applyAlignment="1">
      <alignment horizontal="center"/>
    </xf>
    <xf numFmtId="0" fontId="18" fillId="6" borderId="0" xfId="0" applyFont="1" applyFill="1" applyAlignment="1">
      <alignment horizontal="left"/>
    </xf>
    <xf numFmtId="0" fontId="0" fillId="0" borderId="33" xfId="0" applyBorder="1"/>
    <xf numFmtId="0" fontId="0" fillId="0" borderId="33" xfId="0" applyBorder="1" applyProtection="1">
      <protection hidden="1"/>
    </xf>
    <xf numFmtId="0" fontId="19" fillId="0" borderId="33" xfId="0" applyFont="1" applyBorder="1" applyAlignment="1" applyProtection="1">
      <alignment horizontal="right"/>
      <protection hidden="1"/>
    </xf>
    <xf numFmtId="0" fontId="26" fillId="6" borderId="0" xfId="0" applyFont="1" applyFill="1" applyProtection="1">
      <protection hidden="1"/>
    </xf>
    <xf numFmtId="0" fontId="5" fillId="6" borderId="0" xfId="0" applyFont="1" applyFill="1" applyAlignment="1" applyProtection="1">
      <alignment horizontal="center"/>
      <protection hidden="1"/>
    </xf>
    <xf numFmtId="0" fontId="46" fillId="6" borderId="0" xfId="0" applyFont="1" applyFill="1" applyProtection="1">
      <protection hidden="1"/>
    </xf>
    <xf numFmtId="0" fontId="49" fillId="0" borderId="0" xfId="0" applyFont="1"/>
    <xf numFmtId="1" fontId="52" fillId="6" borderId="0" xfId="0" applyNumberFormat="1" applyFont="1" applyFill="1" applyAlignment="1" applyProtection="1">
      <alignment horizont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5" fillId="0" borderId="0" xfId="0" applyFont="1" applyAlignment="1" applyProtection="1">
      <alignment horizontal="right" vertical="center"/>
      <protection hidden="1"/>
    </xf>
    <xf numFmtId="0" fontId="19" fillId="0" borderId="0" xfId="0" applyFont="1" applyAlignment="1">
      <alignment horizontal="center" vertical="center"/>
    </xf>
    <xf numFmtId="3" fontId="26" fillId="0" borderId="0" xfId="0" applyNumberFormat="1" applyFont="1" applyAlignment="1" applyProtection="1">
      <alignment horizontal="center" vertical="center"/>
      <protection hidden="1"/>
    </xf>
    <xf numFmtId="0" fontId="53" fillId="0" borderId="0" xfId="0" applyFont="1"/>
    <xf numFmtId="0" fontId="54" fillId="0" borderId="0" xfId="0" applyFont="1" applyAlignment="1" applyProtection="1">
      <alignment horizontal="left"/>
      <protection hidden="1"/>
    </xf>
    <xf numFmtId="0" fontId="55" fillId="0" borderId="0" xfId="0" applyFont="1" applyProtection="1">
      <protection hidden="1"/>
    </xf>
    <xf numFmtId="0" fontId="55" fillId="0" borderId="0" xfId="0" applyFont="1"/>
    <xf numFmtId="0" fontId="0" fillId="0" borderId="0" xfId="0" applyProtection="1">
      <protection locked="0" hidden="1"/>
    </xf>
    <xf numFmtId="0" fontId="12" fillId="0" borderId="0" xfId="2" applyBorder="1" applyAlignment="1" applyProtection="1">
      <alignment horizontal="center"/>
    </xf>
    <xf numFmtId="0" fontId="19" fillId="0" borderId="0" xfId="0" applyFont="1" applyAlignment="1" applyProtection="1">
      <alignment vertical="center"/>
      <protection hidden="1"/>
    </xf>
    <xf numFmtId="0" fontId="23" fillId="0" borderId="0" xfId="0" applyFont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hidden="1"/>
    </xf>
    <xf numFmtId="1" fontId="0" fillId="0" borderId="10" xfId="0" applyNumberFormat="1" applyBorder="1" applyAlignment="1">
      <alignment horizontal="center"/>
    </xf>
    <xf numFmtId="3" fontId="6" fillId="0" borderId="0" xfId="0" applyNumberFormat="1" applyFont="1" applyAlignment="1" applyProtection="1">
      <alignment horizontal="center"/>
      <protection hidden="1"/>
    </xf>
    <xf numFmtId="0" fontId="2" fillId="0" borderId="34" xfId="0" applyFont="1" applyBorder="1" applyProtection="1">
      <protection hidden="1"/>
    </xf>
    <xf numFmtId="0" fontId="0" fillId="0" borderId="35" xfId="0" applyBorder="1" applyProtection="1">
      <protection hidden="1"/>
    </xf>
    <xf numFmtId="0" fontId="0" fillId="0" borderId="36" xfId="0" applyBorder="1" applyProtection="1">
      <protection hidden="1"/>
    </xf>
    <xf numFmtId="0" fontId="0" fillId="0" borderId="37" xfId="0" applyBorder="1" applyProtection="1">
      <protection locked="0" hidden="1"/>
    </xf>
    <xf numFmtId="0" fontId="0" fillId="0" borderId="38" xfId="0" applyBorder="1" applyProtection="1">
      <protection hidden="1"/>
    </xf>
    <xf numFmtId="0" fontId="0" fillId="0" borderId="37" xfId="0" applyBorder="1" applyProtection="1">
      <protection hidden="1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9" fontId="23" fillId="0" borderId="0" xfId="0" applyNumberFormat="1" applyFont="1" applyAlignment="1" applyProtection="1">
      <alignment horizontal="center"/>
      <protection hidden="1"/>
    </xf>
    <xf numFmtId="0" fontId="0" fillId="6" borderId="0" xfId="0" applyFill="1" applyProtection="1">
      <protection hidden="1"/>
    </xf>
    <xf numFmtId="167" fontId="28" fillId="0" borderId="0" xfId="0" applyNumberFormat="1" applyFont="1" applyAlignment="1" applyProtection="1">
      <alignment horizontal="center"/>
      <protection hidden="1"/>
    </xf>
    <xf numFmtId="2" fontId="0" fillId="0" borderId="0" xfId="0" applyNumberFormat="1"/>
    <xf numFmtId="11" fontId="0" fillId="0" borderId="0" xfId="0" applyNumberFormat="1"/>
    <xf numFmtId="0" fontId="57" fillId="0" borderId="0" xfId="0" applyFont="1"/>
    <xf numFmtId="0" fontId="58" fillId="0" borderId="0" xfId="0" applyFont="1"/>
    <xf numFmtId="0" fontId="58" fillId="0" borderId="0" xfId="0" applyFont="1" applyProtection="1">
      <protection hidden="1"/>
    </xf>
    <xf numFmtId="0" fontId="58" fillId="0" borderId="0" xfId="0" applyFont="1" applyAlignment="1" applyProtection="1">
      <alignment horizontal="left"/>
      <protection hidden="1"/>
    </xf>
    <xf numFmtId="0" fontId="59" fillId="0" borderId="0" xfId="0" applyFont="1" applyAlignment="1" applyProtection="1">
      <alignment horizontal="left"/>
      <protection hidden="1"/>
    </xf>
    <xf numFmtId="0" fontId="1" fillId="0" borderId="0" xfId="0" applyFont="1" applyProtection="1">
      <protection locked="0"/>
    </xf>
    <xf numFmtId="0" fontId="52" fillId="6" borderId="0" xfId="0" applyFont="1" applyFill="1" applyProtection="1">
      <protection hidden="1"/>
    </xf>
    <xf numFmtId="0" fontId="19" fillId="0" borderId="33" xfId="0" applyFont="1" applyBorder="1" applyAlignment="1" applyProtection="1">
      <alignment horizontal="center"/>
      <protection hidden="1"/>
    </xf>
    <xf numFmtId="0" fontId="4" fillId="10" borderId="0" xfId="0" applyFont="1" applyFill="1" applyAlignment="1">
      <alignment horizontal="center"/>
    </xf>
    <xf numFmtId="0" fontId="0" fillId="11" borderId="0" xfId="0" applyFill="1"/>
    <xf numFmtId="0" fontId="61" fillId="10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60" fillId="11" borderId="0" xfId="0" applyFont="1" applyFill="1"/>
    <xf numFmtId="0" fontId="60" fillId="0" borderId="0" xfId="0" applyFont="1"/>
    <xf numFmtId="0" fontId="0" fillId="0" borderId="42" xfId="0" applyBorder="1"/>
    <xf numFmtId="0" fontId="18" fillId="0" borderId="0" xfId="0" applyFont="1" applyProtection="1">
      <protection hidden="1"/>
    </xf>
    <xf numFmtId="0" fontId="62" fillId="0" borderId="0" xfId="0" applyFont="1" applyProtection="1">
      <protection hidden="1"/>
    </xf>
    <xf numFmtId="0" fontId="63" fillId="10" borderId="0" xfId="0" applyFont="1" applyFill="1" applyAlignment="1" applyProtection="1">
      <alignment horizontal="left"/>
      <protection locked="0" hidden="1"/>
    </xf>
    <xf numFmtId="14" fontId="63" fillId="10" borderId="0" xfId="0" applyNumberFormat="1" applyFont="1" applyFill="1" applyAlignment="1" applyProtection="1">
      <alignment horizontal="left"/>
      <protection locked="0" hidden="1"/>
    </xf>
    <xf numFmtId="0" fontId="0" fillId="0" borderId="43" xfId="0" applyBorder="1" applyProtection="1">
      <protection hidden="1"/>
    </xf>
    <xf numFmtId="0" fontId="19" fillId="0" borderId="43" xfId="0" applyFont="1" applyBorder="1" applyProtection="1">
      <protection hidden="1"/>
    </xf>
    <xf numFmtId="0" fontId="0" fillId="0" borderId="42" xfId="0" applyBorder="1" applyProtection="1">
      <protection hidden="1"/>
    </xf>
    <xf numFmtId="0" fontId="19" fillId="0" borderId="42" xfId="0" applyFont="1" applyBorder="1" applyProtection="1">
      <protection hidden="1"/>
    </xf>
    <xf numFmtId="0" fontId="64" fillId="0" borderId="42" xfId="2" applyFont="1" applyBorder="1" applyAlignment="1" applyProtection="1">
      <alignment horizontal="left"/>
      <protection hidden="1"/>
    </xf>
    <xf numFmtId="0" fontId="64" fillId="0" borderId="0" xfId="2" applyFont="1" applyBorder="1" applyAlignment="1" applyProtection="1">
      <alignment horizontal="left"/>
      <protection hidden="1"/>
    </xf>
    <xf numFmtId="3" fontId="2" fillId="0" borderId="0" xfId="0" applyNumberFormat="1" applyFont="1" applyAlignment="1" applyProtection="1">
      <alignment horizontal="center"/>
      <protection hidden="1"/>
    </xf>
    <xf numFmtId="0" fontId="26" fillId="0" borderId="43" xfId="0" applyFont="1" applyBorder="1" applyProtection="1">
      <protection hidden="1"/>
    </xf>
    <xf numFmtId="3" fontId="26" fillId="0" borderId="43" xfId="0" applyNumberFormat="1" applyFont="1" applyBorder="1" applyAlignment="1" applyProtection="1">
      <alignment horizontal="center"/>
      <protection hidden="1"/>
    </xf>
    <xf numFmtId="0" fontId="19" fillId="0" borderId="31" xfId="0" applyFont="1" applyBorder="1" applyProtection="1">
      <protection hidden="1"/>
    </xf>
    <xf numFmtId="0" fontId="26" fillId="0" borderId="31" xfId="0" applyFont="1" applyBorder="1" applyProtection="1">
      <protection hidden="1"/>
    </xf>
    <xf numFmtId="0" fontId="0" fillId="0" borderId="31" xfId="0" applyBorder="1" applyProtection="1">
      <protection hidden="1"/>
    </xf>
    <xf numFmtId="0" fontId="26" fillId="0" borderId="31" xfId="0" applyFont="1" applyBorder="1" applyAlignment="1" applyProtection="1">
      <alignment horizontal="center"/>
      <protection hidden="1"/>
    </xf>
    <xf numFmtId="0" fontId="0" fillId="0" borderId="44" xfId="0" applyBorder="1" applyProtection="1">
      <protection hidden="1"/>
    </xf>
    <xf numFmtId="0" fontId="19" fillId="0" borderId="45" xfId="0" applyFont="1" applyBorder="1" applyProtection="1">
      <protection hidden="1"/>
    </xf>
    <xf numFmtId="0" fontId="26" fillId="0" borderId="45" xfId="0" applyFont="1" applyBorder="1" applyProtection="1">
      <protection hidden="1"/>
    </xf>
    <xf numFmtId="0" fontId="0" fillId="0" borderId="45" xfId="0" applyBorder="1" applyProtection="1">
      <protection hidden="1"/>
    </xf>
    <xf numFmtId="0" fontId="0" fillId="0" borderId="45" xfId="0" applyBorder="1" applyAlignment="1" applyProtection="1">
      <alignment horizontal="center"/>
      <protection hidden="1"/>
    </xf>
    <xf numFmtId="0" fontId="26" fillId="0" borderId="45" xfId="0" applyFont="1" applyBorder="1" applyAlignment="1" applyProtection="1">
      <alignment horizontal="center"/>
      <protection hidden="1"/>
    </xf>
    <xf numFmtId="0" fontId="65" fillId="10" borderId="0" xfId="0" applyFont="1" applyFill="1" applyAlignment="1" applyProtection="1">
      <alignment horizontal="center"/>
      <protection locked="0" hidden="1"/>
    </xf>
    <xf numFmtId="0" fontId="65" fillId="10" borderId="45" xfId="0" applyFont="1" applyFill="1" applyBorder="1" applyAlignment="1" applyProtection="1">
      <alignment horizontal="center"/>
      <protection locked="0" hidden="1"/>
    </xf>
    <xf numFmtId="0" fontId="0" fillId="0" borderId="31" xfId="0" applyBorder="1" applyAlignment="1" applyProtection="1">
      <alignment horizontal="center"/>
      <protection hidden="1"/>
    </xf>
    <xf numFmtId="0" fontId="0" fillId="0" borderId="46" xfId="0" applyBorder="1" applyAlignment="1" applyProtection="1">
      <alignment horizontal="center"/>
      <protection hidden="1"/>
    </xf>
    <xf numFmtId="0" fontId="0" fillId="10" borderId="0" xfId="0" applyFill="1" applyProtection="1">
      <protection hidden="1"/>
    </xf>
    <xf numFmtId="0" fontId="0" fillId="10" borderId="47" xfId="0" applyFill="1" applyBorder="1" applyProtection="1">
      <protection hidden="1"/>
    </xf>
    <xf numFmtId="3" fontId="5" fillId="0" borderId="0" xfId="0" applyNumberFormat="1" applyFont="1" applyAlignment="1" applyProtection="1">
      <alignment horizontal="center"/>
      <protection hidden="1"/>
    </xf>
    <xf numFmtId="0" fontId="5" fillId="0" borderId="47" xfId="0" applyFont="1" applyBorder="1" applyAlignment="1" applyProtection="1">
      <alignment horizontal="center"/>
      <protection hidden="1"/>
    </xf>
    <xf numFmtId="0" fontId="5" fillId="0" borderId="47" xfId="0" applyFont="1" applyBorder="1" applyAlignment="1" applyProtection="1">
      <alignment horizontal="center" wrapText="1"/>
      <protection hidden="1"/>
    </xf>
    <xf numFmtId="0" fontId="5" fillId="0" borderId="31" xfId="0" applyFont="1" applyBorder="1" applyAlignment="1" applyProtection="1">
      <alignment horizontal="center"/>
      <protection hidden="1"/>
    </xf>
    <xf numFmtId="3" fontId="5" fillId="0" borderId="31" xfId="0" applyNumberFormat="1" applyFont="1" applyBorder="1" applyAlignment="1" applyProtection="1">
      <alignment horizontal="center"/>
      <protection hidden="1"/>
    </xf>
    <xf numFmtId="0" fontId="66" fillId="0" borderId="0" xfId="0" applyFont="1" applyAlignment="1" applyProtection="1">
      <alignment horizontal="right"/>
      <protection hidden="1"/>
    </xf>
    <xf numFmtId="0" fontId="58" fillId="0" borderId="46" xfId="0" applyFont="1" applyBorder="1" applyAlignment="1" applyProtection="1">
      <alignment horizontal="center"/>
      <protection hidden="1"/>
    </xf>
    <xf numFmtId="3" fontId="66" fillId="0" borderId="46" xfId="0" applyNumberFormat="1" applyFont="1" applyBorder="1" applyAlignment="1" applyProtection="1">
      <alignment horizontal="center"/>
      <protection hidden="1"/>
    </xf>
    <xf numFmtId="0" fontId="18" fillId="11" borderId="0" xfId="0" applyFont="1" applyFill="1" applyProtection="1">
      <protection hidden="1"/>
    </xf>
    <xf numFmtId="0" fontId="16" fillId="11" borderId="0" xfId="0" applyFont="1" applyFill="1" applyProtection="1">
      <protection hidden="1"/>
    </xf>
    <xf numFmtId="0" fontId="16" fillId="0" borderId="0" xfId="0" applyFont="1" applyProtection="1">
      <protection hidden="1"/>
    </xf>
    <xf numFmtId="0" fontId="6" fillId="0" borderId="43" xfId="0" applyFont="1" applyBorder="1" applyProtection="1">
      <protection hidden="1"/>
    </xf>
    <xf numFmtId="0" fontId="12" fillId="0" borderId="43" xfId="2" applyFill="1" applyBorder="1" applyAlignment="1" applyProtection="1">
      <protection hidden="1"/>
    </xf>
    <xf numFmtId="0" fontId="27" fillId="0" borderId="31" xfId="0" applyFont="1" applyBorder="1" applyAlignment="1" applyProtection="1">
      <alignment horizontal="right"/>
      <protection hidden="1"/>
    </xf>
    <xf numFmtId="0" fontId="27" fillId="0" borderId="31" xfId="0" applyFont="1" applyBorder="1" applyAlignment="1" applyProtection="1">
      <alignment horizontal="left"/>
      <protection hidden="1"/>
    </xf>
    <xf numFmtId="0" fontId="19" fillId="0" borderId="31" xfId="0" applyFont="1" applyBorder="1" applyAlignment="1" applyProtection="1">
      <alignment horizontal="center"/>
      <protection hidden="1"/>
    </xf>
    <xf numFmtId="0" fontId="33" fillId="0" borderId="44" xfId="0" applyFont="1" applyBorder="1" applyAlignment="1" applyProtection="1">
      <alignment horizontal="center" vertical="center"/>
      <protection hidden="1"/>
    </xf>
    <xf numFmtId="0" fontId="26" fillId="0" borderId="46" xfId="0" applyFont="1" applyBorder="1" applyProtection="1">
      <protection hidden="1"/>
    </xf>
    <xf numFmtId="0" fontId="58" fillId="0" borderId="0" xfId="2" applyFont="1" applyBorder="1" applyAlignment="1" applyProtection="1">
      <alignment horizontal="center"/>
      <protection hidden="1"/>
    </xf>
    <xf numFmtId="9" fontId="65" fillId="0" borderId="0" xfId="0" applyNumberFormat="1" applyFont="1" applyAlignment="1" applyProtection="1">
      <alignment horizontal="center"/>
      <protection locked="0" hidden="1"/>
    </xf>
    <xf numFmtId="0" fontId="5" fillId="0" borderId="48" xfId="0" applyFont="1" applyBorder="1" applyProtection="1">
      <protection hidden="1"/>
    </xf>
    <xf numFmtId="166" fontId="5" fillId="0" borderId="48" xfId="0" applyNumberFormat="1" applyFont="1" applyBorder="1" applyAlignment="1" applyProtection="1">
      <alignment horizontal="center"/>
      <protection hidden="1"/>
    </xf>
    <xf numFmtId="166" fontId="5" fillId="0" borderId="0" xfId="0" applyNumberFormat="1" applyFont="1" applyAlignment="1" applyProtection="1">
      <alignment horizontal="center"/>
      <protection hidden="1"/>
    </xf>
    <xf numFmtId="167" fontId="5" fillId="0" borderId="0" xfId="0" applyNumberFormat="1" applyFont="1" applyAlignment="1" applyProtection="1">
      <alignment horizontal="center"/>
      <protection hidden="1"/>
    </xf>
    <xf numFmtId="0" fontId="28" fillId="6" borderId="0" xfId="0" applyFont="1" applyFill="1" applyAlignment="1" applyProtection="1">
      <alignment horizontal="center"/>
      <protection hidden="1"/>
    </xf>
    <xf numFmtId="166" fontId="28" fillId="0" borderId="0" xfId="0" applyNumberFormat="1" applyFont="1" applyAlignment="1" applyProtection="1">
      <alignment horizontal="center"/>
      <protection hidden="1"/>
    </xf>
    <xf numFmtId="0" fontId="26" fillId="13" borderId="0" xfId="0" applyFont="1" applyFill="1" applyAlignment="1" applyProtection="1">
      <alignment horizontal="center"/>
      <protection hidden="1"/>
    </xf>
    <xf numFmtId="3" fontId="26" fillId="13" borderId="0" xfId="0" applyNumberFormat="1" applyFont="1" applyFill="1" applyAlignment="1" applyProtection="1">
      <alignment horizontal="center"/>
      <protection hidden="1"/>
    </xf>
    <xf numFmtId="0" fontId="26" fillId="0" borderId="47" xfId="0" applyFont="1" applyBorder="1" applyProtection="1">
      <protection hidden="1"/>
    </xf>
    <xf numFmtId="0" fontId="19" fillId="0" borderId="47" xfId="0" applyFont="1" applyBorder="1" applyProtection="1">
      <protection hidden="1"/>
    </xf>
    <xf numFmtId="0" fontId="34" fillId="13" borderId="47" xfId="0" applyFont="1" applyFill="1" applyBorder="1" applyAlignment="1" applyProtection="1">
      <alignment horizontal="center"/>
      <protection hidden="1"/>
    </xf>
    <xf numFmtId="2" fontId="5" fillId="0" borderId="0" xfId="0" applyNumberFormat="1" applyFont="1" applyAlignment="1" applyProtection="1">
      <alignment horizontal="center"/>
      <protection hidden="1"/>
    </xf>
    <xf numFmtId="9" fontId="5" fillId="0" borderId="0" xfId="0" applyNumberFormat="1" applyFont="1" applyAlignment="1" applyProtection="1">
      <alignment horizontal="center"/>
      <protection hidden="1"/>
    </xf>
    <xf numFmtId="2" fontId="5" fillId="0" borderId="31" xfId="0" applyNumberFormat="1" applyFont="1" applyBorder="1" applyAlignment="1" applyProtection="1">
      <alignment horizontal="center"/>
      <protection hidden="1"/>
    </xf>
    <xf numFmtId="9" fontId="5" fillId="0" borderId="31" xfId="0" applyNumberFormat="1" applyFont="1" applyBorder="1" applyAlignment="1" applyProtection="1">
      <alignment horizontal="center"/>
      <protection hidden="1"/>
    </xf>
    <xf numFmtId="1" fontId="58" fillId="0" borderId="46" xfId="0" applyNumberFormat="1" applyFont="1" applyBorder="1" applyProtection="1">
      <protection hidden="1"/>
    </xf>
    <xf numFmtId="0" fontId="58" fillId="0" borderId="46" xfId="0" applyFont="1" applyBorder="1" applyProtection="1">
      <protection hidden="1"/>
    </xf>
    <xf numFmtId="0" fontId="35" fillId="0" borderId="42" xfId="0" applyFont="1" applyBorder="1" applyAlignment="1" applyProtection="1">
      <alignment horizontal="center"/>
      <protection hidden="1"/>
    </xf>
    <xf numFmtId="0" fontId="67" fillId="0" borderId="0" xfId="0" applyFont="1" applyProtection="1">
      <protection hidden="1"/>
    </xf>
    <xf numFmtId="0" fontId="69" fillId="0" borderId="0" xfId="0" applyFont="1" applyProtection="1">
      <protection hidden="1"/>
    </xf>
    <xf numFmtId="0" fontId="70" fillId="6" borderId="0" xfId="0" applyFont="1" applyFill="1" applyProtection="1">
      <protection hidden="1"/>
    </xf>
    <xf numFmtId="0" fontId="18" fillId="6" borderId="49" xfId="0" applyFont="1" applyFill="1" applyBorder="1" applyAlignment="1">
      <alignment horizontal="left"/>
    </xf>
    <xf numFmtId="0" fontId="0" fillId="0" borderId="49" xfId="0" applyBorder="1"/>
    <xf numFmtId="0" fontId="0" fillId="0" borderId="50" xfId="0" applyBorder="1"/>
    <xf numFmtId="3" fontId="0" fillId="0" borderId="32" xfId="0" applyNumberFormat="1" applyBorder="1" applyAlignment="1" applyProtection="1">
      <alignment horizontal="center"/>
      <protection hidden="1"/>
    </xf>
    <xf numFmtId="3" fontId="6" fillId="0" borderId="32" xfId="0" applyNumberFormat="1" applyFont="1" applyBorder="1" applyAlignment="1" applyProtection="1">
      <alignment horizontal="center"/>
      <protection hidden="1"/>
    </xf>
    <xf numFmtId="0" fontId="8" fillId="11" borderId="51" xfId="0" applyFont="1" applyFill="1" applyBorder="1"/>
    <xf numFmtId="0" fontId="8" fillId="11" borderId="52" xfId="0" applyFont="1" applyFill="1" applyBorder="1"/>
    <xf numFmtId="0" fontId="44" fillId="10" borderId="16" xfId="0" applyFont="1" applyFill="1" applyBorder="1" applyAlignment="1" applyProtection="1">
      <alignment horizontal="center"/>
      <protection locked="0"/>
    </xf>
    <xf numFmtId="49" fontId="44" fillId="10" borderId="16" xfId="0" applyNumberFormat="1" applyFont="1" applyFill="1" applyBorder="1" applyAlignment="1" applyProtection="1">
      <alignment horizontal="center"/>
      <protection locked="0"/>
    </xf>
    <xf numFmtId="49" fontId="45" fillId="10" borderId="16" xfId="0" applyNumberFormat="1" applyFont="1" applyFill="1" applyBorder="1" applyAlignment="1" applyProtection="1">
      <alignment horizontal="center"/>
      <protection locked="0"/>
    </xf>
    <xf numFmtId="0" fontId="44" fillId="10" borderId="16" xfId="0" applyFont="1" applyFill="1" applyBorder="1" applyProtection="1">
      <protection locked="0"/>
    </xf>
    <xf numFmtId="0" fontId="33" fillId="6" borderId="9" xfId="0" applyFont="1" applyFill="1" applyBorder="1" applyAlignment="1" applyProtection="1">
      <alignment horizontal="center"/>
      <protection hidden="1"/>
    </xf>
    <xf numFmtId="0" fontId="43" fillId="6" borderId="9" xfId="0" applyFont="1" applyFill="1" applyBorder="1" applyAlignment="1" applyProtection="1">
      <alignment horizontal="center"/>
      <protection hidden="1"/>
    </xf>
    <xf numFmtId="0" fontId="43" fillId="6" borderId="6" xfId="0" applyFont="1" applyFill="1" applyBorder="1" applyAlignment="1" applyProtection="1">
      <alignment horizontal="center"/>
      <protection hidden="1"/>
    </xf>
    <xf numFmtId="0" fontId="44" fillId="10" borderId="9" xfId="0" applyFont="1" applyFill="1" applyBorder="1" applyAlignment="1" applyProtection="1">
      <alignment horizontal="center"/>
      <protection locked="0"/>
    </xf>
    <xf numFmtId="0" fontId="45" fillId="10" borderId="9" xfId="0" applyFont="1" applyFill="1" applyBorder="1" applyAlignment="1" applyProtection="1">
      <alignment horizontal="center"/>
      <protection locked="0"/>
    </xf>
    <xf numFmtId="0" fontId="44" fillId="10" borderId="9" xfId="0" applyFont="1" applyFill="1" applyBorder="1" applyProtection="1">
      <protection locked="0"/>
    </xf>
    <xf numFmtId="0" fontId="8" fillId="11" borderId="0" xfId="0" applyFont="1" applyFill="1" applyProtection="1">
      <protection hidden="1"/>
    </xf>
    <xf numFmtId="49" fontId="9" fillId="11" borderId="0" xfId="0" applyNumberFormat="1" applyFont="1" applyFill="1" applyProtection="1">
      <protection hidden="1"/>
    </xf>
    <xf numFmtId="0" fontId="10" fillId="6" borderId="0" xfId="0" applyFont="1" applyFill="1" applyProtection="1">
      <protection hidden="1"/>
    </xf>
    <xf numFmtId="0" fontId="20" fillId="11" borderId="0" xfId="0" applyFont="1" applyFill="1"/>
    <xf numFmtId="0" fontId="17" fillId="11" borderId="0" xfId="0" applyFont="1" applyFill="1"/>
    <xf numFmtId="167" fontId="57" fillId="0" borderId="0" xfId="0" applyNumberFormat="1" applyFont="1" applyAlignment="1" applyProtection="1">
      <alignment horizontal="center"/>
      <protection hidden="1"/>
    </xf>
    <xf numFmtId="0" fontId="19" fillId="0" borderId="48" xfId="0" applyFont="1" applyBorder="1" applyProtection="1">
      <protection hidden="1"/>
    </xf>
    <xf numFmtId="0" fontId="0" fillId="0" borderId="48" xfId="0" applyBorder="1" applyProtection="1">
      <protection hidden="1"/>
    </xf>
    <xf numFmtId="0" fontId="0" fillId="0" borderId="48" xfId="0" applyBorder="1" applyAlignment="1" applyProtection="1">
      <alignment horizontal="center"/>
      <protection hidden="1"/>
    </xf>
    <xf numFmtId="0" fontId="26" fillId="4" borderId="31" xfId="0" applyFont="1" applyFill="1" applyBorder="1" applyProtection="1">
      <protection locked="0"/>
    </xf>
    <xf numFmtId="0" fontId="0" fillId="4" borderId="31" xfId="0" applyFill="1" applyBorder="1" applyProtection="1">
      <protection locked="0"/>
    </xf>
    <xf numFmtId="0" fontId="19" fillId="0" borderId="43" xfId="0" applyFont="1" applyBorder="1"/>
    <xf numFmtId="0" fontId="0" fillId="0" borderId="43" xfId="0" applyBorder="1"/>
    <xf numFmtId="0" fontId="63" fillId="10" borderId="0" xfId="0" applyFont="1" applyFill="1" applyAlignment="1" applyProtection="1">
      <alignment horizontal="center"/>
      <protection locked="0"/>
    </xf>
    <xf numFmtId="167" fontId="71" fillId="10" borderId="43" xfId="0" applyNumberFormat="1" applyFont="1" applyFill="1" applyBorder="1" applyAlignment="1" applyProtection="1">
      <alignment horizontal="center"/>
      <protection locked="0"/>
    </xf>
    <xf numFmtId="166" fontId="24" fillId="4" borderId="45" xfId="0" applyNumberFormat="1" applyFont="1" applyFill="1" applyBorder="1" applyAlignment="1" applyProtection="1">
      <alignment horizontal="center"/>
      <protection locked="0" hidden="1"/>
    </xf>
    <xf numFmtId="0" fontId="19" fillId="4" borderId="45" xfId="0" applyFont="1" applyFill="1" applyBorder="1" applyAlignment="1" applyProtection="1">
      <alignment horizontal="center"/>
      <protection locked="0" hidden="1"/>
    </xf>
    <xf numFmtId="2" fontId="19" fillId="12" borderId="45" xfId="0" applyNumberFormat="1" applyFont="1" applyFill="1" applyBorder="1" applyAlignment="1" applyProtection="1">
      <alignment horizontal="center"/>
      <protection locked="0"/>
    </xf>
    <xf numFmtId="166" fontId="24" fillId="4" borderId="53" xfId="0" applyNumberFormat="1" applyFont="1" applyFill="1" applyBorder="1" applyAlignment="1" applyProtection="1">
      <alignment horizontal="center"/>
      <protection locked="0" hidden="1"/>
    </xf>
    <xf numFmtId="0" fontId="19" fillId="4" borderId="53" xfId="0" applyFont="1" applyFill="1" applyBorder="1" applyAlignment="1" applyProtection="1">
      <alignment horizontal="center"/>
      <protection locked="0" hidden="1"/>
    </xf>
    <xf numFmtId="2" fontId="19" fillId="12" borderId="53" xfId="0" applyNumberFormat="1" applyFont="1" applyFill="1" applyBorder="1" applyAlignment="1" applyProtection="1">
      <alignment horizontal="center"/>
      <protection locked="0"/>
    </xf>
    <xf numFmtId="166" fontId="24" fillId="4" borderId="46" xfId="0" applyNumberFormat="1" applyFont="1" applyFill="1" applyBorder="1" applyAlignment="1" applyProtection="1">
      <alignment horizontal="center"/>
      <protection locked="0" hidden="1"/>
    </xf>
    <xf numFmtId="0" fontId="19" fillId="4" borderId="46" xfId="0" applyFont="1" applyFill="1" applyBorder="1" applyAlignment="1" applyProtection="1">
      <alignment horizontal="center"/>
      <protection locked="0" hidden="1"/>
    </xf>
    <xf numFmtId="2" fontId="19" fillId="12" borderId="46" xfId="0" applyNumberFormat="1" applyFont="1" applyFill="1" applyBorder="1" applyAlignment="1" applyProtection="1">
      <alignment horizontal="center"/>
      <protection locked="0"/>
    </xf>
    <xf numFmtId="0" fontId="72" fillId="0" borderId="0" xfId="2" applyFont="1" applyAlignment="1" applyProtection="1">
      <alignment horizontal="left"/>
      <protection hidden="1"/>
    </xf>
    <xf numFmtId="0" fontId="72" fillId="0" borderId="0" xfId="2" applyFont="1" applyFill="1" applyBorder="1" applyAlignment="1" applyProtection="1">
      <alignment horizontal="center"/>
      <protection hidden="1"/>
    </xf>
    <xf numFmtId="0" fontId="5" fillId="0" borderId="45" xfId="0" applyFont="1" applyBorder="1" applyAlignment="1" applyProtection="1">
      <alignment horizontal="center"/>
      <protection hidden="1"/>
    </xf>
    <xf numFmtId="0" fontId="19" fillId="0" borderId="32" xfId="0" applyFont="1" applyBorder="1" applyAlignment="1" applyProtection="1">
      <alignment horizontal="center"/>
      <protection hidden="1"/>
    </xf>
    <xf numFmtId="0" fontId="66" fillId="0" borderId="0" xfId="0" applyFont="1"/>
    <xf numFmtId="0" fontId="0" fillId="0" borderId="55" xfId="0" applyBorder="1"/>
    <xf numFmtId="0" fontId="18" fillId="6" borderId="56" xfId="0" applyFont="1" applyFill="1" applyBorder="1" applyAlignment="1">
      <alignment horizontal="left"/>
    </xf>
    <xf numFmtId="0" fontId="0" fillId="0" borderId="56" xfId="0" applyBorder="1"/>
    <xf numFmtId="0" fontId="12" fillId="0" borderId="42" xfId="2" applyBorder="1" applyAlignment="1" applyProtection="1">
      <alignment horizontal="center"/>
    </xf>
    <xf numFmtId="0" fontId="0" fillId="0" borderId="57" xfId="0" applyBorder="1"/>
    <xf numFmtId="0" fontId="0" fillId="0" borderId="58" xfId="0" applyBorder="1"/>
    <xf numFmtId="0" fontId="35" fillId="0" borderId="58" xfId="0" applyFont="1" applyBorder="1" applyAlignment="1" applyProtection="1">
      <alignment horizontal="center"/>
      <protection hidden="1"/>
    </xf>
    <xf numFmtId="0" fontId="73" fillId="0" borderId="58" xfId="0" applyFont="1" applyBorder="1"/>
    <xf numFmtId="0" fontId="64" fillId="0" borderId="0" xfId="2" applyFont="1" applyAlignment="1" applyProtection="1">
      <alignment horizontal="left"/>
      <protection hidden="1"/>
    </xf>
    <xf numFmtId="0" fontId="0" fillId="0" borderId="0" xfId="0" quotePrefix="1" applyAlignment="1" applyProtection="1">
      <alignment horizontal="center"/>
      <protection hidden="1"/>
    </xf>
    <xf numFmtId="2" fontId="19" fillId="0" borderId="0" xfId="0" applyNumberFormat="1" applyFont="1" applyAlignment="1" applyProtection="1">
      <alignment horizontal="center" vertical="center"/>
      <protection hidden="1"/>
    </xf>
    <xf numFmtId="3" fontId="6" fillId="0" borderId="0" xfId="0" applyNumberFormat="1" applyFont="1" applyAlignment="1" applyProtection="1">
      <alignment horizontal="center" vertic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2" fillId="6" borderId="0" xfId="0" applyFont="1" applyFill="1" applyAlignment="1" applyProtection="1">
      <alignment horizontal="center"/>
      <protection hidden="1"/>
    </xf>
    <xf numFmtId="166" fontId="19" fillId="0" borderId="0" xfId="0" applyNumberFormat="1" applyFont="1" applyAlignment="1" applyProtection="1">
      <alignment horizontal="center" vertical="center"/>
      <protection hidden="1"/>
    </xf>
    <xf numFmtId="0" fontId="29" fillId="0" borderId="0" xfId="0" applyFont="1" applyAlignment="1">
      <alignment horizontal="center"/>
    </xf>
    <xf numFmtId="0" fontId="0" fillId="11" borderId="0" xfId="0" applyFill="1" applyProtection="1">
      <protection hidden="1"/>
    </xf>
    <xf numFmtId="0" fontId="0" fillId="0" borderId="47" xfId="0" applyBorder="1" applyProtection="1">
      <protection hidden="1"/>
    </xf>
    <xf numFmtId="0" fontId="19" fillId="0" borderId="47" xfId="0" applyFont="1" applyBorder="1" applyAlignment="1" applyProtection="1">
      <alignment horizontal="center"/>
      <protection hidden="1"/>
    </xf>
    <xf numFmtId="0" fontId="0" fillId="0" borderId="43" xfId="0" applyBorder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 wrapText="1"/>
      <protection hidden="1"/>
    </xf>
    <xf numFmtId="0" fontId="3" fillId="10" borderId="0" xfId="0" applyFont="1" applyFill="1" applyAlignment="1" applyProtection="1">
      <alignment horizontal="center" vertical="center"/>
      <protection locked="0"/>
    </xf>
    <xf numFmtId="0" fontId="0" fillId="10" borderId="0" xfId="0" applyFill="1"/>
    <xf numFmtId="0" fontId="0" fillId="10" borderId="0" xfId="0" applyFill="1" applyAlignment="1">
      <alignment vertical="center"/>
    </xf>
    <xf numFmtId="0" fontId="0" fillId="0" borderId="47" xfId="0" applyBorder="1" applyAlignment="1">
      <alignment horizontal="center"/>
    </xf>
    <xf numFmtId="0" fontId="0" fillId="0" borderId="47" xfId="0" applyBorder="1" applyAlignment="1" applyProtection="1">
      <alignment horizontal="center"/>
      <protection hidden="1"/>
    </xf>
    <xf numFmtId="0" fontId="0" fillId="0" borderId="43" xfId="0" applyBorder="1" applyAlignment="1">
      <alignment horizontal="center" wrapText="1"/>
    </xf>
    <xf numFmtId="0" fontId="0" fillId="0" borderId="43" xfId="0" applyBorder="1" applyAlignment="1" applyProtection="1">
      <alignment horizontal="center" wrapText="1"/>
      <protection hidden="1"/>
    </xf>
    <xf numFmtId="0" fontId="67" fillId="0" borderId="43" xfId="0" applyFont="1" applyBorder="1" applyAlignment="1" applyProtection="1">
      <alignment wrapText="1"/>
      <protection hidden="1"/>
    </xf>
    <xf numFmtId="0" fontId="67" fillId="0" borderId="43" xfId="0" applyFont="1" applyBorder="1" applyAlignment="1" applyProtection="1">
      <alignment horizontal="center" wrapText="1"/>
      <protection hidden="1"/>
    </xf>
    <xf numFmtId="0" fontId="3" fillId="10" borderId="31" xfId="0" applyFont="1" applyFill="1" applyBorder="1" applyAlignment="1" applyProtection="1">
      <alignment horizontal="center" vertical="center"/>
      <protection locked="0"/>
    </xf>
    <xf numFmtId="0" fontId="0" fillId="10" borderId="31" xfId="0" applyFill="1" applyBorder="1"/>
    <xf numFmtId="0" fontId="0" fillId="10" borderId="31" xfId="0" applyFill="1" applyBorder="1" applyAlignment="1">
      <alignment vertical="center"/>
    </xf>
    <xf numFmtId="0" fontId="5" fillId="0" borderId="43" xfId="0" applyFont="1" applyBorder="1" applyAlignment="1">
      <alignment horizontal="left"/>
    </xf>
    <xf numFmtId="0" fontId="2" fillId="0" borderId="43" xfId="0" applyFont="1" applyBorder="1" applyAlignment="1">
      <alignment horizontal="center"/>
    </xf>
    <xf numFmtId="0" fontId="0" fillId="0" borderId="53" xfId="0" applyBorder="1" applyAlignment="1">
      <alignment horizontal="center"/>
    </xf>
    <xf numFmtId="0" fontId="5" fillId="0" borderId="43" xfId="0" applyFont="1" applyBorder="1" applyAlignment="1" applyProtection="1">
      <alignment horizontal="center"/>
      <protection hidden="1"/>
    </xf>
    <xf numFmtId="0" fontId="36" fillId="0" borderId="0" xfId="0" applyFont="1" applyProtection="1">
      <protection hidden="1"/>
    </xf>
    <xf numFmtId="2" fontId="19" fillId="0" borderId="45" xfId="0" applyNumberFormat="1" applyFont="1" applyBorder="1" applyAlignment="1" applyProtection="1">
      <alignment horizontal="center" vertical="center"/>
      <protection hidden="1"/>
    </xf>
    <xf numFmtId="0" fontId="63" fillId="10" borderId="0" xfId="0" applyFont="1" applyFill="1" applyAlignment="1" applyProtection="1">
      <alignment horizontal="center" vertical="center"/>
      <protection locked="0"/>
    </xf>
    <xf numFmtId="0" fontId="6" fillId="0" borderId="31" xfId="0" applyFont="1" applyBorder="1" applyProtection="1">
      <protection hidden="1"/>
    </xf>
    <xf numFmtId="0" fontId="63" fillId="10" borderId="31" xfId="0" applyFont="1" applyFill="1" applyBorder="1" applyAlignment="1" applyProtection="1">
      <alignment horizontal="center" vertical="center"/>
      <protection locked="0"/>
    </xf>
    <xf numFmtId="0" fontId="71" fillId="10" borderId="43" xfId="0" applyFont="1" applyFill="1" applyBorder="1" applyAlignment="1" applyProtection="1">
      <alignment horizontal="center"/>
      <protection locked="0" hidden="1"/>
    </xf>
    <xf numFmtId="0" fontId="0" fillId="0" borderId="31" xfId="0" applyBorder="1" applyAlignment="1">
      <alignment vertical="center"/>
    </xf>
    <xf numFmtId="2" fontId="6" fillId="0" borderId="43" xfId="0" applyNumberFormat="1" applyFont="1" applyBorder="1" applyAlignment="1" applyProtection="1">
      <alignment horizontal="center" vertical="center"/>
      <protection hidden="1"/>
    </xf>
    <xf numFmtId="0" fontId="0" fillId="0" borderId="45" xfId="0" applyBorder="1"/>
    <xf numFmtId="0" fontId="2" fillId="6" borderId="43" xfId="0" applyFont="1" applyFill="1" applyBorder="1" applyAlignment="1" applyProtection="1">
      <alignment horizontal="center"/>
      <protection hidden="1"/>
    </xf>
    <xf numFmtId="0" fontId="66" fillId="0" borderId="0" xfId="0" applyFont="1" applyProtection="1">
      <protection hidden="1"/>
    </xf>
    <xf numFmtId="166" fontId="66" fillId="0" borderId="0" xfId="0" applyNumberFormat="1" applyFont="1" applyAlignment="1" applyProtection="1">
      <alignment horizontal="center"/>
      <protection hidden="1"/>
    </xf>
    <xf numFmtId="0" fontId="75" fillId="0" borderId="0" xfId="0" applyFont="1"/>
    <xf numFmtId="0" fontId="63" fillId="10" borderId="47" xfId="0" applyFont="1" applyFill="1" applyBorder="1" applyAlignment="1" applyProtection="1">
      <alignment horizontal="center" vertical="center"/>
      <protection locked="0"/>
    </xf>
    <xf numFmtId="0" fontId="19" fillId="0" borderId="31" xfId="0" applyFont="1" applyBorder="1" applyAlignment="1" applyProtection="1">
      <alignment horizontal="center" vertical="center"/>
      <protection hidden="1"/>
    </xf>
    <xf numFmtId="0" fontId="63" fillId="10" borderId="45" xfId="0" applyFont="1" applyFill="1" applyBorder="1" applyAlignment="1" applyProtection="1">
      <alignment horizontal="center" vertical="center"/>
      <protection locked="0"/>
    </xf>
    <xf numFmtId="0" fontId="0" fillId="0" borderId="47" xfId="0" applyBorder="1" applyAlignment="1">
      <alignment vertical="center"/>
    </xf>
    <xf numFmtId="166" fontId="6" fillId="0" borderId="43" xfId="0" applyNumberFormat="1" applyFont="1" applyBorder="1" applyAlignment="1" applyProtection="1">
      <alignment horizontal="center" vertical="center"/>
      <protection hidden="1"/>
    </xf>
    <xf numFmtId="0" fontId="67" fillId="10" borderId="0" xfId="0" applyFont="1" applyFill="1" applyAlignment="1" applyProtection="1">
      <alignment horizontal="center" vertical="center"/>
      <protection locked="0"/>
    </xf>
    <xf numFmtId="0" fontId="3" fillId="0" borderId="42" xfId="0" applyFont="1" applyBorder="1" applyAlignment="1">
      <alignment horizontal="right"/>
    </xf>
    <xf numFmtId="0" fontId="5" fillId="0" borderId="0" xfId="0" applyFont="1" applyAlignment="1" applyProtection="1">
      <alignment horizontal="left"/>
      <protection hidden="1"/>
    </xf>
    <xf numFmtId="0" fontId="2" fillId="0" borderId="0" xfId="0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166" fontId="19" fillId="0" borderId="0" xfId="0" applyNumberFormat="1" applyFont="1" applyAlignment="1">
      <alignment horizontal="center"/>
    </xf>
    <xf numFmtId="0" fontId="0" fillId="0" borderId="53" xfId="0" applyBorder="1" applyAlignment="1" applyProtection="1">
      <alignment horizontal="center"/>
      <protection hidden="1"/>
    </xf>
    <xf numFmtId="2" fontId="19" fillId="0" borderId="43" xfId="0" applyNumberFormat="1" applyFont="1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wrapText="1"/>
      <protection hidden="1"/>
    </xf>
    <xf numFmtId="3" fontId="26" fillId="0" borderId="43" xfId="0" applyNumberFormat="1" applyFont="1" applyBorder="1" applyAlignment="1" applyProtection="1">
      <alignment horizontal="center" vertical="center"/>
      <protection hidden="1"/>
    </xf>
    <xf numFmtId="0" fontId="19" fillId="0" borderId="42" xfId="0" applyFont="1" applyBorder="1"/>
    <xf numFmtId="0" fontId="0" fillId="0" borderId="42" xfId="0" applyBorder="1" applyAlignment="1">
      <alignment horizontal="center"/>
    </xf>
    <xf numFmtId="166" fontId="19" fillId="0" borderId="42" xfId="0" applyNumberFormat="1" applyFont="1" applyBorder="1" applyAlignment="1">
      <alignment horizontal="center"/>
    </xf>
    <xf numFmtId="168" fontId="6" fillId="0" borderId="0" xfId="0" applyNumberFormat="1" applyFont="1" applyAlignment="1" applyProtection="1">
      <alignment horizontal="center"/>
      <protection hidden="1"/>
    </xf>
    <xf numFmtId="0" fontId="26" fillId="0" borderId="47" xfId="0" applyFont="1" applyBorder="1" applyAlignment="1" applyProtection="1">
      <alignment horizontal="center"/>
      <protection hidden="1"/>
    </xf>
    <xf numFmtId="0" fontId="67" fillId="10" borderId="0" xfId="0" applyFont="1" applyFill="1" applyAlignment="1" applyProtection="1">
      <alignment horizontal="center" vertical="center"/>
      <protection locked="0" hidden="1"/>
    </xf>
    <xf numFmtId="2" fontId="67" fillId="10" borderId="0" xfId="0" applyNumberFormat="1" applyFont="1" applyFill="1" applyAlignment="1" applyProtection="1">
      <alignment horizontal="center" vertical="center"/>
      <protection locked="0"/>
    </xf>
    <xf numFmtId="0" fontId="67" fillId="10" borderId="31" xfId="0" applyFont="1" applyFill="1" applyBorder="1" applyAlignment="1" applyProtection="1">
      <alignment horizontal="center" vertical="center"/>
      <protection locked="0" hidden="1"/>
    </xf>
    <xf numFmtId="0" fontId="67" fillId="10" borderId="31" xfId="0" applyFont="1" applyFill="1" applyBorder="1" applyAlignment="1" applyProtection="1">
      <alignment horizontal="center" vertical="center"/>
      <protection locked="0"/>
    </xf>
    <xf numFmtId="2" fontId="67" fillId="10" borderId="31" xfId="0" applyNumberFormat="1" applyFont="1" applyFill="1" applyBorder="1" applyAlignment="1" applyProtection="1">
      <alignment horizontal="center" vertical="center"/>
      <protection locked="0"/>
    </xf>
    <xf numFmtId="0" fontId="49" fillId="0" borderId="45" xfId="0" applyFont="1" applyBorder="1" applyProtection="1">
      <protection hidden="1"/>
    </xf>
    <xf numFmtId="0" fontId="0" fillId="0" borderId="45" xfId="0" applyBorder="1" applyAlignment="1">
      <alignment horizontal="center"/>
    </xf>
    <xf numFmtId="0" fontId="67" fillId="0" borderId="43" xfId="0" applyFont="1" applyBorder="1" applyAlignment="1" applyProtection="1">
      <alignment horizontal="right" wrapText="1"/>
      <protection hidden="1"/>
    </xf>
    <xf numFmtId="0" fontId="67" fillId="0" borderId="43" xfId="0" applyFont="1" applyBorder="1" applyAlignment="1" applyProtection="1">
      <alignment horizontal="left" wrapText="1"/>
      <protection hidden="1"/>
    </xf>
    <xf numFmtId="0" fontId="0" fillId="10" borderId="53" xfId="0" applyFill="1" applyBorder="1" applyAlignment="1">
      <alignment vertical="center"/>
    </xf>
    <xf numFmtId="0" fontId="67" fillId="0" borderId="0" xfId="0" applyFont="1"/>
    <xf numFmtId="0" fontId="67" fillId="10" borderId="53" xfId="0" applyFont="1" applyFill="1" applyBorder="1" applyAlignment="1" applyProtection="1">
      <alignment horizontal="center" vertical="center"/>
      <protection locked="0"/>
    </xf>
    <xf numFmtId="0" fontId="0" fillId="0" borderId="47" xfId="0" applyBorder="1"/>
    <xf numFmtId="0" fontId="49" fillId="0" borderId="47" xfId="0" applyFont="1" applyBorder="1" applyProtection="1">
      <protection hidden="1"/>
    </xf>
    <xf numFmtId="166" fontId="0" fillId="0" borderId="47" xfId="0" applyNumberFormat="1" applyBorder="1" applyAlignment="1">
      <alignment horizontal="center"/>
    </xf>
    <xf numFmtId="2" fontId="19" fillId="0" borderId="31" xfId="0" applyNumberFormat="1" applyFont="1" applyBorder="1" applyAlignment="1" applyProtection="1">
      <alignment horizontal="center" vertical="center"/>
      <protection hidden="1"/>
    </xf>
    <xf numFmtId="2" fontId="6" fillId="0" borderId="43" xfId="0" applyNumberFormat="1" applyFont="1" applyBorder="1" applyAlignment="1" applyProtection="1">
      <alignment horizontal="center"/>
      <protection hidden="1"/>
    </xf>
    <xf numFmtId="0" fontId="19" fillId="0" borderId="47" xfId="0" applyFont="1" applyBorder="1" applyAlignment="1" applyProtection="1">
      <alignment horizontal="left"/>
      <protection hidden="1"/>
    </xf>
    <xf numFmtId="0" fontId="19" fillId="0" borderId="31" xfId="0" applyFont="1" applyBorder="1" applyAlignment="1" applyProtection="1">
      <alignment horizontal="left" vertical="center"/>
      <protection hidden="1"/>
    </xf>
    <xf numFmtId="0" fontId="3" fillId="0" borderId="31" xfId="0" applyFont="1" applyBorder="1" applyAlignment="1" applyProtection="1">
      <alignment horizontal="center" vertical="center"/>
      <protection hidden="1"/>
    </xf>
    <xf numFmtId="0" fontId="5" fillId="0" borderId="31" xfId="0" applyFont="1" applyBorder="1" applyAlignment="1" applyProtection="1">
      <alignment horizontal="center" vertical="center"/>
      <protection hidden="1"/>
    </xf>
    <xf numFmtId="166" fontId="6" fillId="0" borderId="31" xfId="0" applyNumberFormat="1" applyFont="1" applyBorder="1" applyAlignment="1" applyProtection="1">
      <alignment horizontal="center" vertical="center"/>
      <protection hidden="1"/>
    </xf>
    <xf numFmtId="0" fontId="76" fillId="10" borderId="47" xfId="0" applyFont="1" applyFill="1" applyBorder="1" applyAlignment="1" applyProtection="1">
      <alignment horizontal="center" wrapText="1"/>
      <protection locked="0"/>
    </xf>
    <xf numFmtId="2" fontId="19" fillId="0" borderId="0" xfId="0" applyNumberFormat="1" applyFont="1" applyAlignment="1" applyProtection="1">
      <alignment horizontal="center"/>
      <protection hidden="1"/>
    </xf>
    <xf numFmtId="0" fontId="2" fillId="6" borderId="0" xfId="0" applyFont="1" applyFill="1" applyAlignment="1">
      <alignment horizontal="center"/>
    </xf>
    <xf numFmtId="1" fontId="52" fillId="6" borderId="0" xfId="0" applyNumberFormat="1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166" fontId="19" fillId="0" borderId="0" xfId="0" applyNumberFormat="1" applyFont="1" applyAlignment="1" applyProtection="1">
      <alignment horizontal="center"/>
      <protection hidden="1"/>
    </xf>
    <xf numFmtId="0" fontId="63" fillId="10" borderId="31" xfId="0" applyFont="1" applyFill="1" applyBorder="1" applyAlignment="1" applyProtection="1">
      <alignment horizontal="center"/>
      <protection locked="0"/>
    </xf>
    <xf numFmtId="0" fontId="67" fillId="10" borderId="43" xfId="0" applyFont="1" applyFill="1" applyBorder="1" applyAlignment="1" applyProtection="1">
      <alignment horizontal="center" vertical="center"/>
      <protection locked="0"/>
    </xf>
    <xf numFmtId="0" fontId="0" fillId="10" borderId="43" xfId="0" applyFill="1" applyBorder="1"/>
    <xf numFmtId="0" fontId="0" fillId="10" borderId="43" xfId="0" applyFill="1" applyBorder="1" applyAlignment="1">
      <alignment vertical="center"/>
    </xf>
    <xf numFmtId="2" fontId="19" fillId="0" borderId="45" xfId="0" applyNumberFormat="1" applyFont="1" applyBorder="1" applyAlignment="1" applyProtection="1">
      <alignment horizontal="center"/>
      <protection hidden="1"/>
    </xf>
    <xf numFmtId="0" fontId="63" fillId="10" borderId="47" xfId="0" applyFont="1" applyFill="1" applyBorder="1" applyAlignment="1" applyProtection="1">
      <alignment horizontal="center"/>
      <protection locked="0"/>
    </xf>
    <xf numFmtId="3" fontId="6" fillId="0" borderId="47" xfId="0" applyNumberFormat="1" applyFont="1" applyBorder="1" applyAlignment="1" applyProtection="1">
      <alignment horizontal="center"/>
      <protection hidden="1"/>
    </xf>
    <xf numFmtId="2" fontId="6" fillId="0" borderId="31" xfId="0" applyNumberFormat="1" applyFont="1" applyBorder="1" applyAlignment="1" applyProtection="1">
      <alignment horizontal="center"/>
      <protection hidden="1"/>
    </xf>
    <xf numFmtId="0" fontId="19" fillId="0" borderId="53" xfId="0" applyFont="1" applyBorder="1" applyProtection="1">
      <protection hidden="1"/>
    </xf>
    <xf numFmtId="0" fontId="0" fillId="0" borderId="53" xfId="0" applyBorder="1" applyProtection="1">
      <protection hidden="1"/>
    </xf>
    <xf numFmtId="0" fontId="0" fillId="6" borderId="31" xfId="0" applyFill="1" applyBorder="1" applyAlignment="1" applyProtection="1">
      <alignment horizontal="center"/>
      <protection hidden="1"/>
    </xf>
    <xf numFmtId="0" fontId="0" fillId="10" borderId="31" xfId="0" applyFill="1" applyBorder="1" applyAlignment="1" applyProtection="1">
      <alignment horizontal="center" wrapText="1"/>
      <protection hidden="1"/>
    </xf>
    <xf numFmtId="0" fontId="73" fillId="0" borderId="0" xfId="0" applyFont="1" applyProtection="1">
      <protection hidden="1"/>
    </xf>
    <xf numFmtId="166" fontId="73" fillId="0" borderId="0" xfId="0" applyNumberFormat="1" applyFont="1" applyAlignment="1" applyProtection="1">
      <alignment horizontal="center"/>
      <protection hidden="1"/>
    </xf>
    <xf numFmtId="0" fontId="19" fillId="0" borderId="43" xfId="0" applyFont="1" applyBorder="1" applyAlignment="1" applyProtection="1">
      <alignment horizontal="center"/>
      <protection hidden="1"/>
    </xf>
    <xf numFmtId="0" fontId="67" fillId="10" borderId="0" xfId="0" applyFont="1" applyFill="1" applyAlignment="1" applyProtection="1">
      <alignment horizontal="center" wrapText="1"/>
      <protection locked="0"/>
    </xf>
    <xf numFmtId="0" fontId="67" fillId="10" borderId="0" xfId="0" applyFont="1" applyFill="1" applyAlignment="1" applyProtection="1">
      <alignment horizontal="center"/>
      <protection locked="0"/>
    </xf>
    <xf numFmtId="0" fontId="67" fillId="10" borderId="43" xfId="0" applyFont="1" applyFill="1" applyBorder="1" applyAlignment="1" applyProtection="1">
      <alignment horizontal="center"/>
      <protection locked="0"/>
    </xf>
    <xf numFmtId="0" fontId="5" fillId="0" borderId="31" xfId="0" applyFont="1" applyBorder="1" applyAlignment="1" applyProtection="1">
      <alignment horizontal="right" vertical="center"/>
      <protection hidden="1"/>
    </xf>
    <xf numFmtId="2" fontId="3" fillId="10" borderId="31" xfId="0" applyNumberFormat="1" applyFont="1" applyFill="1" applyBorder="1" applyAlignment="1" applyProtection="1">
      <alignment horizontal="center" vertical="center"/>
      <protection locked="0"/>
    </xf>
    <xf numFmtId="0" fontId="19" fillId="0" borderId="47" xfId="0" applyFont="1" applyBorder="1" applyAlignment="1" applyProtection="1">
      <alignment horizontal="center" vertical="center"/>
      <protection hidden="1"/>
    </xf>
    <xf numFmtId="166" fontId="6" fillId="0" borderId="43" xfId="0" applyNumberFormat="1" applyFont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2" fontId="6" fillId="0" borderId="0" xfId="0" applyNumberFormat="1" applyFont="1" applyAlignment="1" applyProtection="1">
      <alignment horizontal="center"/>
      <protection hidden="1"/>
    </xf>
    <xf numFmtId="0" fontId="67" fillId="0" borderId="0" xfId="0" applyFont="1" applyAlignment="1" applyProtection="1">
      <alignment horizontal="left" vertical="center"/>
      <protection hidden="1"/>
    </xf>
    <xf numFmtId="0" fontId="19" fillId="0" borderId="48" xfId="0" applyFont="1" applyBorder="1"/>
    <xf numFmtId="0" fontId="0" fillId="0" borderId="48" xfId="0" applyBorder="1"/>
    <xf numFmtId="0" fontId="0" fillId="0" borderId="48" xfId="0" applyBorder="1" applyAlignment="1">
      <alignment horizontal="center"/>
    </xf>
    <xf numFmtId="0" fontId="0" fillId="0" borderId="43" xfId="0" applyBorder="1" applyAlignment="1">
      <alignment horizontal="center"/>
    </xf>
    <xf numFmtId="0" fontId="63" fillId="10" borderId="48" xfId="0" applyFont="1" applyFill="1" applyBorder="1" applyAlignment="1" applyProtection="1">
      <alignment horizontal="center"/>
      <protection locked="0"/>
    </xf>
    <xf numFmtId="0" fontId="19" fillId="0" borderId="43" xfId="0" applyFont="1" applyBorder="1" applyAlignment="1" applyProtection="1">
      <alignment horizontal="left" vertical="center"/>
      <protection hidden="1"/>
    </xf>
    <xf numFmtId="0" fontId="3" fillId="0" borderId="43" xfId="0" applyFont="1" applyBorder="1" applyAlignment="1" applyProtection="1">
      <alignment horizontal="center" vertical="center"/>
      <protection hidden="1"/>
    </xf>
    <xf numFmtId="0" fontId="5" fillId="0" borderId="43" xfId="0" applyFont="1" applyBorder="1" applyAlignment="1" applyProtection="1">
      <alignment horizontal="center" vertical="center"/>
      <protection hidden="1"/>
    </xf>
    <xf numFmtId="0" fontId="40" fillId="0" borderId="42" xfId="0" applyFont="1" applyBorder="1" applyAlignment="1" applyProtection="1">
      <alignment horizontal="left"/>
      <protection hidden="1"/>
    </xf>
    <xf numFmtId="0" fontId="5" fillId="0" borderId="0" xfId="0" applyFont="1" applyAlignment="1">
      <alignment horizontal="left"/>
    </xf>
    <xf numFmtId="2" fontId="6" fillId="0" borderId="31" xfId="0" applyNumberFormat="1" applyFont="1" applyBorder="1" applyAlignment="1" applyProtection="1">
      <alignment horizontal="center" vertical="center"/>
      <protection hidden="1"/>
    </xf>
    <xf numFmtId="3" fontId="6" fillId="0" borderId="47" xfId="0" applyNumberFormat="1" applyFont="1" applyBorder="1" applyAlignment="1" applyProtection="1">
      <alignment horizontal="center" vertical="center"/>
      <protection hidden="1"/>
    </xf>
    <xf numFmtId="0" fontId="73" fillId="0" borderId="0" xfId="0" applyFont="1"/>
    <xf numFmtId="0" fontId="3" fillId="0" borderId="42" xfId="0" applyFont="1" applyBorder="1" applyAlignment="1">
      <alignment horizontal="center" vertical="center"/>
    </xf>
    <xf numFmtId="166" fontId="6" fillId="0" borderId="42" xfId="0" applyNumberFormat="1" applyFont="1" applyBorder="1" applyAlignment="1">
      <alignment horizontal="center"/>
    </xf>
    <xf numFmtId="0" fontId="19" fillId="0" borderId="31" xfId="0" applyFont="1" applyBorder="1" applyAlignment="1" applyProtection="1">
      <alignment vertical="center"/>
      <protection hidden="1"/>
    </xf>
    <xf numFmtId="0" fontId="71" fillId="10" borderId="31" xfId="0" applyFont="1" applyFill="1" applyBorder="1" applyAlignment="1" applyProtection="1">
      <alignment horizontal="center"/>
      <protection locked="0" hidden="1"/>
    </xf>
    <xf numFmtId="0" fontId="19" fillId="0" borderId="45" xfId="0" applyFont="1" applyBorder="1" applyAlignment="1" applyProtection="1">
      <alignment horizontal="right" vertical="center"/>
      <protection hidden="1"/>
    </xf>
    <xf numFmtId="0" fontId="5" fillId="0" borderId="45" xfId="0" applyFont="1" applyBorder="1" applyAlignment="1" applyProtection="1">
      <alignment horizontal="center" vertical="center"/>
      <protection hidden="1"/>
    </xf>
    <xf numFmtId="0" fontId="19" fillId="0" borderId="48" xfId="0" applyFont="1" applyBorder="1" applyAlignment="1" applyProtection="1">
      <alignment horizontal="center" vertical="center"/>
      <protection hidden="1"/>
    </xf>
    <xf numFmtId="3" fontId="63" fillId="10" borderId="0" xfId="0" applyNumberFormat="1" applyFont="1" applyFill="1" applyAlignment="1" applyProtection="1">
      <alignment horizontal="center"/>
      <protection locked="0"/>
    </xf>
    <xf numFmtId="0" fontId="54" fillId="0" borderId="42" xfId="0" applyFont="1" applyBorder="1" applyAlignment="1" applyProtection="1">
      <alignment horizontal="left"/>
      <protection hidden="1"/>
    </xf>
    <xf numFmtId="3" fontId="78" fillId="6" borderId="0" xfId="0" applyNumberFormat="1" applyFont="1" applyFill="1" applyProtection="1">
      <protection locked="0"/>
    </xf>
    <xf numFmtId="0" fontId="63" fillId="10" borderId="31" xfId="0" applyFont="1" applyFill="1" applyBorder="1" applyAlignment="1" applyProtection="1">
      <alignment horizontal="center" vertical="center"/>
      <protection locked="0" hidden="1"/>
    </xf>
    <xf numFmtId="0" fontId="59" fillId="0" borderId="42" xfId="0" applyFont="1" applyBorder="1" applyAlignment="1" applyProtection="1">
      <alignment horizontal="left"/>
      <protection hidden="1"/>
    </xf>
    <xf numFmtId="0" fontId="72" fillId="0" borderId="0" xfId="2" applyFont="1" applyAlignment="1" applyProtection="1"/>
    <xf numFmtId="0" fontId="65" fillId="10" borderId="45" xfId="0" applyFont="1" applyFill="1" applyBorder="1" applyAlignment="1" applyProtection="1">
      <alignment horizontal="center"/>
      <protection locked="0"/>
    </xf>
    <xf numFmtId="166" fontId="26" fillId="0" borderId="31" xfId="0" applyNumberFormat="1" applyFont="1" applyBorder="1" applyAlignment="1" applyProtection="1">
      <alignment horizontal="center"/>
      <protection hidden="1"/>
    </xf>
    <xf numFmtId="2" fontId="28" fillId="0" borderId="43" xfId="0" applyNumberFormat="1" applyFont="1" applyBorder="1" applyAlignment="1" applyProtection="1">
      <alignment horizontal="center"/>
      <protection hidden="1"/>
    </xf>
    <xf numFmtId="166" fontId="65" fillId="10" borderId="47" xfId="0" applyNumberFormat="1" applyFont="1" applyFill="1" applyBorder="1" applyAlignment="1" applyProtection="1">
      <alignment horizontal="center"/>
      <protection locked="0" hidden="1"/>
    </xf>
    <xf numFmtId="0" fontId="63" fillId="10" borderId="32" xfId="0" applyFont="1" applyFill="1" applyBorder="1" applyAlignment="1" applyProtection="1">
      <alignment horizontal="center"/>
      <protection locked="0" hidden="1"/>
    </xf>
    <xf numFmtId="3" fontId="0" fillId="0" borderId="0" xfId="0" applyNumberFormat="1" applyProtection="1">
      <protection hidden="1"/>
    </xf>
    <xf numFmtId="167" fontId="34" fillId="6" borderId="31" xfId="0" applyNumberFormat="1" applyFont="1" applyFill="1" applyBorder="1" applyAlignment="1" applyProtection="1">
      <alignment horizontal="center"/>
      <protection hidden="1"/>
    </xf>
    <xf numFmtId="0" fontId="3" fillId="0" borderId="31" xfId="0" applyFont="1" applyBorder="1" applyProtection="1">
      <protection hidden="1"/>
    </xf>
    <xf numFmtId="3" fontId="6" fillId="0" borderId="31" xfId="0" applyNumberFormat="1" applyFont="1" applyBorder="1" applyAlignment="1" applyProtection="1">
      <alignment horizontal="center"/>
      <protection hidden="1"/>
    </xf>
    <xf numFmtId="0" fontId="23" fillId="0" borderId="47" xfId="0" applyFont="1" applyBorder="1" applyAlignment="1">
      <alignment horizontal="center"/>
    </xf>
    <xf numFmtId="165" fontId="0" fillId="0" borderId="0" xfId="0" applyNumberFormat="1" applyAlignment="1" applyProtection="1">
      <alignment horizontal="center"/>
      <protection hidden="1"/>
    </xf>
    <xf numFmtId="166" fontId="0" fillId="0" borderId="0" xfId="0" applyNumberFormat="1" applyAlignment="1" applyProtection="1">
      <alignment horizontal="center"/>
      <protection hidden="1"/>
    </xf>
    <xf numFmtId="165" fontId="0" fillId="0" borderId="43" xfId="0" applyNumberFormat="1" applyBorder="1" applyAlignment="1" applyProtection="1">
      <alignment horizontal="center"/>
      <protection hidden="1"/>
    </xf>
    <xf numFmtId="166" fontId="0" fillId="0" borderId="43" xfId="0" applyNumberFormat="1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166" fontId="0" fillId="0" borderId="0" xfId="0" applyNumberFormat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2" fontId="0" fillId="0" borderId="43" xfId="0" applyNumberFormat="1" applyBorder="1" applyAlignment="1" applyProtection="1">
      <alignment horizontal="center" vertical="center"/>
      <protection hidden="1"/>
    </xf>
    <xf numFmtId="166" fontId="0" fillId="0" borderId="43" xfId="0" applyNumberFormat="1" applyBorder="1" applyAlignment="1" applyProtection="1">
      <alignment horizontal="center" vertical="center"/>
      <protection hidden="1"/>
    </xf>
    <xf numFmtId="3" fontId="63" fillId="10" borderId="0" xfId="0" applyNumberFormat="1" applyFont="1" applyFill="1" applyAlignment="1" applyProtection="1">
      <alignment horizontal="center"/>
      <protection locked="0" hidden="1"/>
    </xf>
    <xf numFmtId="0" fontId="0" fillId="0" borderId="31" xfId="0" applyBorder="1" applyAlignment="1" applyProtection="1">
      <alignment horizontal="center" vertical="center"/>
      <protection hidden="1"/>
    </xf>
    <xf numFmtId="2" fontId="0" fillId="0" borderId="31" xfId="0" applyNumberFormat="1" applyBorder="1" applyAlignment="1" applyProtection="1">
      <alignment horizontal="center" vertical="center"/>
      <protection hidden="1"/>
    </xf>
    <xf numFmtId="166" fontId="0" fillId="0" borderId="31" xfId="0" applyNumberFormat="1" applyBorder="1" applyAlignment="1" applyProtection="1">
      <alignment horizontal="center" vertical="center"/>
      <protection hidden="1"/>
    </xf>
    <xf numFmtId="0" fontId="67" fillId="10" borderId="31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5" fillId="0" borderId="43" xfId="0" applyFont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0" fontId="3" fillId="10" borderId="43" xfId="0" applyFont="1" applyFill="1" applyBorder="1" applyAlignment="1" applyProtection="1">
      <alignment horizontal="center" vertical="center"/>
      <protection locked="0"/>
    </xf>
    <xf numFmtId="0" fontId="63" fillId="10" borderId="32" xfId="0" applyFont="1" applyFill="1" applyBorder="1" applyAlignment="1" applyProtection="1">
      <alignment horizontal="center" vertical="center"/>
      <protection locked="0"/>
    </xf>
    <xf numFmtId="0" fontId="67" fillId="10" borderId="0" xfId="0" applyFont="1" applyFill="1" applyAlignment="1">
      <alignment vertical="center"/>
    </xf>
    <xf numFmtId="0" fontId="67" fillId="10" borderId="43" xfId="0" applyFont="1" applyFill="1" applyBorder="1" applyAlignment="1">
      <alignment vertical="center"/>
    </xf>
    <xf numFmtId="0" fontId="63" fillId="0" borderId="0" xfId="0" applyFont="1" applyAlignment="1" applyProtection="1">
      <alignment horizontal="center"/>
      <protection locked="0"/>
    </xf>
    <xf numFmtId="0" fontId="67" fillId="10" borderId="31" xfId="0" applyFont="1" applyFill="1" applyBorder="1" applyAlignment="1">
      <alignment vertical="center"/>
    </xf>
    <xf numFmtId="2" fontId="5" fillId="0" borderId="0" xfId="0" applyNumberFormat="1" applyFont="1" applyAlignment="1" applyProtection="1">
      <alignment horizontal="center" vertical="center"/>
      <protection hidden="1"/>
    </xf>
    <xf numFmtId="2" fontId="5" fillId="0" borderId="31" xfId="0" applyNumberFormat="1" applyFont="1" applyBorder="1" applyAlignment="1" applyProtection="1">
      <alignment horizontal="center" vertical="center"/>
      <protection hidden="1"/>
    </xf>
    <xf numFmtId="3" fontId="5" fillId="0" borderId="0" xfId="0" applyNumberFormat="1" applyFont="1" applyAlignment="1" applyProtection="1">
      <alignment horizontal="center" vertical="center"/>
      <protection hidden="1"/>
    </xf>
    <xf numFmtId="3" fontId="5" fillId="0" borderId="31" xfId="0" applyNumberFormat="1" applyFont="1" applyBorder="1" applyAlignment="1" applyProtection="1">
      <alignment horizontal="center" vertical="center"/>
      <protection hidden="1"/>
    </xf>
    <xf numFmtId="0" fontId="0" fillId="0" borderId="53" xfId="0" applyBorder="1" applyAlignment="1" applyProtection="1">
      <alignment horizontal="center" vertical="center"/>
      <protection hidden="1"/>
    </xf>
    <xf numFmtId="2" fontId="0" fillId="0" borderId="53" xfId="0" applyNumberFormat="1" applyBorder="1" applyAlignment="1" applyProtection="1">
      <alignment horizontal="center" vertical="center"/>
      <protection hidden="1"/>
    </xf>
    <xf numFmtId="166" fontId="0" fillId="0" borderId="53" xfId="0" applyNumberFormat="1" applyBorder="1" applyAlignment="1" applyProtection="1">
      <alignment horizontal="center" vertical="center"/>
      <protection hidden="1"/>
    </xf>
    <xf numFmtId="0" fontId="5" fillId="0" borderId="53" xfId="0" applyFont="1" applyBorder="1" applyAlignment="1" applyProtection="1">
      <alignment horizontal="center" vertical="center"/>
      <protection hidden="1"/>
    </xf>
    <xf numFmtId="166" fontId="5" fillId="0" borderId="53" xfId="0" applyNumberFormat="1" applyFont="1" applyBorder="1" applyAlignment="1" applyProtection="1">
      <alignment horizontal="center" vertical="center"/>
      <protection hidden="1"/>
    </xf>
    <xf numFmtId="0" fontId="67" fillId="10" borderId="53" xfId="0" applyFont="1" applyFill="1" applyBorder="1" applyAlignment="1">
      <alignment vertical="center"/>
    </xf>
    <xf numFmtId="0" fontId="67" fillId="10" borderId="53" xfId="0" applyFont="1" applyFill="1" applyBorder="1" applyAlignment="1" applyProtection="1">
      <alignment horizontal="right" vertical="center"/>
      <protection locked="0"/>
    </xf>
    <xf numFmtId="0" fontId="67" fillId="10" borderId="53" xfId="0" applyFont="1" applyFill="1" applyBorder="1" applyAlignment="1" applyProtection="1">
      <alignment horizontal="left" vertical="center"/>
      <protection locked="0"/>
    </xf>
    <xf numFmtId="168" fontId="19" fillId="4" borderId="53" xfId="0" applyNumberFormat="1" applyFont="1" applyFill="1" applyBorder="1" applyAlignment="1" applyProtection="1">
      <alignment horizontal="center" vertical="center"/>
      <protection locked="0" hidden="1"/>
    </xf>
    <xf numFmtId="168" fontId="19" fillId="4" borderId="45" xfId="0" applyNumberFormat="1" applyFont="1" applyFill="1" applyBorder="1" applyAlignment="1" applyProtection="1">
      <alignment horizontal="center" vertical="center"/>
      <protection locked="0" hidden="1"/>
    </xf>
    <xf numFmtId="168" fontId="19" fillId="4" borderId="46" xfId="0" applyNumberFormat="1" applyFont="1" applyFill="1" applyBorder="1" applyAlignment="1" applyProtection="1">
      <alignment horizontal="center" vertical="center"/>
      <protection locked="0" hidden="1"/>
    </xf>
    <xf numFmtId="0" fontId="6" fillId="0" borderId="31" xfId="0" applyFont="1" applyBorder="1" applyAlignment="1" applyProtection="1">
      <alignment horizontal="center" vertical="center"/>
      <protection hidden="1"/>
    </xf>
    <xf numFmtId="3" fontId="26" fillId="0" borderId="31" xfId="0" applyNumberFormat="1" applyFont="1" applyBorder="1" applyAlignment="1" applyProtection="1">
      <alignment horizontal="center" vertical="center"/>
      <protection hidden="1"/>
    </xf>
    <xf numFmtId="3" fontId="6" fillId="0" borderId="59" xfId="0" applyNumberFormat="1" applyFont="1" applyBorder="1" applyAlignment="1" applyProtection="1">
      <alignment horizontal="center" vertical="center"/>
      <protection hidden="1"/>
    </xf>
    <xf numFmtId="0" fontId="63" fillId="0" borderId="47" xfId="0" applyFont="1" applyBorder="1" applyAlignment="1" applyProtection="1">
      <alignment horizontal="center"/>
      <protection locked="0"/>
    </xf>
    <xf numFmtId="0" fontId="18" fillId="6" borderId="56" xfId="0" applyFont="1" applyFill="1" applyBorder="1" applyAlignment="1" applyProtection="1">
      <alignment horizontal="left"/>
      <protection hidden="1"/>
    </xf>
    <xf numFmtId="3" fontId="81" fillId="15" borderId="0" xfId="0" applyNumberFormat="1" applyFont="1" applyFill="1" applyAlignment="1" applyProtection="1">
      <alignment horizontal="center"/>
      <protection locked="0" hidden="1"/>
    </xf>
    <xf numFmtId="166" fontId="80" fillId="16" borderId="0" xfId="0" applyNumberFormat="1" applyFont="1" applyFill="1" applyAlignment="1" applyProtection="1">
      <alignment horizontal="center"/>
      <protection hidden="1"/>
    </xf>
    <xf numFmtId="1" fontId="82" fillId="16" borderId="32" xfId="0" applyNumberFormat="1" applyFont="1" applyFill="1" applyBorder="1" applyAlignment="1">
      <alignment horizontal="center"/>
    </xf>
    <xf numFmtId="166" fontId="80" fillId="16" borderId="32" xfId="0" applyNumberFormat="1" applyFont="1" applyFill="1" applyBorder="1" applyAlignment="1" applyProtection="1">
      <alignment horizontal="center"/>
      <protection hidden="1"/>
    </xf>
    <xf numFmtId="1" fontId="82" fillId="16" borderId="32" xfId="0" applyNumberFormat="1" applyFont="1" applyFill="1" applyBorder="1" applyAlignment="1" applyProtection="1">
      <alignment horizontal="center"/>
      <protection hidden="1"/>
    </xf>
    <xf numFmtId="3" fontId="82" fillId="16" borderId="32" xfId="0" applyNumberFormat="1" applyFont="1" applyFill="1" applyBorder="1" applyAlignment="1" applyProtection="1">
      <alignment horizontal="center"/>
      <protection hidden="1"/>
    </xf>
    <xf numFmtId="3" fontId="82" fillId="16" borderId="32" xfId="0" applyNumberFormat="1" applyFont="1" applyFill="1" applyBorder="1" applyAlignment="1">
      <alignment horizontal="center"/>
    </xf>
    <xf numFmtId="0" fontId="83" fillId="15" borderId="32" xfId="0" applyFont="1" applyFill="1" applyBorder="1" applyAlignment="1" applyProtection="1">
      <alignment horizontal="center"/>
      <protection locked="0" hidden="1"/>
    </xf>
    <xf numFmtId="0" fontId="81" fillId="15" borderId="45" xfId="0" applyFont="1" applyFill="1" applyBorder="1" applyAlignment="1" applyProtection="1">
      <alignment horizontal="center"/>
      <protection locked="0" hidden="1"/>
    </xf>
    <xf numFmtId="0" fontId="19" fillId="0" borderId="54" xfId="0" applyFont="1" applyBorder="1" applyAlignment="1" applyProtection="1">
      <alignment horizontal="center"/>
      <protection hidden="1"/>
    </xf>
    <xf numFmtId="0" fontId="19" fillId="0" borderId="55" xfId="0" applyFont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left" vertical="center"/>
      <protection hidden="1"/>
    </xf>
    <xf numFmtId="2" fontId="19" fillId="4" borderId="0" xfId="0" applyNumberFormat="1" applyFont="1" applyFill="1" applyAlignment="1" applyProtection="1">
      <alignment horizontal="center"/>
      <protection locked="0"/>
    </xf>
    <xf numFmtId="0" fontId="26" fillId="4" borderId="0" xfId="0" applyFont="1" applyFill="1" applyAlignment="1" applyProtection="1">
      <alignment horizontal="center"/>
      <protection locked="0" hidden="1"/>
    </xf>
    <xf numFmtId="0" fontId="5" fillId="4" borderId="0" xfId="0" applyFont="1" applyFill="1" applyAlignment="1" applyProtection="1">
      <alignment horizontal="center"/>
      <protection locked="0" hidden="1"/>
    </xf>
    <xf numFmtId="0" fontId="18" fillId="11" borderId="0" xfId="0" applyFont="1" applyFill="1" applyAlignment="1" applyProtection="1">
      <alignment horizontal="left"/>
      <protection hidden="1"/>
    </xf>
    <xf numFmtId="0" fontId="63" fillId="10" borderId="47" xfId="0" applyFont="1" applyFill="1" applyBorder="1" applyAlignment="1" applyProtection="1">
      <alignment horizontal="left"/>
      <protection locked="0" hidden="1"/>
    </xf>
    <xf numFmtId="0" fontId="63" fillId="10" borderId="0" xfId="0" applyFont="1" applyFill="1" applyAlignment="1" applyProtection="1">
      <alignment horizontal="left"/>
      <protection locked="0" hidden="1"/>
    </xf>
    <xf numFmtId="0" fontId="19" fillId="0" borderId="42" xfId="0" applyFont="1" applyBorder="1" applyAlignment="1" applyProtection="1">
      <alignment horizontal="left"/>
      <protection hidden="1"/>
    </xf>
    <xf numFmtId="0" fontId="0" fillId="0" borderId="31" xfId="0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5" fillId="0" borderId="45" xfId="0" applyFont="1" applyBorder="1" applyAlignment="1" applyProtection="1">
      <alignment horizontal="center"/>
      <protection hidden="1"/>
    </xf>
    <xf numFmtId="0" fontId="19" fillId="0" borderId="45" xfId="0" applyFont="1" applyBorder="1" applyAlignment="1" applyProtection="1">
      <alignment horizontal="center"/>
      <protection hidden="1"/>
    </xf>
    <xf numFmtId="0" fontId="0" fillId="0" borderId="46" xfId="0" applyBorder="1" applyAlignment="1" applyProtection="1">
      <alignment horizontal="center"/>
      <protection hidden="1"/>
    </xf>
    <xf numFmtId="0" fontId="63" fillId="10" borderId="0" xfId="0" applyFont="1" applyFill="1" applyAlignment="1" applyProtection="1">
      <alignment horizontal="left" vertical="center" wrapText="1"/>
      <protection locked="0" hidden="1"/>
    </xf>
    <xf numFmtId="0" fontId="63" fillId="10" borderId="0" xfId="0" applyFont="1" applyFill="1" applyAlignment="1" applyProtection="1">
      <alignment horizontal="left" vertical="center"/>
      <protection locked="0" hidden="1"/>
    </xf>
    <xf numFmtId="0" fontId="65" fillId="10" borderId="31" xfId="0" applyFont="1" applyFill="1" applyBorder="1" applyAlignment="1" applyProtection="1">
      <alignment horizontal="center"/>
      <protection locked="0" hidden="1"/>
    </xf>
    <xf numFmtId="9" fontId="65" fillId="10" borderId="46" xfId="0" applyNumberFormat="1" applyFont="1" applyFill="1" applyBorder="1" applyAlignment="1" applyProtection="1">
      <alignment horizontal="center"/>
      <protection locked="0" hidden="1"/>
    </xf>
    <xf numFmtId="0" fontId="26" fillId="0" borderId="0" xfId="0" applyFont="1" applyAlignment="1" applyProtection="1">
      <alignment horizontal="center"/>
      <protection hidden="1"/>
    </xf>
    <xf numFmtId="0" fontId="26" fillId="0" borderId="31" xfId="0" applyFont="1" applyBorder="1" applyAlignment="1" applyProtection="1">
      <alignment horizontal="center"/>
      <protection hidden="1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39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4" borderId="48" xfId="0" applyFont="1" applyFill="1" applyBorder="1" applyAlignment="1" applyProtection="1">
      <alignment horizontal="left"/>
      <protection locked="0"/>
    </xf>
    <xf numFmtId="0" fontId="18" fillId="11" borderId="60" xfId="0" applyFont="1" applyFill="1" applyBorder="1" applyAlignment="1">
      <alignment horizontal="left"/>
    </xf>
    <xf numFmtId="0" fontId="18" fillId="11" borderId="0" xfId="0" applyFont="1" applyFill="1" applyAlignment="1">
      <alignment horizontal="left"/>
    </xf>
    <xf numFmtId="0" fontId="18" fillId="11" borderId="61" xfId="0" applyFont="1" applyFill="1" applyBorder="1" applyAlignment="1">
      <alignment horizontal="left"/>
    </xf>
    <xf numFmtId="0" fontId="77" fillId="0" borderId="0" xfId="0" applyFont="1" applyAlignment="1" applyProtection="1">
      <alignment horizontal="left"/>
      <protection hidden="1"/>
    </xf>
    <xf numFmtId="0" fontId="2" fillId="7" borderId="18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16" fillId="14" borderId="62" xfId="0" applyFont="1" applyFill="1" applyBorder="1" applyAlignment="1">
      <alignment horizontal="left"/>
    </xf>
    <xf numFmtId="0" fontId="16" fillId="14" borderId="25" xfId="0" applyFont="1" applyFill="1" applyBorder="1" applyAlignment="1">
      <alignment horizontal="left"/>
    </xf>
    <xf numFmtId="0" fontId="69" fillId="0" borderId="47" xfId="0" applyFont="1" applyBorder="1" applyAlignment="1" applyProtection="1">
      <alignment horizontal="center"/>
      <protection hidden="1"/>
    </xf>
    <xf numFmtId="0" fontId="2" fillId="7" borderId="19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8" fillId="0" borderId="0" xfId="0" applyFont="1" applyAlignment="1" applyProtection="1">
      <alignment horizontal="left"/>
      <protection hidden="1"/>
    </xf>
    <xf numFmtId="0" fontId="16" fillId="0" borderId="0" xfId="0" applyFont="1" applyAlignment="1">
      <alignment horizontal="left"/>
    </xf>
    <xf numFmtId="0" fontId="62" fillId="0" borderId="0" xfId="0" applyFont="1" applyAlignment="1" applyProtection="1">
      <alignment horizontal="left"/>
      <protection hidden="1"/>
    </xf>
    <xf numFmtId="0" fontId="0" fillId="0" borderId="0" xfId="0" applyAlignment="1">
      <alignment horizontal="center"/>
    </xf>
    <xf numFmtId="0" fontId="0" fillId="0" borderId="47" xfId="0" applyBorder="1" applyAlignment="1" applyProtection="1">
      <alignment horizontal="center"/>
      <protection hidden="1"/>
    </xf>
    <xf numFmtId="0" fontId="16" fillId="0" borderId="0" xfId="0" applyFont="1" applyAlignment="1">
      <alignment horizontal="center"/>
    </xf>
    <xf numFmtId="0" fontId="2" fillId="7" borderId="63" xfId="0" applyFont="1" applyFill="1" applyBorder="1" applyAlignment="1">
      <alignment horizontal="center"/>
    </xf>
    <xf numFmtId="0" fontId="36" fillId="0" borderId="42" xfId="0" applyFont="1" applyBorder="1" applyAlignment="1" applyProtection="1">
      <alignment horizontal="center"/>
      <protection hidden="1"/>
    </xf>
    <xf numFmtId="0" fontId="32" fillId="6" borderId="0" xfId="0" applyFont="1" applyFill="1" applyAlignment="1" applyProtection="1">
      <alignment horizontal="center"/>
      <protection hidden="1"/>
    </xf>
    <xf numFmtId="0" fontId="16" fillId="11" borderId="51" xfId="0" applyFont="1" applyFill="1" applyBorder="1" applyAlignment="1" applyProtection="1">
      <alignment horizontal="left"/>
      <protection hidden="1"/>
    </xf>
    <xf numFmtId="0" fontId="35" fillId="0" borderId="0" xfId="0" applyFont="1" applyAlignment="1" applyProtection="1">
      <alignment horizontal="center"/>
      <protection hidden="1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</cellXfs>
  <cellStyles count="5">
    <cellStyle name="Active" xfId="1" xr:uid="{07A5E2A4-B92F-49E0-B524-96BFB621BD11}"/>
    <cellStyle name="Hipervínculo" xfId="2" builtinId="8"/>
    <cellStyle name="Normal" xfId="0" builtinId="0"/>
    <cellStyle name="Normal_Hoja1" xfId="3" xr:uid="{EEEC2307-292D-4EA0-A324-7D1FB7F45585}"/>
    <cellStyle name="Porcentaje" xfId="4" builtinId="5"/>
  </cellStyles>
  <dxfs count="30"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21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balance energético</a:t>
            </a:r>
          </a:p>
        </c:rich>
      </c:tx>
      <c:layout>
        <c:manualLayout>
          <c:xMode val="edge"/>
          <c:yMode val="edge"/>
          <c:x val="0.45289711673177618"/>
          <c:y val="6.14056767852469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8194608121565"/>
          <c:y val="0.17544479081499118"/>
          <c:w val="0.88047700333568912"/>
          <c:h val="0.61990492754630211"/>
        </c:manualLayout>
      </c:layout>
      <c:lineChart>
        <c:grouping val="standard"/>
        <c:varyColors val="0"/>
        <c:ser>
          <c:idx val="0"/>
          <c:order val="0"/>
          <c:tx>
            <c:v>Demanda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Principal!$H$22:$H$33</c:f>
              <c:numCache>
                <c:formatCode>#,##0</c:formatCode>
                <c:ptCount val="12"/>
                <c:pt idx="0">
                  <c:v>2104.3791999999999</c:v>
                </c:pt>
                <c:pt idx="1">
                  <c:v>1866.1708799999999</c:v>
                </c:pt>
                <c:pt idx="2">
                  <c:v>1989.5948800000001</c:v>
                </c:pt>
                <c:pt idx="3">
                  <c:v>1851.36</c:v>
                </c:pt>
                <c:pt idx="4">
                  <c:v>1874.8105600000001</c:v>
                </c:pt>
                <c:pt idx="5">
                  <c:v>1777.3055999999999</c:v>
                </c:pt>
                <c:pt idx="6">
                  <c:v>1798.2876799999999</c:v>
                </c:pt>
                <c:pt idx="7">
                  <c:v>1836.5491199999999</c:v>
                </c:pt>
                <c:pt idx="8">
                  <c:v>1814.3327999999999</c:v>
                </c:pt>
                <c:pt idx="9">
                  <c:v>1913.0720000000001</c:v>
                </c:pt>
                <c:pt idx="10">
                  <c:v>1925.4144000000001</c:v>
                </c:pt>
                <c:pt idx="11">
                  <c:v>2104.3791999999999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B9-488D-8247-8EA64AE378B5}"/>
            </c:ext>
          </c:extLst>
        </c:ser>
        <c:ser>
          <c:idx val="1"/>
          <c:order val="1"/>
          <c:tx>
            <c:v>EUmes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Principal!$F$77:$F$88</c:f>
              <c:numCache>
                <c:formatCode>#,##0</c:formatCode>
                <c:ptCount val="12"/>
                <c:pt idx="0">
                  <c:v>898.83039516150779</c:v>
                </c:pt>
                <c:pt idx="1">
                  <c:v>1151.0787451445192</c:v>
                </c:pt>
                <c:pt idx="2">
                  <c:v>1505.5420064524208</c:v>
                </c:pt>
                <c:pt idx="3">
                  <c:v>1499.1246153713498</c:v>
                </c:pt>
                <c:pt idx="4">
                  <c:v>1545.992863951398</c:v>
                </c:pt>
                <c:pt idx="5">
                  <c:v>1601.6547064740773</c:v>
                </c:pt>
                <c:pt idx="6">
                  <c:v>1798.2876799999999</c:v>
                </c:pt>
                <c:pt idx="7">
                  <c:v>1836.5491199999999</c:v>
                </c:pt>
                <c:pt idx="8">
                  <c:v>1814.3327999999999</c:v>
                </c:pt>
                <c:pt idx="9">
                  <c:v>1583.3801404918358</c:v>
                </c:pt>
                <c:pt idx="10">
                  <c:v>1161.2332733143858</c:v>
                </c:pt>
                <c:pt idx="11">
                  <c:v>823.30646286684191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B9-488D-8247-8EA64AE378B5}"/>
            </c:ext>
          </c:extLst>
        </c:ser>
        <c:ser>
          <c:idx val="2"/>
          <c:order val="2"/>
          <c:tx>
            <c:v>Exigencia mínima</c:v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Superficie!$G$73:$G$84</c:f>
              <c:numCache>
                <c:formatCode>0</c:formatCode>
                <c:ptCount val="12"/>
                <c:pt idx="0">
                  <c:v>1262.6275199999998</c:v>
                </c:pt>
                <c:pt idx="1">
                  <c:v>1119.7025279999998</c:v>
                </c:pt>
                <c:pt idx="2">
                  <c:v>1193.756928</c:v>
                </c:pt>
                <c:pt idx="3">
                  <c:v>1110.8159999999998</c:v>
                </c:pt>
                <c:pt idx="4">
                  <c:v>1124.886336</c:v>
                </c:pt>
                <c:pt idx="5">
                  <c:v>1066.3833599999998</c:v>
                </c:pt>
                <c:pt idx="6">
                  <c:v>1078.9726079999998</c:v>
                </c:pt>
                <c:pt idx="7">
                  <c:v>1101.9294719999998</c:v>
                </c:pt>
                <c:pt idx="8">
                  <c:v>1088.5996799999998</c:v>
                </c:pt>
                <c:pt idx="9">
                  <c:v>1147.8432</c:v>
                </c:pt>
                <c:pt idx="10">
                  <c:v>1155.24864</c:v>
                </c:pt>
                <c:pt idx="11">
                  <c:v>1262.6275199999998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B9-488D-8247-8EA64AE37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785616"/>
        <c:axId val="1"/>
      </c:lineChart>
      <c:catAx>
        <c:axId val="14378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kWh</a:t>
                </a:r>
              </a:p>
            </c:rich>
          </c:tx>
          <c:layout>
            <c:manualLayout>
              <c:xMode val="edge"/>
              <c:yMode val="edge"/>
              <c:x val="9.8455894941690478E-3"/>
              <c:y val="0.4210674979559787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FFFFFF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37856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545788140635139"/>
          <c:y val="0.9093888323910374"/>
          <c:w val="0.47399480850499554"/>
          <c:h val="6.7253836479079954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1270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fmlaLink="$AA$51" fmlaRange="$AA$52:$AA$56" sel="1" val="0"/>
</file>

<file path=xl/ctrlProps/ctrlProp7.xml><?xml version="1.0" encoding="utf-8"?>
<formControlPr xmlns="http://schemas.microsoft.com/office/spreadsheetml/2009/9/main" objectType="CheckBox" checked="Checked" fmlaLink="$BC$25"/>
</file>

<file path=xl/ctrlProps/ctrlProp8.xml><?xml version="1.0" encoding="utf-8"?>
<formControlPr xmlns="http://schemas.microsoft.com/office/spreadsheetml/2009/9/main" objectType="CheckBox" checked="Checked" fmlaLink="$BC$25"/>
</file>

<file path=xl/ctrlProps/ctrlProp9.xml><?xml version="1.0" encoding="utf-8"?>
<formControlPr xmlns="http://schemas.microsoft.com/office/spreadsheetml/2009/9/main" objectType="Drop" dropStyle="combo" dx="26" fmlaLink="$AR$25" fmlaRange="$AR$26:$AR$28" sel="3" val="0"/>
</file>

<file path=xl/ctrlProps/ctrlProp10.xml><?xml version="1.0" encoding="utf-8"?>
<formControlPr xmlns="http://schemas.microsoft.com/office/spreadsheetml/2009/9/main" objectType="Drop" dropStyle="combo" dx="26" fmlaLink="$AU$25" fmlaRange="$AJ$42:$AJ$48" sel="5" val="0"/>
</file>

<file path=xl/ctrlProps/ctrlProp11.xml><?xml version="1.0" encoding="utf-8"?>
<formControlPr xmlns="http://schemas.microsoft.com/office/spreadsheetml/2009/9/main" objectType="Drop" dropStyle="combo" dx="26" fmlaLink="$AV$25" fmlaRange="$AJ$25:$AJ$33" sel="4" val="0"/>
</file>

<file path=xl/ctrlProps/ctrlProp12.xml><?xml version="1.0" encoding="utf-8"?>
<formControlPr xmlns="http://schemas.microsoft.com/office/spreadsheetml/2009/9/main" objectType="Drop" dropStyle="combo" dx="26" fmlaLink="$AU$26" fmlaRange="$AJ$42:$AJ$48" sel="4" val="0"/>
</file>

<file path=xl/ctrlProps/ctrlProp13.xml><?xml version="1.0" encoding="utf-8"?>
<formControlPr xmlns="http://schemas.microsoft.com/office/spreadsheetml/2009/9/main" objectType="Drop" dropStyle="combo" dx="26" fmlaLink="$AV$26" fmlaRange="$AJ$25:$AJ$33" sel="4" val="0"/>
</file>

<file path=xl/ctrlProps/ctrlProp14.xml><?xml version="1.0" encoding="utf-8"?>
<formControlPr xmlns="http://schemas.microsoft.com/office/spreadsheetml/2009/9/main" objectType="Drop" dropStyle="combo" dx="26" fmlaLink="$AU$27" fmlaRange="$AJ$42:$AJ$48" sel="3" val="0"/>
</file>

<file path=xl/ctrlProps/ctrlProp15.xml><?xml version="1.0" encoding="utf-8"?>
<formControlPr xmlns="http://schemas.microsoft.com/office/spreadsheetml/2009/9/main" objectType="Drop" dropStyle="combo" dx="26" fmlaLink="$AV$27" fmlaRange="$AJ$25:$AJ$33" sel="4" val="0"/>
</file>

<file path=xl/ctrlProps/ctrlProp16.xml><?xml version="1.0" encoding="utf-8"?>
<formControlPr xmlns="http://schemas.microsoft.com/office/spreadsheetml/2009/9/main" objectType="Drop" dropStyle="combo" dx="26" fmlaLink="$AU$28" fmlaRange="$AJ$42:$AJ$48" sel="3" val="0"/>
</file>

<file path=xl/ctrlProps/ctrlProp17.xml><?xml version="1.0" encoding="utf-8"?>
<formControlPr xmlns="http://schemas.microsoft.com/office/spreadsheetml/2009/9/main" objectType="Drop" dropStyle="combo" dx="26" fmlaLink="$AV$28" fmlaRange="$AJ$25:$AJ$33" sel="4" val="0"/>
</file>

<file path=xl/ctrlProps/ctrlProp18.xml><?xml version="1.0" encoding="utf-8"?>
<formControlPr xmlns="http://schemas.microsoft.com/office/spreadsheetml/2009/9/main" objectType="Drop" dropStyle="combo" dx="26" fmlaLink="$AW$25" fmlaRange="$AJ$25:$AJ$33" sel="9" val="0"/>
</file>

<file path=xl/ctrlProps/ctrlProp19.xml><?xml version="1.0" encoding="utf-8"?>
<formControlPr xmlns="http://schemas.microsoft.com/office/spreadsheetml/2009/9/main" objectType="Drop" dropStyle="combo" dx="26" fmlaLink="$AW$26" fmlaRange="$AJ$25:$AJ$33" sel="6" val="0"/>
</file>

<file path=xl/ctrlProps/ctrlProp20.xml><?xml version="1.0" encoding="utf-8"?>
<formControlPr xmlns="http://schemas.microsoft.com/office/spreadsheetml/2009/9/main" objectType="Drop" dropStyle="combo" dx="26" fmlaLink="$AW$27" fmlaRange="$AJ$25:$AJ$33" sel="6" val="0"/>
</file>

<file path=xl/ctrlProps/ctrlProp21.xml><?xml version="1.0" encoding="utf-8"?>
<formControlPr xmlns="http://schemas.microsoft.com/office/spreadsheetml/2009/9/main" objectType="Drop" dropStyle="combo" dx="26" fmlaLink="$AW$28" fmlaRange="$AJ$25:$AJ$33" sel="1" val="0"/>
</file>

<file path=xl/ctrlProps/ctrlProp22.xml><?xml version="1.0" encoding="utf-8"?>
<formControlPr xmlns="http://schemas.microsoft.com/office/spreadsheetml/2009/9/main" objectType="Drop" dropStyle="combo" dx="26" fmlaLink="$AX$25" fmlaRange="$AJ$25:$AJ$33" sel="1" val="0"/>
</file>

<file path=xl/ctrlProps/ctrlProp23.xml><?xml version="1.0" encoding="utf-8"?>
<formControlPr xmlns="http://schemas.microsoft.com/office/spreadsheetml/2009/9/main" objectType="Drop" dropStyle="combo" dx="26" fmlaLink="$AX$26" fmlaRange="$AJ$25:$AJ$33" sel="1" val="0"/>
</file>

<file path=xl/ctrlProps/ctrlProp24.xml><?xml version="1.0" encoding="utf-8"?>
<formControlPr xmlns="http://schemas.microsoft.com/office/spreadsheetml/2009/9/main" objectType="Drop" dropStyle="combo" dx="26" fmlaLink="$AX$27" fmlaRange="$AJ$25:$AJ$33" sel="1" val="0"/>
</file>

<file path=xl/ctrlProps/ctrlProp25.xml><?xml version="1.0" encoding="utf-8"?>
<formControlPr xmlns="http://schemas.microsoft.com/office/spreadsheetml/2009/9/main" objectType="Drop" dropStyle="combo" dx="26" fmlaLink="$AX$28" fmlaRange="$AJ$25:$AJ$33" sel="1" val="0"/>
</file>

<file path=xl/ctrlProps/ctrlProp26.xml><?xml version="1.0" encoding="utf-8"?>
<formControlPr xmlns="http://schemas.microsoft.com/office/spreadsheetml/2009/9/main" objectType="Drop" dropStyle="combo" dx="26" fmlaLink="$AY$25" fmlaRange="$AJ$25:$AJ$33" sel="1" val="0"/>
</file>

<file path=xl/ctrlProps/ctrlProp27.xml><?xml version="1.0" encoding="utf-8"?>
<formControlPr xmlns="http://schemas.microsoft.com/office/spreadsheetml/2009/9/main" objectType="Drop" dropStyle="combo" dx="26" fmlaLink="$AY$26" fmlaRange="$AJ$25:$AJ$33" sel="1" val="0"/>
</file>

<file path=xl/ctrlProps/ctrlProp28.xml><?xml version="1.0" encoding="utf-8"?>
<formControlPr xmlns="http://schemas.microsoft.com/office/spreadsheetml/2009/9/main" objectType="Drop" dropStyle="combo" dx="26" fmlaLink="$AY$27" fmlaRange="$AJ$25:$AJ$33" sel="1" val="0"/>
</file>

<file path=xl/ctrlProps/ctrlProp29.xml><?xml version="1.0" encoding="utf-8"?>
<formControlPr xmlns="http://schemas.microsoft.com/office/spreadsheetml/2009/9/main" objectType="Drop" dropStyle="combo" dx="26" fmlaLink="$AY$28" fmlaRange="$AJ$25:$AJ$33" sel="1" val="0"/>
</file>

<file path=xl/ctrlProps/ctrlProp30.xml><?xml version="1.0" encoding="utf-8"?>
<formControlPr xmlns="http://schemas.microsoft.com/office/spreadsheetml/2009/9/main" objectType="Drop" dropStyle="combo" dx="26" fmlaLink="$AZ$25" fmlaRange="$AJ$25:$AJ$33" sel="1" val="0"/>
</file>

<file path=xl/ctrlProps/ctrlProp31.xml><?xml version="1.0" encoding="utf-8"?>
<formControlPr xmlns="http://schemas.microsoft.com/office/spreadsheetml/2009/9/main" objectType="Drop" dropStyle="combo" dx="26" fmlaLink="$AZ$26" fmlaRange="$AJ$25:$AJ$33" sel="1" val="0"/>
</file>

<file path=xl/ctrlProps/ctrlProp32.xml><?xml version="1.0" encoding="utf-8"?>
<formControlPr xmlns="http://schemas.microsoft.com/office/spreadsheetml/2009/9/main" objectType="Drop" dropStyle="combo" dx="26" fmlaLink="$AZ$27" fmlaRange="$AJ$25:$AJ$33" sel="1" val="0"/>
</file>

<file path=xl/ctrlProps/ctrlProp33.xml><?xml version="1.0" encoding="utf-8"?>
<formControlPr xmlns="http://schemas.microsoft.com/office/spreadsheetml/2009/9/main" objectType="Drop" dropStyle="combo" dx="26" fmlaLink="$AZ$28" fmlaRange="$AJ$25:$AJ$33" sel="1" val="0"/>
</file>

<file path=xl/ctrlProps/ctrlProp34.xml><?xml version="1.0" encoding="utf-8"?>
<formControlPr xmlns="http://schemas.microsoft.com/office/spreadsheetml/2009/9/main" objectType="Drop" dropStyle="combo" dx="26" fmlaLink="$AR$35" fmlaRange="$AR$36:$AR$37" sel="2" val="0"/>
</file>

<file path=xl/ctrlProps/ctrlProp35.xml><?xml version="1.0" encoding="utf-8"?>
<formControlPr xmlns="http://schemas.microsoft.com/office/spreadsheetml/2009/9/main" objectType="Drop" dropStyle="combo" dx="26" fmlaLink="$AU$29" fmlaRange="$AJ$42:$AJ$48" sel="4" val="0"/>
</file>

<file path=xl/ctrlProps/ctrlProp36.xml><?xml version="1.0" encoding="utf-8"?>
<formControlPr xmlns="http://schemas.microsoft.com/office/spreadsheetml/2009/9/main" objectType="Drop" dropStyle="combo" dx="26" fmlaLink="$AV$29" fmlaRange="$AJ$25:$AJ$33" sel="4" val="0"/>
</file>

<file path=xl/ctrlProps/ctrlProp37.xml><?xml version="1.0" encoding="utf-8"?>
<formControlPr xmlns="http://schemas.microsoft.com/office/spreadsheetml/2009/9/main" objectType="Drop" dropStyle="combo" dx="26" fmlaLink="$AW$29" fmlaRange="$AJ$25:$AJ$33" sel="6" val="0"/>
</file>

<file path=xl/ctrlProps/ctrlProp38.xml><?xml version="1.0" encoding="utf-8"?>
<formControlPr xmlns="http://schemas.microsoft.com/office/spreadsheetml/2009/9/main" objectType="Drop" dropStyle="combo" dx="26" fmlaLink="$AX$29" fmlaRange="$AJ$25:$AJ$33" sel="1" val="0"/>
</file>

<file path=xl/ctrlProps/ctrlProp39.xml><?xml version="1.0" encoding="utf-8"?>
<formControlPr xmlns="http://schemas.microsoft.com/office/spreadsheetml/2009/9/main" objectType="Drop" dropStyle="combo" dx="26" fmlaLink="$AY$29" fmlaRange="$AJ$25:$AJ$33" sel="1" val="0"/>
</file>

<file path=xl/ctrlProps/ctrlProp40.xml><?xml version="1.0" encoding="utf-8"?>
<formControlPr xmlns="http://schemas.microsoft.com/office/spreadsheetml/2009/9/main" objectType="Drop" dropStyle="combo" dx="26" fmlaLink="$AZ$29" fmlaRange="$AJ$25:$AJ$33" sel="1" val="0"/>
</file>

<file path=xl/ctrlProps/ctrlProp41.xml><?xml version="1.0" encoding="utf-8"?>
<formControlPr xmlns="http://schemas.microsoft.com/office/spreadsheetml/2009/9/main" objectType="Drop" dropStyle="combo" dx="26" fmlaLink="$AU$30" fmlaRange="$AJ$42:$AJ$48" sel="5" val="0"/>
</file>

<file path=xl/ctrlProps/ctrlProp42.xml><?xml version="1.0" encoding="utf-8"?>
<formControlPr xmlns="http://schemas.microsoft.com/office/spreadsheetml/2009/9/main" objectType="Drop" dropStyle="combo" dx="26" fmlaLink="$AV$30" fmlaRange="$AJ$25:$AJ$33" sel="4" val="0"/>
</file>

<file path=xl/ctrlProps/ctrlProp43.xml><?xml version="1.0" encoding="utf-8"?>
<formControlPr xmlns="http://schemas.microsoft.com/office/spreadsheetml/2009/9/main" objectType="Drop" dropStyle="combo" dx="26" fmlaLink="$AW$30" fmlaRange="$AJ$25:$AJ$33" sel="6" val="0"/>
</file>

<file path=xl/ctrlProps/ctrlProp44.xml><?xml version="1.0" encoding="utf-8"?>
<formControlPr xmlns="http://schemas.microsoft.com/office/spreadsheetml/2009/9/main" objectType="Drop" dropStyle="combo" dx="26" fmlaLink="$AX$30" fmlaRange="$AJ$25:$AJ$33" sel="1" val="0"/>
</file>

<file path=xl/ctrlProps/ctrlProp45.xml><?xml version="1.0" encoding="utf-8"?>
<formControlPr xmlns="http://schemas.microsoft.com/office/spreadsheetml/2009/9/main" objectType="Drop" dropStyle="combo" dx="26" fmlaLink="$AY$30" fmlaRange="$AJ$25:$AJ$33" sel="1" val="0"/>
</file>

<file path=xl/ctrlProps/ctrlProp46.xml><?xml version="1.0" encoding="utf-8"?>
<formControlPr xmlns="http://schemas.microsoft.com/office/spreadsheetml/2009/9/main" objectType="Drop" dropStyle="combo" dx="26" fmlaLink="$AZ$30" fmlaRange="$AJ$25:$AJ$33" sel="1" val="0"/>
</file>

<file path=xl/ctrlProps/ctrlProp47.xml><?xml version="1.0" encoding="utf-8"?>
<formControlPr xmlns="http://schemas.microsoft.com/office/spreadsheetml/2009/9/main" objectType="Drop" dropStyle="combo" dx="26" fmlaLink="$AU$31" fmlaRange="$AJ$42:$AJ$48" sel="1" val="0"/>
</file>

<file path=xl/ctrlProps/ctrlProp48.xml><?xml version="1.0" encoding="utf-8"?>
<formControlPr xmlns="http://schemas.microsoft.com/office/spreadsheetml/2009/9/main" objectType="Drop" dropStyle="combo" dx="26" fmlaLink="$AV$31" fmlaRange="$AJ$25:$AJ$33" sel="1" val="0"/>
</file>

<file path=xl/ctrlProps/ctrlProp49.xml><?xml version="1.0" encoding="utf-8"?>
<formControlPr xmlns="http://schemas.microsoft.com/office/spreadsheetml/2009/9/main" objectType="Drop" dropStyle="combo" dx="26" fmlaLink="$AU$32" fmlaRange="$AJ$42:$AJ$48" sel="1" val="0"/>
</file>

<file path=xl/ctrlProps/ctrlProp50.xml><?xml version="1.0" encoding="utf-8"?>
<formControlPr xmlns="http://schemas.microsoft.com/office/spreadsheetml/2009/9/main" objectType="Drop" dropStyle="combo" dx="26" fmlaLink="$AV$32" fmlaRange="$AJ$25:$AJ$33" sel="1" val="0"/>
</file>

<file path=xl/ctrlProps/ctrlProp51.xml><?xml version="1.0" encoding="utf-8"?>
<formControlPr xmlns="http://schemas.microsoft.com/office/spreadsheetml/2009/9/main" objectType="Drop" dropStyle="combo" dx="26" fmlaLink="$AU$33" fmlaRange="$AJ$42:$AJ$48" sel="1" val="0"/>
</file>

<file path=xl/ctrlProps/ctrlProp52.xml><?xml version="1.0" encoding="utf-8"?>
<formControlPr xmlns="http://schemas.microsoft.com/office/spreadsheetml/2009/9/main" objectType="Drop" dropStyle="combo" dx="26" fmlaLink="$AV$33" fmlaRange="$AJ$25:$AJ$33" sel="1" val="0"/>
</file>

<file path=xl/ctrlProps/ctrlProp53.xml><?xml version="1.0" encoding="utf-8"?>
<formControlPr xmlns="http://schemas.microsoft.com/office/spreadsheetml/2009/9/main" objectType="Drop" dropStyle="combo" dx="26" fmlaLink="$AU$34" fmlaRange="$AJ$42:$AJ$48" sel="1" val="0"/>
</file>

<file path=xl/ctrlProps/ctrlProp54.xml><?xml version="1.0" encoding="utf-8"?>
<formControlPr xmlns="http://schemas.microsoft.com/office/spreadsheetml/2009/9/main" objectType="Drop" dropStyle="combo" dx="26" fmlaLink="$AV$34" fmlaRange="$AJ$25:$AJ$33" sel="1" val="0"/>
</file>

<file path=xl/ctrlProps/ctrlProp55.xml><?xml version="1.0" encoding="utf-8"?>
<formControlPr xmlns="http://schemas.microsoft.com/office/spreadsheetml/2009/9/main" objectType="Drop" dropStyle="combo" dx="26" fmlaLink="$AW$31" fmlaRange="$AJ$25:$AJ$33" sel="1" val="0"/>
</file>

<file path=xl/ctrlProps/ctrlProp56.xml><?xml version="1.0" encoding="utf-8"?>
<formControlPr xmlns="http://schemas.microsoft.com/office/spreadsheetml/2009/9/main" objectType="Drop" dropStyle="combo" dx="26" fmlaLink="$AW$32" fmlaRange="$AJ$25:$AJ$33" sel="1" val="0"/>
</file>

<file path=xl/ctrlProps/ctrlProp57.xml><?xml version="1.0" encoding="utf-8"?>
<formControlPr xmlns="http://schemas.microsoft.com/office/spreadsheetml/2009/9/main" objectType="Drop" dropStyle="combo" dx="26" fmlaLink="$AW$33" fmlaRange="$AJ$25:$AJ$33" sel="1" val="0"/>
</file>

<file path=xl/ctrlProps/ctrlProp58.xml><?xml version="1.0" encoding="utf-8"?>
<formControlPr xmlns="http://schemas.microsoft.com/office/spreadsheetml/2009/9/main" objectType="Drop" dropStyle="combo" dx="26" fmlaLink="$AW$34" fmlaRange="$AJ$25:$AJ$33" sel="1" val="0"/>
</file>

<file path=xl/ctrlProps/ctrlProp59.xml><?xml version="1.0" encoding="utf-8"?>
<formControlPr xmlns="http://schemas.microsoft.com/office/spreadsheetml/2009/9/main" objectType="Drop" dropStyle="combo" dx="26" fmlaLink="$AX$31" fmlaRange="$AJ$25:$AJ$33" sel="1" val="0"/>
</file>

<file path=xl/ctrlProps/ctrlProp60.xml><?xml version="1.0" encoding="utf-8"?>
<formControlPr xmlns="http://schemas.microsoft.com/office/spreadsheetml/2009/9/main" objectType="Drop" dropStyle="combo" dx="26" fmlaLink="$AX$32" fmlaRange="$AJ$25:$AJ$33" sel="1" val="0"/>
</file>

<file path=xl/ctrlProps/ctrlProp61.xml><?xml version="1.0" encoding="utf-8"?>
<formControlPr xmlns="http://schemas.microsoft.com/office/spreadsheetml/2009/9/main" objectType="Drop" dropStyle="combo" dx="26" fmlaLink="$AX$33" fmlaRange="$AJ$25:$AJ$33" sel="1" val="0"/>
</file>

<file path=xl/ctrlProps/ctrlProp62.xml><?xml version="1.0" encoding="utf-8"?>
<formControlPr xmlns="http://schemas.microsoft.com/office/spreadsheetml/2009/9/main" objectType="Drop" dropStyle="combo" dx="26" fmlaLink="$AX$34" fmlaRange="$AJ$25:$AJ$33" sel="1" val="0"/>
</file>

<file path=xl/ctrlProps/ctrlProp63.xml><?xml version="1.0" encoding="utf-8"?>
<formControlPr xmlns="http://schemas.microsoft.com/office/spreadsheetml/2009/9/main" objectType="Drop" dropStyle="combo" dx="26" fmlaLink="$AY$31" fmlaRange="$AJ$25:$AJ$33" sel="1" val="0"/>
</file>

<file path=xl/ctrlProps/ctrlProp64.xml><?xml version="1.0" encoding="utf-8"?>
<formControlPr xmlns="http://schemas.microsoft.com/office/spreadsheetml/2009/9/main" objectType="Drop" dropStyle="combo" dx="26" fmlaLink="$AY$32" fmlaRange="$AJ$25:$AJ$33" sel="1" val="0"/>
</file>

<file path=xl/ctrlProps/ctrlProp65.xml><?xml version="1.0" encoding="utf-8"?>
<formControlPr xmlns="http://schemas.microsoft.com/office/spreadsheetml/2009/9/main" objectType="Drop" dropStyle="combo" dx="26" fmlaLink="$AY$33" fmlaRange="$AJ$25:$AJ$33" sel="1" val="0"/>
</file>

<file path=xl/ctrlProps/ctrlProp66.xml><?xml version="1.0" encoding="utf-8"?>
<formControlPr xmlns="http://schemas.microsoft.com/office/spreadsheetml/2009/9/main" objectType="Drop" dropStyle="combo" dx="26" fmlaLink="$AY$34" fmlaRange="$AJ$25:$AJ$33" sel="1" val="0"/>
</file>

<file path=xl/ctrlProps/ctrlProp67.xml><?xml version="1.0" encoding="utf-8"?>
<formControlPr xmlns="http://schemas.microsoft.com/office/spreadsheetml/2009/9/main" objectType="Drop" dropStyle="combo" dx="26" fmlaLink="$AZ$31" fmlaRange="$AJ$25:$AJ$33" sel="1" val="0"/>
</file>

<file path=xl/ctrlProps/ctrlProp68.xml><?xml version="1.0" encoding="utf-8"?>
<formControlPr xmlns="http://schemas.microsoft.com/office/spreadsheetml/2009/9/main" objectType="Drop" dropStyle="combo" dx="26" fmlaLink="$AZ$32" fmlaRange="$AJ$25:$AJ$33" sel="1" val="0"/>
</file>

<file path=xl/ctrlProps/ctrlProp69.xml><?xml version="1.0" encoding="utf-8"?>
<formControlPr xmlns="http://schemas.microsoft.com/office/spreadsheetml/2009/9/main" objectType="Drop" dropStyle="combo" dx="26" fmlaLink="$AZ$33" fmlaRange="$AJ$25:$AJ$33" sel="1" val="0"/>
</file>

<file path=xl/ctrlProps/ctrlProp70.xml><?xml version="1.0" encoding="utf-8"?>
<formControlPr xmlns="http://schemas.microsoft.com/office/spreadsheetml/2009/9/main" objectType="Drop" dropStyle="combo" dx="26" fmlaLink="$AZ$34" fmlaRange="$AJ$25:$AJ$33" sel="1" val="0"/>
</file>

<file path=xl/ctrlProps/ctrlProp71.xml><?xml version="1.0" encoding="utf-8"?>
<formControlPr xmlns="http://schemas.microsoft.com/office/spreadsheetml/2009/9/main" objectType="Drop" dropStyle="combo" dx="26" fmlaLink="$AU$35" fmlaRange="$AJ$42:$AJ$48" sel="1" val="0"/>
</file>

<file path=xl/ctrlProps/ctrlProp72.xml><?xml version="1.0" encoding="utf-8"?>
<formControlPr xmlns="http://schemas.microsoft.com/office/spreadsheetml/2009/9/main" objectType="Drop" dropStyle="combo" dx="26" fmlaLink="$AV$35" fmlaRange="$AJ$25:$AJ$33" sel="1" val="0"/>
</file>

<file path=xl/ctrlProps/ctrlProp73.xml><?xml version="1.0" encoding="utf-8"?>
<formControlPr xmlns="http://schemas.microsoft.com/office/spreadsheetml/2009/9/main" objectType="Drop" dropStyle="combo" dx="26" fmlaLink="$AW$35" fmlaRange="$AJ$25:$AJ$33" sel="1" val="0"/>
</file>

<file path=xl/ctrlProps/ctrlProp74.xml><?xml version="1.0" encoding="utf-8"?>
<formControlPr xmlns="http://schemas.microsoft.com/office/spreadsheetml/2009/9/main" objectType="Drop" dropStyle="combo" dx="26" fmlaLink="$AX$35" fmlaRange="$AJ$25:$AJ$33" sel="1" val="0"/>
</file>

<file path=xl/ctrlProps/ctrlProp75.xml><?xml version="1.0" encoding="utf-8"?>
<formControlPr xmlns="http://schemas.microsoft.com/office/spreadsheetml/2009/9/main" objectType="Drop" dropStyle="combo" dx="26" fmlaLink="$AY$35" fmlaRange="$AJ$25:$AJ$33" sel="1" val="0"/>
</file>

<file path=xl/ctrlProps/ctrlProp76.xml><?xml version="1.0" encoding="utf-8"?>
<formControlPr xmlns="http://schemas.microsoft.com/office/spreadsheetml/2009/9/main" objectType="Drop" dropStyle="combo" dx="26" fmlaLink="$AZ$35" fmlaRange="$AJ$25:$AJ$33" sel="1" val="0"/>
</file>

<file path=xl/ctrlProps/ctrlProp77.xml><?xml version="1.0" encoding="utf-8"?>
<formControlPr xmlns="http://schemas.microsoft.com/office/spreadsheetml/2009/9/main" objectType="Drop" dropStyle="combo" dx="26" fmlaLink="$AU$36" fmlaRange="$AJ$42:$AJ$48" sel="1" val="0"/>
</file>

<file path=xl/ctrlProps/ctrlProp78.xml><?xml version="1.0" encoding="utf-8"?>
<formControlPr xmlns="http://schemas.microsoft.com/office/spreadsheetml/2009/9/main" objectType="Drop" dropStyle="combo" dx="26" fmlaLink="$AV$36" fmlaRange="$AJ$25:$AJ$33" sel="1" val="0"/>
</file>

<file path=xl/ctrlProps/ctrlProp79.xml><?xml version="1.0" encoding="utf-8"?>
<formControlPr xmlns="http://schemas.microsoft.com/office/spreadsheetml/2009/9/main" objectType="Drop" dropStyle="combo" dx="26" fmlaLink="$AW$36" fmlaRange="$AJ$25:$AJ$33" sel="1" val="0"/>
</file>

<file path=xl/ctrlProps/ctrlProp80.xml><?xml version="1.0" encoding="utf-8"?>
<formControlPr xmlns="http://schemas.microsoft.com/office/spreadsheetml/2009/9/main" objectType="Drop" dropStyle="combo" dx="26" fmlaLink="$AX$36" fmlaRange="$AJ$25:$AJ$33" sel="1" val="0"/>
</file>

<file path=xl/ctrlProps/ctrlProp81.xml><?xml version="1.0" encoding="utf-8"?>
<formControlPr xmlns="http://schemas.microsoft.com/office/spreadsheetml/2009/9/main" objectType="Drop" dropStyle="combo" dx="26" fmlaLink="$AY$36" fmlaRange="$AJ$25:$AJ$33" sel="1" val="0"/>
</file>

<file path=xl/ctrlProps/ctrlProp82.xml><?xml version="1.0" encoding="utf-8"?>
<formControlPr xmlns="http://schemas.microsoft.com/office/spreadsheetml/2009/9/main" objectType="Drop" dropStyle="combo" dx="26" fmlaLink="$AZ$36" fmlaRange="$AJ$25:$AJ$33" sel="1" val="0"/>
</file>

<file path=xl/ctrlProps/ctrlProp83.xml><?xml version="1.0" encoding="utf-8"?>
<formControlPr xmlns="http://schemas.microsoft.com/office/spreadsheetml/2009/9/main" objectType="Drop" dropStyle="combo" dx="26" fmlaLink="$AU$37" fmlaRange="$AJ$42:$AJ$48" sel="1" val="0"/>
</file>

<file path=xl/ctrlProps/ctrlProp84.xml><?xml version="1.0" encoding="utf-8"?>
<formControlPr xmlns="http://schemas.microsoft.com/office/spreadsheetml/2009/9/main" objectType="Drop" dropStyle="combo" dx="26" fmlaLink="$AV$37" fmlaRange="$AJ$25:$AJ$33" sel="1" val="0"/>
</file>

<file path=xl/ctrlProps/ctrlProp85.xml><?xml version="1.0" encoding="utf-8"?>
<formControlPr xmlns="http://schemas.microsoft.com/office/spreadsheetml/2009/9/main" objectType="Drop" dropStyle="combo" dx="26" fmlaLink="$AW$37" fmlaRange="$AJ$25:$AJ$33" sel="1" val="0"/>
</file>

<file path=xl/ctrlProps/ctrlProp86.xml><?xml version="1.0" encoding="utf-8"?>
<formControlPr xmlns="http://schemas.microsoft.com/office/spreadsheetml/2009/9/main" objectType="Drop" dropStyle="combo" dx="26" fmlaLink="$AX$37" fmlaRange="$AJ$25:$AJ$33" sel="1" val="0"/>
</file>

<file path=xl/ctrlProps/ctrlProp87.xml><?xml version="1.0" encoding="utf-8"?>
<formControlPr xmlns="http://schemas.microsoft.com/office/spreadsheetml/2009/9/main" objectType="Drop" dropStyle="combo" dx="26" fmlaLink="$AY$37" fmlaRange="$AJ$25:$AJ$33" sel="1" val="0"/>
</file>

<file path=xl/ctrlProps/ctrlProp88.xml><?xml version="1.0" encoding="utf-8"?>
<formControlPr xmlns="http://schemas.microsoft.com/office/spreadsheetml/2009/9/main" objectType="Drop" dropStyle="combo" dx="26" fmlaLink="$AZ$37" fmlaRange="$AJ$25:$AJ$33" sel="1" val="0"/>
</file>

<file path=xl/ctrlProps/ctrlProp89.xml><?xml version="1.0" encoding="utf-8"?>
<formControlPr xmlns="http://schemas.microsoft.com/office/spreadsheetml/2009/9/main" objectType="Drop" dropStyle="combo" dx="26" fmlaLink="$AU$38" fmlaRange="$AJ$42:$AJ$48" sel="1" val="0"/>
</file>

<file path=xl/ctrlProps/ctrlProp90.xml><?xml version="1.0" encoding="utf-8"?>
<formControlPr xmlns="http://schemas.microsoft.com/office/spreadsheetml/2009/9/main" objectType="Drop" dropStyle="combo" dx="26" fmlaLink="$AV$38" fmlaRange="$AJ$25:$AJ$33" sel="1" val="0"/>
</file>

<file path=xl/ctrlProps/ctrlProp91.xml><?xml version="1.0" encoding="utf-8"?>
<formControlPr xmlns="http://schemas.microsoft.com/office/spreadsheetml/2009/9/main" objectType="Drop" dropStyle="combo" dx="26" fmlaLink="$AW$38" fmlaRange="$AJ$25:$AJ$33" sel="1" val="0"/>
</file>

<file path=xl/ctrlProps/ctrlProp92.xml><?xml version="1.0" encoding="utf-8"?>
<formControlPr xmlns="http://schemas.microsoft.com/office/spreadsheetml/2009/9/main" objectType="Drop" dropStyle="combo" dx="26" fmlaLink="$AX$38" fmlaRange="$AJ$25:$AJ$33" sel="1" val="0"/>
</file>

<file path=xl/ctrlProps/ctrlProp93.xml><?xml version="1.0" encoding="utf-8"?>
<formControlPr xmlns="http://schemas.microsoft.com/office/spreadsheetml/2009/9/main" objectType="Drop" dropStyle="combo" dx="26" fmlaLink="$AY$38" fmlaRange="$AJ$25:$AJ$33" sel="1" val="0"/>
</file>

<file path=xl/ctrlProps/ctrlProp94.xml><?xml version="1.0" encoding="utf-8"?>
<formControlPr xmlns="http://schemas.microsoft.com/office/spreadsheetml/2009/9/main" objectType="Drop" dropStyle="combo" dx="26" fmlaLink="$AZ$38" fmlaRange="$AJ$25:$AJ$33" sel="1" val="0"/>
</file>

<file path=xl/ctrlProps/ctrlProp95.xml><?xml version="1.0" encoding="utf-8"?>
<formControlPr xmlns="http://schemas.microsoft.com/office/spreadsheetml/2009/9/main" objectType="Drop" dropStyle="combo" dx="26" fmlaLink="$AU$38" fmlaRange="$AJ$42:$AJ$48" sel="1" val="0"/>
</file>

<file path=xl/ctrlProps/ctrlProp96.xml><?xml version="1.0" encoding="utf-8"?>
<formControlPr xmlns="http://schemas.microsoft.com/office/spreadsheetml/2009/9/main" objectType="Drop" dropStyle="combo" dx="26" fmlaLink="$AV$38" fmlaRange="$AJ$25:$AJ$33" sel="1" val="0"/>
</file>

<file path=xl/ctrlProps/ctrlProp97.xml><?xml version="1.0" encoding="utf-8"?>
<formControlPr xmlns="http://schemas.microsoft.com/office/spreadsheetml/2009/9/main" objectType="Drop" dropStyle="combo" dx="26" fmlaLink="$AW$38" fmlaRange="$AJ$25:$AJ$33" sel="1" val="0"/>
</file>

<file path=xl/ctrlProps/ctrlProp98.xml><?xml version="1.0" encoding="utf-8"?>
<formControlPr xmlns="http://schemas.microsoft.com/office/spreadsheetml/2009/9/main" objectType="Drop" dropStyle="combo" dx="26" fmlaLink="$AX$38" fmlaRange="$AJ$25:$AJ$33" sel="1" val="0"/>
</file>

<file path=xl/ctrlProps/ctrlProp99.xml><?xml version="1.0" encoding="utf-8"?>
<formControlPr xmlns="http://schemas.microsoft.com/office/spreadsheetml/2009/9/main" objectType="Drop" dropStyle="combo" dx="26" fmlaLink="$AY$38" fmlaRange="$AJ$25:$AJ$33" sel="1" val="0"/>
</file>

<file path=xl/ctrlProps/ctrlProp100.xml><?xml version="1.0" encoding="utf-8"?>
<formControlPr xmlns="http://schemas.microsoft.com/office/spreadsheetml/2009/9/main" objectType="Drop" dropStyle="combo" dx="26" fmlaLink="$AZ$38" fmlaRange="$AJ$25:$AJ$33" sel="1" val="0"/>
</file>

<file path=xl/ctrlProps/ctrlProp101.xml><?xml version="1.0" encoding="utf-8"?>
<formControlPr xmlns="http://schemas.microsoft.com/office/spreadsheetml/2009/9/main" objectType="Drop" dropStyle="combo" dx="26" fmlaLink="$AU$39" fmlaRange="$AJ$42:$AJ$48" sel="1" val="0"/>
</file>

<file path=xl/ctrlProps/ctrlProp102.xml><?xml version="1.0" encoding="utf-8"?>
<formControlPr xmlns="http://schemas.microsoft.com/office/spreadsheetml/2009/9/main" objectType="Drop" dropStyle="combo" dx="26" fmlaLink="$AV$39" fmlaRange="$AJ$25:$AJ$33" sel="1" val="0"/>
</file>

<file path=xl/ctrlProps/ctrlProp103.xml><?xml version="1.0" encoding="utf-8"?>
<formControlPr xmlns="http://schemas.microsoft.com/office/spreadsheetml/2009/9/main" objectType="Drop" dropStyle="combo" dx="26" fmlaLink="$AW$39" fmlaRange="$AJ$25:$AJ$33" sel="1" val="0"/>
</file>

<file path=xl/ctrlProps/ctrlProp104.xml><?xml version="1.0" encoding="utf-8"?>
<formControlPr xmlns="http://schemas.microsoft.com/office/spreadsheetml/2009/9/main" objectType="Drop" dropStyle="combo" dx="26" fmlaLink="$AX$39" fmlaRange="$AJ$25:$AJ$33" sel="1" val="0"/>
</file>

<file path=xl/ctrlProps/ctrlProp105.xml><?xml version="1.0" encoding="utf-8"?>
<formControlPr xmlns="http://schemas.microsoft.com/office/spreadsheetml/2009/9/main" objectType="Drop" dropStyle="combo" dx="26" fmlaLink="$AY$39" fmlaRange="$AJ$25:$AJ$33" sel="1" val="0"/>
</file>

<file path=xl/ctrlProps/ctrlProp106.xml><?xml version="1.0" encoding="utf-8"?>
<formControlPr xmlns="http://schemas.microsoft.com/office/spreadsheetml/2009/9/main" objectType="Drop" dropStyle="combo" dx="26" fmlaLink="$AZ$39" fmlaRange="$AJ$25:$AJ$33" sel="1" val="0"/>
</file>

<file path=xl/ctrlProps/ctrlProp107.xml><?xml version="1.0" encoding="utf-8"?>
<formControlPr xmlns="http://schemas.microsoft.com/office/spreadsheetml/2009/9/main" objectType="Drop" dropStyle="combo" dx="26" fmlaLink="$AU$40" fmlaRange="$AJ$42:$AJ$48" sel="1" val="0"/>
</file>

<file path=xl/ctrlProps/ctrlProp108.xml><?xml version="1.0" encoding="utf-8"?>
<formControlPr xmlns="http://schemas.microsoft.com/office/spreadsheetml/2009/9/main" objectType="Drop" dropStyle="combo" dx="26" fmlaLink="$AV$40" fmlaRange="$AJ$25:$AJ$33" sel="1" val="0"/>
</file>

<file path=xl/ctrlProps/ctrlProp109.xml><?xml version="1.0" encoding="utf-8"?>
<formControlPr xmlns="http://schemas.microsoft.com/office/spreadsheetml/2009/9/main" objectType="Drop" dropStyle="combo" dx="26" fmlaLink="$AW$40" fmlaRange="$AJ$25:$AJ$33" sel="1" val="0"/>
</file>

<file path=xl/ctrlProps/ctrlProp110.xml><?xml version="1.0" encoding="utf-8"?>
<formControlPr xmlns="http://schemas.microsoft.com/office/spreadsheetml/2009/9/main" objectType="Drop" dropStyle="combo" dx="26" fmlaLink="$AX$40" fmlaRange="$AJ$25:$AJ$33" sel="1" val="0"/>
</file>

<file path=xl/ctrlProps/ctrlProp111.xml><?xml version="1.0" encoding="utf-8"?>
<formControlPr xmlns="http://schemas.microsoft.com/office/spreadsheetml/2009/9/main" objectType="Drop" dropStyle="combo" dx="26" fmlaLink="$AY$40" fmlaRange="$AJ$25:$AJ$33" sel="1" val="0"/>
</file>

<file path=xl/ctrlProps/ctrlProp112.xml><?xml version="1.0" encoding="utf-8"?>
<formControlPr xmlns="http://schemas.microsoft.com/office/spreadsheetml/2009/9/main" objectType="Drop" dropStyle="combo" dx="26" fmlaLink="$AZ$40" fmlaRange="$AJ$25:$AJ$33" sel="1" val="0"/>
</file>

<file path=xl/ctrlProps/ctrlProp113.xml><?xml version="1.0" encoding="utf-8"?>
<formControlPr xmlns="http://schemas.microsoft.com/office/spreadsheetml/2009/9/main" objectType="CheckBox" checked="Checked" fmlaLink="$BC$25"/>
</file>

<file path=xl/ctrlProps/ctrlProp114.xml><?xml version="1.0" encoding="utf-8"?>
<formControlPr xmlns="http://schemas.microsoft.com/office/spreadsheetml/2009/9/main" objectType="CheckBox" checked="Checked" fmlaLink="$BC$26" lockText="1"/>
</file>

<file path=xl/ctrlProps/ctrlProp115.xml><?xml version="1.0" encoding="utf-8"?>
<formControlPr xmlns="http://schemas.microsoft.com/office/spreadsheetml/2009/9/main" objectType="CheckBox" checked="Checked" fmlaLink="$BC$27" lockText="1"/>
</file>

<file path=xl/ctrlProps/ctrlProp116.xml><?xml version="1.0" encoding="utf-8"?>
<formControlPr xmlns="http://schemas.microsoft.com/office/spreadsheetml/2009/9/main" objectType="CheckBox" checked="Checked" fmlaLink="$BC$28" lockText="1"/>
</file>

<file path=xl/ctrlProps/ctrlProp117.xml><?xml version="1.0" encoding="utf-8"?>
<formControlPr xmlns="http://schemas.microsoft.com/office/spreadsheetml/2009/9/main" objectType="CheckBox" checked="Checked" fmlaLink="$BC$29" lockText="1"/>
</file>

<file path=xl/ctrlProps/ctrlProp118.xml><?xml version="1.0" encoding="utf-8"?>
<formControlPr xmlns="http://schemas.microsoft.com/office/spreadsheetml/2009/9/main" objectType="CheckBox" checked="Checked" fmlaLink="$BC$30" lockText="1"/>
</file>

<file path=xl/ctrlProps/ctrlProp119.xml><?xml version="1.0" encoding="utf-8"?>
<formControlPr xmlns="http://schemas.microsoft.com/office/spreadsheetml/2009/9/main" objectType="CheckBox" fmlaLink="$BC$31" lockText="1"/>
</file>

<file path=xl/ctrlProps/ctrlProp120.xml><?xml version="1.0" encoding="utf-8"?>
<formControlPr xmlns="http://schemas.microsoft.com/office/spreadsheetml/2009/9/main" objectType="CheckBox" fmlaLink="$BC$32" lockText="1"/>
</file>

<file path=xl/ctrlProps/ctrlProp121.xml><?xml version="1.0" encoding="utf-8"?>
<formControlPr xmlns="http://schemas.microsoft.com/office/spreadsheetml/2009/9/main" objectType="CheckBox" fmlaLink="$BC$33" lockText="1"/>
</file>

<file path=xl/ctrlProps/ctrlProp122.xml><?xml version="1.0" encoding="utf-8"?>
<formControlPr xmlns="http://schemas.microsoft.com/office/spreadsheetml/2009/9/main" objectType="CheckBox" fmlaLink="$BC$34" lockText="1"/>
</file>

<file path=xl/ctrlProps/ctrlProp123.xml><?xml version="1.0" encoding="utf-8"?>
<formControlPr xmlns="http://schemas.microsoft.com/office/spreadsheetml/2009/9/main" objectType="CheckBox" fmlaLink="$BC$35" lockText="1"/>
</file>

<file path=xl/ctrlProps/ctrlProp124.xml><?xml version="1.0" encoding="utf-8"?>
<formControlPr xmlns="http://schemas.microsoft.com/office/spreadsheetml/2009/9/main" objectType="CheckBox" fmlaLink="$BC$36" lockText="1"/>
</file>

<file path=xl/ctrlProps/ctrlProp125.xml><?xml version="1.0" encoding="utf-8"?>
<formControlPr xmlns="http://schemas.microsoft.com/office/spreadsheetml/2009/9/main" objectType="CheckBox" fmlaLink="$BC$37" lockText="1"/>
</file>

<file path=xl/ctrlProps/ctrlProp126.xml><?xml version="1.0" encoding="utf-8"?>
<formControlPr xmlns="http://schemas.microsoft.com/office/spreadsheetml/2009/9/main" objectType="CheckBox" fmlaLink="$BC$38" lockText="1"/>
</file>

<file path=xl/ctrlProps/ctrlProp127.xml><?xml version="1.0" encoding="utf-8"?>
<formControlPr xmlns="http://schemas.microsoft.com/office/spreadsheetml/2009/9/main" objectType="CheckBox" fmlaLink="$BC$39" lockText="1"/>
</file>

<file path=xl/ctrlProps/ctrlProp128.xml><?xml version="1.0" encoding="utf-8"?>
<formControlPr xmlns="http://schemas.microsoft.com/office/spreadsheetml/2009/9/main" objectType="CheckBox" fmlaLink="$BC$40" lockText="1"/>
</file>

<file path=xl/ctrlProps/ctrlProp129.xml><?xml version="1.0" encoding="utf-8"?>
<formControlPr xmlns="http://schemas.microsoft.com/office/spreadsheetml/2009/9/main" objectType="CheckBox" checked="Checked" fmlaLink="$BC$26" lockText="1"/>
</file>

<file path=xl/ctrlProps/ctrlProp130.xml><?xml version="1.0" encoding="utf-8"?>
<formControlPr xmlns="http://schemas.microsoft.com/office/spreadsheetml/2009/9/main" objectType="CheckBox" checked="Checked" fmlaLink="$BC$27" lockText="1"/>
</file>

<file path=xl/ctrlProps/ctrlProp131.xml><?xml version="1.0" encoding="utf-8"?>
<formControlPr xmlns="http://schemas.microsoft.com/office/spreadsheetml/2009/9/main" objectType="CheckBox" checked="Checked" fmlaLink="$BC$28" lockText="1"/>
</file>

<file path=xl/ctrlProps/ctrlProp132.xml><?xml version="1.0" encoding="utf-8"?>
<formControlPr xmlns="http://schemas.microsoft.com/office/spreadsheetml/2009/9/main" objectType="CheckBox" checked="Checked" fmlaLink="$BC$29" lockText="1"/>
</file>

<file path=xl/ctrlProps/ctrlProp133.xml><?xml version="1.0" encoding="utf-8"?>
<formControlPr xmlns="http://schemas.microsoft.com/office/spreadsheetml/2009/9/main" objectType="CheckBox" checked="Checked" fmlaLink="$BC$30" lockText="1"/>
</file>

<file path=xl/ctrlProps/ctrlProp134.xml><?xml version="1.0" encoding="utf-8"?>
<formControlPr xmlns="http://schemas.microsoft.com/office/spreadsheetml/2009/9/main" objectType="CheckBox" fmlaLink="$BC$31" lockText="1"/>
</file>

<file path=xl/ctrlProps/ctrlProp135.xml><?xml version="1.0" encoding="utf-8"?>
<formControlPr xmlns="http://schemas.microsoft.com/office/spreadsheetml/2009/9/main" objectType="CheckBox" fmlaLink="$BC$32" lockText="1"/>
</file>

<file path=xl/ctrlProps/ctrlProp136.xml><?xml version="1.0" encoding="utf-8"?>
<formControlPr xmlns="http://schemas.microsoft.com/office/spreadsheetml/2009/9/main" objectType="CheckBox" fmlaLink="$BC$33" lockText="1"/>
</file>

<file path=xl/ctrlProps/ctrlProp137.xml><?xml version="1.0" encoding="utf-8"?>
<formControlPr xmlns="http://schemas.microsoft.com/office/spreadsheetml/2009/9/main" objectType="CheckBox" fmlaLink="$BC$34" lockText="1"/>
</file>

<file path=xl/ctrlProps/ctrlProp138.xml><?xml version="1.0" encoding="utf-8"?>
<formControlPr xmlns="http://schemas.microsoft.com/office/spreadsheetml/2009/9/main" objectType="CheckBox" fmlaLink="$BC$35" lockText="1"/>
</file>

<file path=xl/ctrlProps/ctrlProp139.xml><?xml version="1.0" encoding="utf-8"?>
<formControlPr xmlns="http://schemas.microsoft.com/office/spreadsheetml/2009/9/main" objectType="CheckBox" fmlaLink="$BC$36" lockText="1"/>
</file>

<file path=xl/ctrlProps/ctrlProp140.xml><?xml version="1.0" encoding="utf-8"?>
<formControlPr xmlns="http://schemas.microsoft.com/office/spreadsheetml/2009/9/main" objectType="CheckBox" fmlaLink="$BC$37" lockText="1"/>
</file>

<file path=xl/ctrlProps/ctrlProp141.xml><?xml version="1.0" encoding="utf-8"?>
<formControlPr xmlns="http://schemas.microsoft.com/office/spreadsheetml/2009/9/main" objectType="CheckBox" fmlaLink="$BC$38" lockText="1"/>
</file>

<file path=xl/ctrlProps/ctrlProp142.xml><?xml version="1.0" encoding="utf-8"?>
<formControlPr xmlns="http://schemas.microsoft.com/office/spreadsheetml/2009/9/main" objectType="CheckBox" fmlaLink="$BC$39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Drop" dropStyle="combo" dx="26" fmlaLink="$AR$25" fmlaRange="$AR$26:$AR$28" sel="3" val="0"/>
</file>

<file path=xl/ctrlProps/ctrlProp145.xml><?xml version="1.0" encoding="utf-8"?>
<formControlPr xmlns="http://schemas.microsoft.com/office/spreadsheetml/2009/9/main" objectType="Drop" dropStyle="combo" dx="26" fmlaLink="$AU$25" fmlaRange="$AJ$42:$AJ$48" sel="5" val="0"/>
</file>

<file path=xl/ctrlProps/ctrlProp146.xml><?xml version="1.0" encoding="utf-8"?>
<formControlPr xmlns="http://schemas.microsoft.com/office/spreadsheetml/2009/9/main" objectType="Drop" dropStyle="combo" dx="26" fmlaLink="$AV$25" fmlaRange="$AJ$25:$AJ$33" sel="4" val="0"/>
</file>

<file path=xl/ctrlProps/ctrlProp147.xml><?xml version="1.0" encoding="utf-8"?>
<formControlPr xmlns="http://schemas.microsoft.com/office/spreadsheetml/2009/9/main" objectType="Drop" dropStyle="combo" dx="26" fmlaLink="$AU$26" fmlaRange="$AJ$42:$AJ$48" sel="1" val="0"/>
</file>

<file path=xl/ctrlProps/ctrlProp148.xml><?xml version="1.0" encoding="utf-8"?>
<formControlPr xmlns="http://schemas.microsoft.com/office/spreadsheetml/2009/9/main" objectType="Drop" dropStyle="combo" dx="26" fmlaLink="$AV$26" fmlaRange="$AJ$25:$AJ$33" sel="1" val="0"/>
</file>

<file path=xl/ctrlProps/ctrlProp149.xml><?xml version="1.0" encoding="utf-8"?>
<formControlPr xmlns="http://schemas.microsoft.com/office/spreadsheetml/2009/9/main" objectType="Drop" dropStyle="combo" dx="26" fmlaLink="$AU$27" fmlaRange="$AJ$42:$AJ$48" sel="1" val="0"/>
</file>

<file path=xl/ctrlProps/ctrlProp150.xml><?xml version="1.0" encoding="utf-8"?>
<formControlPr xmlns="http://schemas.microsoft.com/office/spreadsheetml/2009/9/main" objectType="Drop" dropStyle="combo" dx="26" fmlaLink="$AV$27" fmlaRange="$AJ$25:$AJ$33" sel="1" val="0"/>
</file>

<file path=xl/ctrlProps/ctrlProp151.xml><?xml version="1.0" encoding="utf-8"?>
<formControlPr xmlns="http://schemas.microsoft.com/office/spreadsheetml/2009/9/main" objectType="Drop" dropStyle="combo" dx="26" fmlaLink="$AU$28" fmlaRange="$AJ$42:$AJ$48" sel="1" val="0"/>
</file>

<file path=xl/ctrlProps/ctrlProp152.xml><?xml version="1.0" encoding="utf-8"?>
<formControlPr xmlns="http://schemas.microsoft.com/office/spreadsheetml/2009/9/main" objectType="Drop" dropStyle="combo" dx="26" fmlaLink="$AV$28" fmlaRange="$AJ$25:$AJ$33" sel="1" val="0"/>
</file>

<file path=xl/ctrlProps/ctrlProp153.xml><?xml version="1.0" encoding="utf-8"?>
<formControlPr xmlns="http://schemas.microsoft.com/office/spreadsheetml/2009/9/main" objectType="Drop" dropStyle="combo" dx="26" fmlaLink="$AW$25" fmlaRange="$AJ$25:$AJ$33" sel="1" val="0"/>
</file>

<file path=xl/ctrlProps/ctrlProp154.xml><?xml version="1.0" encoding="utf-8"?>
<formControlPr xmlns="http://schemas.microsoft.com/office/spreadsheetml/2009/9/main" objectType="Drop" dropStyle="combo" dx="26" fmlaLink="$AW$26" fmlaRange="$AJ$25:$AJ$33" sel="1" val="0"/>
</file>

<file path=xl/ctrlProps/ctrlProp155.xml><?xml version="1.0" encoding="utf-8"?>
<formControlPr xmlns="http://schemas.microsoft.com/office/spreadsheetml/2009/9/main" objectType="Drop" dropStyle="combo" dx="26" fmlaLink="$AW$27" fmlaRange="$AJ$25:$AJ$33" sel="1" val="0"/>
</file>

<file path=xl/ctrlProps/ctrlProp156.xml><?xml version="1.0" encoding="utf-8"?>
<formControlPr xmlns="http://schemas.microsoft.com/office/spreadsheetml/2009/9/main" objectType="Drop" dropStyle="combo" dx="26" fmlaLink="$AW$28" fmlaRange="$AJ$25:$AJ$33" sel="1" val="0"/>
</file>

<file path=xl/ctrlProps/ctrlProp157.xml><?xml version="1.0" encoding="utf-8"?>
<formControlPr xmlns="http://schemas.microsoft.com/office/spreadsheetml/2009/9/main" objectType="Drop" dropStyle="combo" dx="26" fmlaLink="$AX$25" fmlaRange="$AJ$25:$AJ$33" sel="1" val="0"/>
</file>

<file path=xl/ctrlProps/ctrlProp158.xml><?xml version="1.0" encoding="utf-8"?>
<formControlPr xmlns="http://schemas.microsoft.com/office/spreadsheetml/2009/9/main" objectType="Drop" dropStyle="combo" dx="26" fmlaLink="$AX$26" fmlaRange="$AJ$25:$AJ$33" sel="1" val="0"/>
</file>

<file path=xl/ctrlProps/ctrlProp159.xml><?xml version="1.0" encoding="utf-8"?>
<formControlPr xmlns="http://schemas.microsoft.com/office/spreadsheetml/2009/9/main" objectType="Drop" dropStyle="combo" dx="26" fmlaLink="$AX$27" fmlaRange="$AJ$25:$AJ$33" sel="1" val="0"/>
</file>

<file path=xl/ctrlProps/ctrlProp160.xml><?xml version="1.0" encoding="utf-8"?>
<formControlPr xmlns="http://schemas.microsoft.com/office/spreadsheetml/2009/9/main" objectType="Drop" dropStyle="combo" dx="26" fmlaLink="$AX$28" fmlaRange="$AJ$25:$AJ$33" sel="1" val="0"/>
</file>

<file path=xl/ctrlProps/ctrlProp161.xml><?xml version="1.0" encoding="utf-8"?>
<formControlPr xmlns="http://schemas.microsoft.com/office/spreadsheetml/2009/9/main" objectType="Drop" dropStyle="combo" dx="26" fmlaLink="$AY$25" fmlaRange="$AJ$25:$AJ$33" sel="1" val="0"/>
</file>

<file path=xl/ctrlProps/ctrlProp162.xml><?xml version="1.0" encoding="utf-8"?>
<formControlPr xmlns="http://schemas.microsoft.com/office/spreadsheetml/2009/9/main" objectType="Drop" dropStyle="combo" dx="26" fmlaLink="$AY$26" fmlaRange="$AJ$25:$AJ$33" sel="1" val="0"/>
</file>

<file path=xl/ctrlProps/ctrlProp163.xml><?xml version="1.0" encoding="utf-8"?>
<formControlPr xmlns="http://schemas.microsoft.com/office/spreadsheetml/2009/9/main" objectType="Drop" dropStyle="combo" dx="26" fmlaLink="$AY$27" fmlaRange="$AJ$25:$AJ$33" sel="1" val="0"/>
</file>

<file path=xl/ctrlProps/ctrlProp164.xml><?xml version="1.0" encoding="utf-8"?>
<formControlPr xmlns="http://schemas.microsoft.com/office/spreadsheetml/2009/9/main" objectType="Drop" dropStyle="combo" dx="26" fmlaLink="$AY$28" fmlaRange="$AJ$25:$AJ$33" sel="1" val="0"/>
</file>

<file path=xl/ctrlProps/ctrlProp165.xml><?xml version="1.0" encoding="utf-8"?>
<formControlPr xmlns="http://schemas.microsoft.com/office/spreadsheetml/2009/9/main" objectType="Drop" dropStyle="combo" dx="26" fmlaLink="$AZ$25" fmlaRange="$AJ$25:$AJ$33" sel="1" val="0"/>
</file>

<file path=xl/ctrlProps/ctrlProp166.xml><?xml version="1.0" encoding="utf-8"?>
<formControlPr xmlns="http://schemas.microsoft.com/office/spreadsheetml/2009/9/main" objectType="Drop" dropStyle="combo" dx="26" fmlaLink="$AZ$26" fmlaRange="$AJ$25:$AJ$33" sel="1" val="0"/>
</file>

<file path=xl/ctrlProps/ctrlProp167.xml><?xml version="1.0" encoding="utf-8"?>
<formControlPr xmlns="http://schemas.microsoft.com/office/spreadsheetml/2009/9/main" objectType="Drop" dropStyle="combo" dx="26" fmlaLink="$AZ$27" fmlaRange="$AJ$25:$AJ$33" sel="1" val="0"/>
</file>

<file path=xl/ctrlProps/ctrlProp168.xml><?xml version="1.0" encoding="utf-8"?>
<formControlPr xmlns="http://schemas.microsoft.com/office/spreadsheetml/2009/9/main" objectType="Drop" dropStyle="combo" dx="26" fmlaLink="$AZ$28" fmlaRange="$AJ$25:$AJ$33" sel="1" val="0"/>
</file>

<file path=xl/ctrlProps/ctrlProp169.xml><?xml version="1.0" encoding="utf-8"?>
<formControlPr xmlns="http://schemas.microsoft.com/office/spreadsheetml/2009/9/main" objectType="Drop" dropStyle="combo" dx="26" fmlaLink="$AU$29" fmlaRange="$AJ$42:$AJ$48" sel="1" val="0"/>
</file>

<file path=xl/ctrlProps/ctrlProp170.xml><?xml version="1.0" encoding="utf-8"?>
<formControlPr xmlns="http://schemas.microsoft.com/office/spreadsheetml/2009/9/main" objectType="Drop" dropStyle="combo" dx="26" fmlaLink="$AV$29" fmlaRange="$AJ$25:$AJ$33" sel="1" val="0"/>
</file>

<file path=xl/ctrlProps/ctrlProp171.xml><?xml version="1.0" encoding="utf-8"?>
<formControlPr xmlns="http://schemas.microsoft.com/office/spreadsheetml/2009/9/main" objectType="Drop" dropStyle="combo" dx="26" fmlaLink="$AW$29" fmlaRange="$AJ$25:$AJ$33" sel="1" val="0"/>
</file>

<file path=xl/ctrlProps/ctrlProp172.xml><?xml version="1.0" encoding="utf-8"?>
<formControlPr xmlns="http://schemas.microsoft.com/office/spreadsheetml/2009/9/main" objectType="Drop" dropStyle="combo" dx="26" fmlaLink="$AX$29" fmlaRange="$AJ$25:$AJ$33" sel="1" val="0"/>
</file>

<file path=xl/ctrlProps/ctrlProp173.xml><?xml version="1.0" encoding="utf-8"?>
<formControlPr xmlns="http://schemas.microsoft.com/office/spreadsheetml/2009/9/main" objectType="Drop" dropStyle="combo" dx="26" fmlaLink="$AY$29" fmlaRange="$AJ$25:$AJ$33" sel="1" val="0"/>
</file>

<file path=xl/ctrlProps/ctrlProp174.xml><?xml version="1.0" encoding="utf-8"?>
<formControlPr xmlns="http://schemas.microsoft.com/office/spreadsheetml/2009/9/main" objectType="Drop" dropStyle="combo" dx="26" fmlaLink="$AZ$29" fmlaRange="$AJ$25:$AJ$33" sel="1" val="0"/>
</file>

<file path=xl/ctrlProps/ctrlProp175.xml><?xml version="1.0" encoding="utf-8"?>
<formControlPr xmlns="http://schemas.microsoft.com/office/spreadsheetml/2009/9/main" objectType="Drop" dropStyle="combo" dx="26" fmlaLink="$AU$30" fmlaRange="$AJ$42:$AJ$48" sel="1" val="0"/>
</file>

<file path=xl/ctrlProps/ctrlProp176.xml><?xml version="1.0" encoding="utf-8"?>
<formControlPr xmlns="http://schemas.microsoft.com/office/spreadsheetml/2009/9/main" objectType="Drop" dropStyle="combo" dx="26" fmlaLink="$AV$30" fmlaRange="$AJ$25:$AJ$33" sel="1" val="0"/>
</file>

<file path=xl/ctrlProps/ctrlProp177.xml><?xml version="1.0" encoding="utf-8"?>
<formControlPr xmlns="http://schemas.microsoft.com/office/spreadsheetml/2009/9/main" objectType="Drop" dropStyle="combo" dx="26" fmlaLink="$AW$30" fmlaRange="$AJ$25:$AJ$33" sel="1" val="0"/>
</file>

<file path=xl/ctrlProps/ctrlProp178.xml><?xml version="1.0" encoding="utf-8"?>
<formControlPr xmlns="http://schemas.microsoft.com/office/spreadsheetml/2009/9/main" objectType="Drop" dropStyle="combo" dx="26" fmlaLink="$AX$30" fmlaRange="$AJ$25:$AJ$33" sel="1" val="0"/>
</file>

<file path=xl/ctrlProps/ctrlProp179.xml><?xml version="1.0" encoding="utf-8"?>
<formControlPr xmlns="http://schemas.microsoft.com/office/spreadsheetml/2009/9/main" objectType="Drop" dropStyle="combo" dx="26" fmlaLink="$AY$30" fmlaRange="$AJ$25:$AJ$33" sel="1" val="0"/>
</file>

<file path=xl/ctrlProps/ctrlProp180.xml><?xml version="1.0" encoding="utf-8"?>
<formControlPr xmlns="http://schemas.microsoft.com/office/spreadsheetml/2009/9/main" objectType="Drop" dropStyle="combo" dx="26" fmlaLink="$AZ$30" fmlaRange="$AJ$25:$AJ$33" sel="1" val="0"/>
</file>

<file path=xl/ctrlProps/ctrlProp181.xml><?xml version="1.0" encoding="utf-8"?>
<formControlPr xmlns="http://schemas.microsoft.com/office/spreadsheetml/2009/9/main" objectType="Drop" dropStyle="combo" dx="26" fmlaLink="$AU$31" fmlaRange="$AJ$42:$AJ$48" sel="1" val="0"/>
</file>

<file path=xl/ctrlProps/ctrlProp182.xml><?xml version="1.0" encoding="utf-8"?>
<formControlPr xmlns="http://schemas.microsoft.com/office/spreadsheetml/2009/9/main" objectType="Drop" dropStyle="combo" dx="26" fmlaLink="$AV$31" fmlaRange="$AJ$25:$AJ$33" sel="1" val="0"/>
</file>

<file path=xl/ctrlProps/ctrlProp183.xml><?xml version="1.0" encoding="utf-8"?>
<formControlPr xmlns="http://schemas.microsoft.com/office/spreadsheetml/2009/9/main" objectType="Drop" dropStyle="combo" dx="26" fmlaLink="$AU$32" fmlaRange="$AJ$42:$AJ$48" sel="1" val="0"/>
</file>

<file path=xl/ctrlProps/ctrlProp184.xml><?xml version="1.0" encoding="utf-8"?>
<formControlPr xmlns="http://schemas.microsoft.com/office/spreadsheetml/2009/9/main" objectType="Drop" dropStyle="combo" dx="26" fmlaLink="$AV$32" fmlaRange="$AJ$25:$AJ$33" sel="1" val="0"/>
</file>

<file path=xl/ctrlProps/ctrlProp185.xml><?xml version="1.0" encoding="utf-8"?>
<formControlPr xmlns="http://schemas.microsoft.com/office/spreadsheetml/2009/9/main" objectType="Drop" dropStyle="combo" dx="26" fmlaLink="$AU$33" fmlaRange="$AJ$42:$AJ$48" sel="1" val="0"/>
</file>

<file path=xl/ctrlProps/ctrlProp186.xml><?xml version="1.0" encoding="utf-8"?>
<formControlPr xmlns="http://schemas.microsoft.com/office/spreadsheetml/2009/9/main" objectType="Drop" dropStyle="combo" dx="26" fmlaLink="$AV$33" fmlaRange="$AJ$25:$AJ$33" sel="1" val="0"/>
</file>

<file path=xl/ctrlProps/ctrlProp187.xml><?xml version="1.0" encoding="utf-8"?>
<formControlPr xmlns="http://schemas.microsoft.com/office/spreadsheetml/2009/9/main" objectType="Drop" dropStyle="combo" dx="26" fmlaLink="$AU$34" fmlaRange="$AJ$42:$AJ$48" sel="1" val="0"/>
</file>

<file path=xl/ctrlProps/ctrlProp188.xml><?xml version="1.0" encoding="utf-8"?>
<formControlPr xmlns="http://schemas.microsoft.com/office/spreadsheetml/2009/9/main" objectType="Drop" dropStyle="combo" dx="26" fmlaLink="$AV$34" fmlaRange="$AJ$25:$AJ$33" sel="1" val="0"/>
</file>

<file path=xl/ctrlProps/ctrlProp189.xml><?xml version="1.0" encoding="utf-8"?>
<formControlPr xmlns="http://schemas.microsoft.com/office/spreadsheetml/2009/9/main" objectType="Drop" dropStyle="combo" dx="26" fmlaLink="$AW$31" fmlaRange="$AJ$25:$AJ$33" sel="1" val="0"/>
</file>

<file path=xl/ctrlProps/ctrlProp190.xml><?xml version="1.0" encoding="utf-8"?>
<formControlPr xmlns="http://schemas.microsoft.com/office/spreadsheetml/2009/9/main" objectType="Drop" dropStyle="combo" dx="26" fmlaLink="$AW$32" fmlaRange="$AJ$25:$AJ$33" sel="1" val="0"/>
</file>

<file path=xl/ctrlProps/ctrlProp191.xml><?xml version="1.0" encoding="utf-8"?>
<formControlPr xmlns="http://schemas.microsoft.com/office/spreadsheetml/2009/9/main" objectType="Drop" dropStyle="combo" dx="26" fmlaLink="$AW$33" fmlaRange="$AJ$25:$AJ$33" sel="1" val="0"/>
</file>

<file path=xl/ctrlProps/ctrlProp192.xml><?xml version="1.0" encoding="utf-8"?>
<formControlPr xmlns="http://schemas.microsoft.com/office/spreadsheetml/2009/9/main" objectType="Drop" dropStyle="combo" dx="26" fmlaLink="$AW$34" fmlaRange="$AJ$25:$AJ$33" sel="1" val="0"/>
</file>

<file path=xl/ctrlProps/ctrlProp193.xml><?xml version="1.0" encoding="utf-8"?>
<formControlPr xmlns="http://schemas.microsoft.com/office/spreadsheetml/2009/9/main" objectType="Drop" dropStyle="combo" dx="26" fmlaLink="$AX$31" fmlaRange="$AJ$25:$AJ$33" sel="1" val="0"/>
</file>

<file path=xl/ctrlProps/ctrlProp194.xml><?xml version="1.0" encoding="utf-8"?>
<formControlPr xmlns="http://schemas.microsoft.com/office/spreadsheetml/2009/9/main" objectType="Drop" dropStyle="combo" dx="26" fmlaLink="$AX$32" fmlaRange="$AJ$25:$AJ$33" sel="1" val="0"/>
</file>

<file path=xl/ctrlProps/ctrlProp195.xml><?xml version="1.0" encoding="utf-8"?>
<formControlPr xmlns="http://schemas.microsoft.com/office/spreadsheetml/2009/9/main" objectType="Drop" dropStyle="combo" dx="26" fmlaLink="$AX$33" fmlaRange="$AJ$25:$AJ$33" sel="1" val="0"/>
</file>

<file path=xl/ctrlProps/ctrlProp196.xml><?xml version="1.0" encoding="utf-8"?>
<formControlPr xmlns="http://schemas.microsoft.com/office/spreadsheetml/2009/9/main" objectType="Drop" dropStyle="combo" dx="26" fmlaLink="$AX$34" fmlaRange="$AJ$25:$AJ$33" sel="1" val="0"/>
</file>

<file path=xl/ctrlProps/ctrlProp197.xml><?xml version="1.0" encoding="utf-8"?>
<formControlPr xmlns="http://schemas.microsoft.com/office/spreadsheetml/2009/9/main" objectType="Drop" dropStyle="combo" dx="26" fmlaLink="$AY$31" fmlaRange="$AJ$25:$AJ$33" sel="1" val="0"/>
</file>

<file path=xl/ctrlProps/ctrlProp198.xml><?xml version="1.0" encoding="utf-8"?>
<formControlPr xmlns="http://schemas.microsoft.com/office/spreadsheetml/2009/9/main" objectType="Drop" dropStyle="combo" dx="26" fmlaLink="$AY$32" fmlaRange="$AJ$25:$AJ$33" sel="1" val="0"/>
</file>

<file path=xl/ctrlProps/ctrlProp199.xml><?xml version="1.0" encoding="utf-8"?>
<formControlPr xmlns="http://schemas.microsoft.com/office/spreadsheetml/2009/9/main" objectType="Drop" dropStyle="combo" dx="26" fmlaLink="$AY$33" fmlaRange="$AJ$25:$AJ$33" sel="1" val="0"/>
</file>

<file path=xl/ctrlProps/ctrlProp200.xml><?xml version="1.0" encoding="utf-8"?>
<formControlPr xmlns="http://schemas.microsoft.com/office/spreadsheetml/2009/9/main" objectType="Drop" dropStyle="combo" dx="26" fmlaLink="$AY$34" fmlaRange="$AJ$25:$AJ$33" sel="1" val="0"/>
</file>

<file path=xl/ctrlProps/ctrlProp201.xml><?xml version="1.0" encoding="utf-8"?>
<formControlPr xmlns="http://schemas.microsoft.com/office/spreadsheetml/2009/9/main" objectType="Drop" dropStyle="combo" dx="26" fmlaLink="$AZ$31" fmlaRange="$AJ$25:$AJ$33" sel="1" val="0"/>
</file>

<file path=xl/ctrlProps/ctrlProp202.xml><?xml version="1.0" encoding="utf-8"?>
<formControlPr xmlns="http://schemas.microsoft.com/office/spreadsheetml/2009/9/main" objectType="Drop" dropStyle="combo" dx="26" fmlaLink="$AZ$32" fmlaRange="$AJ$25:$AJ$33" sel="1" val="0"/>
</file>

<file path=xl/ctrlProps/ctrlProp203.xml><?xml version="1.0" encoding="utf-8"?>
<formControlPr xmlns="http://schemas.microsoft.com/office/spreadsheetml/2009/9/main" objectType="Drop" dropStyle="combo" dx="26" fmlaLink="$AZ$33" fmlaRange="$AJ$25:$AJ$33" sel="1" val="0"/>
</file>

<file path=xl/ctrlProps/ctrlProp204.xml><?xml version="1.0" encoding="utf-8"?>
<formControlPr xmlns="http://schemas.microsoft.com/office/spreadsheetml/2009/9/main" objectType="Drop" dropStyle="combo" dx="26" fmlaLink="$AZ$34" fmlaRange="$AJ$25:$AJ$33" sel="1" val="0"/>
</file>

<file path=xl/ctrlProps/ctrlProp205.xml><?xml version="1.0" encoding="utf-8"?>
<formControlPr xmlns="http://schemas.microsoft.com/office/spreadsheetml/2009/9/main" objectType="Drop" dropStyle="combo" dx="26" fmlaLink="$AU$35" fmlaRange="$AJ$42:$AJ$48" sel="1" val="0"/>
</file>

<file path=xl/ctrlProps/ctrlProp206.xml><?xml version="1.0" encoding="utf-8"?>
<formControlPr xmlns="http://schemas.microsoft.com/office/spreadsheetml/2009/9/main" objectType="Drop" dropStyle="combo" dx="26" fmlaLink="$AV$35" fmlaRange="$AJ$25:$AJ$33" sel="1" val="0"/>
</file>

<file path=xl/ctrlProps/ctrlProp207.xml><?xml version="1.0" encoding="utf-8"?>
<formControlPr xmlns="http://schemas.microsoft.com/office/spreadsheetml/2009/9/main" objectType="Drop" dropStyle="combo" dx="26" fmlaLink="$AW$35" fmlaRange="$AJ$25:$AJ$33" sel="1" val="0"/>
</file>

<file path=xl/ctrlProps/ctrlProp208.xml><?xml version="1.0" encoding="utf-8"?>
<formControlPr xmlns="http://schemas.microsoft.com/office/spreadsheetml/2009/9/main" objectType="Drop" dropStyle="combo" dx="26" fmlaLink="$AX$35" fmlaRange="$AJ$25:$AJ$33" sel="1" val="0"/>
</file>

<file path=xl/ctrlProps/ctrlProp209.xml><?xml version="1.0" encoding="utf-8"?>
<formControlPr xmlns="http://schemas.microsoft.com/office/spreadsheetml/2009/9/main" objectType="Drop" dropStyle="combo" dx="26" fmlaLink="$AY$35" fmlaRange="$AJ$25:$AJ$33" sel="1" val="0"/>
</file>

<file path=xl/ctrlProps/ctrlProp210.xml><?xml version="1.0" encoding="utf-8"?>
<formControlPr xmlns="http://schemas.microsoft.com/office/spreadsheetml/2009/9/main" objectType="Drop" dropStyle="combo" dx="26" fmlaLink="$AZ$35" fmlaRange="$AJ$25:$AJ$33" sel="1" val="0"/>
</file>

<file path=xl/ctrlProps/ctrlProp211.xml><?xml version="1.0" encoding="utf-8"?>
<formControlPr xmlns="http://schemas.microsoft.com/office/spreadsheetml/2009/9/main" objectType="Drop" dropStyle="combo" dx="26" fmlaLink="$AU$36" fmlaRange="$AJ$42:$AJ$48" sel="1" val="0"/>
</file>

<file path=xl/ctrlProps/ctrlProp212.xml><?xml version="1.0" encoding="utf-8"?>
<formControlPr xmlns="http://schemas.microsoft.com/office/spreadsheetml/2009/9/main" objectType="Drop" dropStyle="combo" dx="26" fmlaLink="$AV$36" fmlaRange="$AJ$25:$AJ$33" sel="1" val="0"/>
</file>

<file path=xl/ctrlProps/ctrlProp213.xml><?xml version="1.0" encoding="utf-8"?>
<formControlPr xmlns="http://schemas.microsoft.com/office/spreadsheetml/2009/9/main" objectType="Drop" dropStyle="combo" dx="26" fmlaLink="$AW$36" fmlaRange="$AJ$25:$AJ$33" sel="1" val="0"/>
</file>

<file path=xl/ctrlProps/ctrlProp214.xml><?xml version="1.0" encoding="utf-8"?>
<formControlPr xmlns="http://schemas.microsoft.com/office/spreadsheetml/2009/9/main" objectType="Drop" dropStyle="combo" dx="26" fmlaLink="$AX$36" fmlaRange="$AJ$25:$AJ$33" sel="1" val="0"/>
</file>

<file path=xl/ctrlProps/ctrlProp215.xml><?xml version="1.0" encoding="utf-8"?>
<formControlPr xmlns="http://schemas.microsoft.com/office/spreadsheetml/2009/9/main" objectType="Drop" dropStyle="combo" dx="26" fmlaLink="$AY$36" fmlaRange="$AJ$25:$AJ$33" sel="1" val="0"/>
</file>

<file path=xl/ctrlProps/ctrlProp216.xml><?xml version="1.0" encoding="utf-8"?>
<formControlPr xmlns="http://schemas.microsoft.com/office/spreadsheetml/2009/9/main" objectType="Drop" dropStyle="combo" dx="26" fmlaLink="$AZ$36" fmlaRange="$AJ$25:$AJ$33" sel="1" val="0"/>
</file>

<file path=xl/ctrlProps/ctrlProp217.xml><?xml version="1.0" encoding="utf-8"?>
<formControlPr xmlns="http://schemas.microsoft.com/office/spreadsheetml/2009/9/main" objectType="Drop" dropStyle="combo" dx="26" fmlaLink="$AU$37" fmlaRange="$AJ$42:$AJ$48" sel="1" val="0"/>
</file>

<file path=xl/ctrlProps/ctrlProp218.xml><?xml version="1.0" encoding="utf-8"?>
<formControlPr xmlns="http://schemas.microsoft.com/office/spreadsheetml/2009/9/main" objectType="Drop" dropStyle="combo" dx="26" fmlaLink="$AV$37" fmlaRange="$AJ$25:$AJ$33" sel="1" val="0"/>
</file>

<file path=xl/ctrlProps/ctrlProp219.xml><?xml version="1.0" encoding="utf-8"?>
<formControlPr xmlns="http://schemas.microsoft.com/office/spreadsheetml/2009/9/main" objectType="Drop" dropStyle="combo" dx="26" fmlaLink="$AW$37" fmlaRange="$AJ$25:$AJ$33" sel="1" val="0"/>
</file>

<file path=xl/ctrlProps/ctrlProp220.xml><?xml version="1.0" encoding="utf-8"?>
<formControlPr xmlns="http://schemas.microsoft.com/office/spreadsheetml/2009/9/main" objectType="Drop" dropStyle="combo" dx="26" fmlaLink="$AX$37" fmlaRange="$AJ$25:$AJ$33" sel="1" val="0"/>
</file>

<file path=xl/ctrlProps/ctrlProp221.xml><?xml version="1.0" encoding="utf-8"?>
<formControlPr xmlns="http://schemas.microsoft.com/office/spreadsheetml/2009/9/main" objectType="Drop" dropStyle="combo" dx="26" fmlaLink="$AY$37" fmlaRange="$AJ$25:$AJ$33" sel="1" val="0"/>
</file>

<file path=xl/ctrlProps/ctrlProp222.xml><?xml version="1.0" encoding="utf-8"?>
<formControlPr xmlns="http://schemas.microsoft.com/office/spreadsheetml/2009/9/main" objectType="Drop" dropStyle="combo" dx="26" fmlaLink="$AZ$37" fmlaRange="$AJ$25:$AJ$33" sel="1" val="0"/>
</file>

<file path=xl/ctrlProps/ctrlProp223.xml><?xml version="1.0" encoding="utf-8"?>
<formControlPr xmlns="http://schemas.microsoft.com/office/spreadsheetml/2009/9/main" objectType="Drop" dropStyle="combo" dx="26" fmlaLink="$AU$38" fmlaRange="$AJ$42:$AJ$48" sel="1" val="0"/>
</file>

<file path=xl/ctrlProps/ctrlProp224.xml><?xml version="1.0" encoding="utf-8"?>
<formControlPr xmlns="http://schemas.microsoft.com/office/spreadsheetml/2009/9/main" objectType="Drop" dropStyle="combo" dx="26" fmlaLink="$AV$38" fmlaRange="$AJ$25:$AJ$33" sel="1" val="0"/>
</file>

<file path=xl/ctrlProps/ctrlProp225.xml><?xml version="1.0" encoding="utf-8"?>
<formControlPr xmlns="http://schemas.microsoft.com/office/spreadsheetml/2009/9/main" objectType="Drop" dropStyle="combo" dx="26" fmlaLink="$AW$38" fmlaRange="$AJ$25:$AJ$33" sel="1" val="0"/>
</file>

<file path=xl/ctrlProps/ctrlProp226.xml><?xml version="1.0" encoding="utf-8"?>
<formControlPr xmlns="http://schemas.microsoft.com/office/spreadsheetml/2009/9/main" objectType="Drop" dropStyle="combo" dx="26" fmlaLink="$AX$38" fmlaRange="$AJ$25:$AJ$33" sel="1" val="0"/>
</file>

<file path=xl/ctrlProps/ctrlProp227.xml><?xml version="1.0" encoding="utf-8"?>
<formControlPr xmlns="http://schemas.microsoft.com/office/spreadsheetml/2009/9/main" objectType="Drop" dropStyle="combo" dx="26" fmlaLink="$AY$38" fmlaRange="$AJ$25:$AJ$33" sel="1" val="0"/>
</file>

<file path=xl/ctrlProps/ctrlProp228.xml><?xml version="1.0" encoding="utf-8"?>
<formControlPr xmlns="http://schemas.microsoft.com/office/spreadsheetml/2009/9/main" objectType="Drop" dropStyle="combo" dx="26" fmlaLink="$AZ$38" fmlaRange="$AJ$25:$AJ$33" sel="1" val="0"/>
</file>

<file path=xl/ctrlProps/ctrlProp229.xml><?xml version="1.0" encoding="utf-8"?>
<formControlPr xmlns="http://schemas.microsoft.com/office/spreadsheetml/2009/9/main" objectType="Drop" dropStyle="combo" dx="26" fmlaLink="$AU$38" fmlaRange="$AJ$42:$AJ$48" sel="1" val="0"/>
</file>

<file path=xl/ctrlProps/ctrlProp230.xml><?xml version="1.0" encoding="utf-8"?>
<formControlPr xmlns="http://schemas.microsoft.com/office/spreadsheetml/2009/9/main" objectType="Drop" dropStyle="combo" dx="26" fmlaLink="$AV$38" fmlaRange="$AJ$25:$AJ$33" sel="1" val="0"/>
</file>

<file path=xl/ctrlProps/ctrlProp231.xml><?xml version="1.0" encoding="utf-8"?>
<formControlPr xmlns="http://schemas.microsoft.com/office/spreadsheetml/2009/9/main" objectType="Drop" dropStyle="combo" dx="26" fmlaLink="$AW$38" fmlaRange="$AJ$25:$AJ$33" sel="1" val="0"/>
</file>

<file path=xl/ctrlProps/ctrlProp232.xml><?xml version="1.0" encoding="utf-8"?>
<formControlPr xmlns="http://schemas.microsoft.com/office/spreadsheetml/2009/9/main" objectType="Drop" dropStyle="combo" dx="26" fmlaLink="$AX$38" fmlaRange="$AJ$25:$AJ$33" sel="1" val="0"/>
</file>

<file path=xl/ctrlProps/ctrlProp233.xml><?xml version="1.0" encoding="utf-8"?>
<formControlPr xmlns="http://schemas.microsoft.com/office/spreadsheetml/2009/9/main" objectType="Drop" dropStyle="combo" dx="26" fmlaLink="$AY$38" fmlaRange="$AJ$25:$AJ$33" sel="1" val="0"/>
</file>

<file path=xl/ctrlProps/ctrlProp234.xml><?xml version="1.0" encoding="utf-8"?>
<formControlPr xmlns="http://schemas.microsoft.com/office/spreadsheetml/2009/9/main" objectType="Drop" dropStyle="combo" dx="26" fmlaLink="$AZ$38" fmlaRange="$AJ$25:$AJ$33" sel="1" val="0"/>
</file>

<file path=xl/ctrlProps/ctrlProp235.xml><?xml version="1.0" encoding="utf-8"?>
<formControlPr xmlns="http://schemas.microsoft.com/office/spreadsheetml/2009/9/main" objectType="Drop" dropStyle="combo" dx="26" fmlaLink="$AU$39" fmlaRange="$AJ$42:$AJ$48" sel="1" val="0"/>
</file>

<file path=xl/ctrlProps/ctrlProp236.xml><?xml version="1.0" encoding="utf-8"?>
<formControlPr xmlns="http://schemas.microsoft.com/office/spreadsheetml/2009/9/main" objectType="Drop" dropStyle="combo" dx="26" fmlaLink="$AV$39" fmlaRange="$AJ$25:$AJ$33" sel="1" val="0"/>
</file>

<file path=xl/ctrlProps/ctrlProp237.xml><?xml version="1.0" encoding="utf-8"?>
<formControlPr xmlns="http://schemas.microsoft.com/office/spreadsheetml/2009/9/main" objectType="Drop" dropStyle="combo" dx="26" fmlaLink="$AW$39" fmlaRange="$AJ$25:$AJ$33" sel="1" val="0"/>
</file>

<file path=xl/ctrlProps/ctrlProp238.xml><?xml version="1.0" encoding="utf-8"?>
<formControlPr xmlns="http://schemas.microsoft.com/office/spreadsheetml/2009/9/main" objectType="Drop" dropStyle="combo" dx="26" fmlaLink="$AX$39" fmlaRange="$AJ$25:$AJ$33" sel="1" val="0"/>
</file>

<file path=xl/ctrlProps/ctrlProp239.xml><?xml version="1.0" encoding="utf-8"?>
<formControlPr xmlns="http://schemas.microsoft.com/office/spreadsheetml/2009/9/main" objectType="Drop" dropStyle="combo" dx="26" fmlaLink="$AY$39" fmlaRange="$AJ$25:$AJ$33" sel="1" val="0"/>
</file>

<file path=xl/ctrlProps/ctrlProp240.xml><?xml version="1.0" encoding="utf-8"?>
<formControlPr xmlns="http://schemas.microsoft.com/office/spreadsheetml/2009/9/main" objectType="Drop" dropStyle="combo" dx="26" fmlaLink="$AZ$39" fmlaRange="$AJ$25:$AJ$33" sel="1" val="0"/>
</file>

<file path=xl/ctrlProps/ctrlProp241.xml><?xml version="1.0" encoding="utf-8"?>
<formControlPr xmlns="http://schemas.microsoft.com/office/spreadsheetml/2009/9/main" objectType="Drop" dropStyle="combo" dx="26" fmlaLink="$AU$40" fmlaRange="$AJ$42:$AJ$48" sel="1" val="0"/>
</file>

<file path=xl/ctrlProps/ctrlProp242.xml><?xml version="1.0" encoding="utf-8"?>
<formControlPr xmlns="http://schemas.microsoft.com/office/spreadsheetml/2009/9/main" objectType="Drop" dropStyle="combo" dx="26" fmlaLink="$AV$40" fmlaRange="$AJ$25:$AJ$33" sel="1" val="0"/>
</file>

<file path=xl/ctrlProps/ctrlProp243.xml><?xml version="1.0" encoding="utf-8"?>
<formControlPr xmlns="http://schemas.microsoft.com/office/spreadsheetml/2009/9/main" objectType="Drop" dropStyle="combo" dx="26" fmlaLink="$AW$40" fmlaRange="$AJ$25:$AJ$33" sel="1" val="0"/>
</file>

<file path=xl/ctrlProps/ctrlProp244.xml><?xml version="1.0" encoding="utf-8"?>
<formControlPr xmlns="http://schemas.microsoft.com/office/spreadsheetml/2009/9/main" objectType="Drop" dropStyle="combo" dx="26" fmlaLink="$AX$40" fmlaRange="$AJ$25:$AJ$33" sel="1" val="0"/>
</file>

<file path=xl/ctrlProps/ctrlProp245.xml><?xml version="1.0" encoding="utf-8"?>
<formControlPr xmlns="http://schemas.microsoft.com/office/spreadsheetml/2009/9/main" objectType="Drop" dropStyle="combo" dx="26" fmlaLink="$AY$40" fmlaRange="$AJ$25:$AJ$33" sel="1" val="0"/>
</file>

<file path=xl/ctrlProps/ctrlProp246.xml><?xml version="1.0" encoding="utf-8"?>
<formControlPr xmlns="http://schemas.microsoft.com/office/spreadsheetml/2009/9/main" objectType="Drop" dropStyle="combo" dx="26" fmlaLink="$AZ$40" fmlaRange="$AJ$25:$AJ$33" sel="1" val="0"/>
</file>

<file path=xl/ctrlProps/ctrlProp247.xml><?xml version="1.0" encoding="utf-8"?>
<formControlPr xmlns="http://schemas.microsoft.com/office/spreadsheetml/2009/9/main" objectType="Drop" dropStyle="combo" dx="26" fmlaLink="$AT$46" fmlaRange="$AT$44:$AT$45" noThreeD="1" sel="1" val="0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CheckBox" fmlaLink="$BC$25"/>
</file>

<file path=xl/ctrlProps/ctrlProp250.xml><?xml version="1.0" encoding="utf-8"?>
<formControlPr xmlns="http://schemas.microsoft.com/office/spreadsheetml/2009/9/main" objectType="Drop" dropStyle="combo" dx="26" fmlaLink="$AR$25" fmlaRange="$AR$26:$AR$28" sel="1" val="0"/>
</file>

<file path=xl/ctrlProps/ctrlProp251.xml><?xml version="1.0" encoding="utf-8"?>
<formControlPr xmlns="http://schemas.microsoft.com/office/spreadsheetml/2009/9/main" objectType="Drop" dropStyle="combo" dx="26" fmlaLink="$AU$25" fmlaRange="$AJ$42:$AJ$49" sel="6" val="0"/>
</file>

<file path=xl/ctrlProps/ctrlProp252.xml><?xml version="1.0" encoding="utf-8"?>
<formControlPr xmlns="http://schemas.microsoft.com/office/spreadsheetml/2009/9/main" objectType="Drop" dropStyle="combo" dx="26" fmlaLink="$AV$25" fmlaRange="$AI$25:$AI$33" sel="1" val="0"/>
</file>

<file path=xl/ctrlProps/ctrlProp253.xml><?xml version="1.0" encoding="utf-8"?>
<formControlPr xmlns="http://schemas.microsoft.com/office/spreadsheetml/2009/9/main" objectType="Drop" dropStyle="combo" dx="26" fmlaLink="$AU$26" fmlaRange="$AJ$42:$AJ$49" sel="5" val="0"/>
</file>

<file path=xl/ctrlProps/ctrlProp254.xml><?xml version="1.0" encoding="utf-8"?>
<formControlPr xmlns="http://schemas.microsoft.com/office/spreadsheetml/2009/9/main" objectType="Drop" dropStyle="combo" dx="26" fmlaLink="$AV$26" fmlaRange="$AI$25:$AI$33" sel="1" val="0"/>
</file>

<file path=xl/ctrlProps/ctrlProp255.xml><?xml version="1.0" encoding="utf-8"?>
<formControlPr xmlns="http://schemas.microsoft.com/office/spreadsheetml/2009/9/main" objectType="Drop" dropStyle="combo" dx="26" fmlaLink="$AU$27" fmlaRange="$AJ$42:$AJ$49" sel="4" val="0"/>
</file>

<file path=xl/ctrlProps/ctrlProp256.xml><?xml version="1.0" encoding="utf-8"?>
<formControlPr xmlns="http://schemas.microsoft.com/office/spreadsheetml/2009/9/main" objectType="Drop" dropStyle="combo" dx="26" fmlaLink="$AV$27" fmlaRange="$AI$25:$AI$33" sel="1" val="0"/>
</file>

<file path=xl/ctrlProps/ctrlProp257.xml><?xml version="1.0" encoding="utf-8"?>
<formControlPr xmlns="http://schemas.microsoft.com/office/spreadsheetml/2009/9/main" objectType="Drop" dropStyle="combo" dx="26" fmlaLink="$AU$28" fmlaRange="$AJ$42:$AJ$49" sel="5" val="0"/>
</file>

<file path=xl/ctrlProps/ctrlProp258.xml><?xml version="1.0" encoding="utf-8"?>
<formControlPr xmlns="http://schemas.microsoft.com/office/spreadsheetml/2009/9/main" objectType="Drop" dropStyle="combo" dx="26" fmlaLink="$AV$28" fmlaRange="$AI$25:$AI$33" sel="1" val="0"/>
</file>

<file path=xl/ctrlProps/ctrlProp259.xml><?xml version="1.0" encoding="utf-8"?>
<formControlPr xmlns="http://schemas.microsoft.com/office/spreadsheetml/2009/9/main" objectType="Drop" dropStyle="combo" dx="26" fmlaLink="$AW$25" fmlaRange="$AI$25:$AI$33" sel="1" val="0"/>
</file>

<file path=xl/ctrlProps/ctrlProp260.xml><?xml version="1.0" encoding="utf-8"?>
<formControlPr xmlns="http://schemas.microsoft.com/office/spreadsheetml/2009/9/main" objectType="Drop" dropStyle="combo" dx="26" fmlaLink="$AW$26" fmlaRange="$AI$25:$AI$33" sel="1" val="0"/>
</file>

<file path=xl/ctrlProps/ctrlProp261.xml><?xml version="1.0" encoding="utf-8"?>
<formControlPr xmlns="http://schemas.microsoft.com/office/spreadsheetml/2009/9/main" objectType="Drop" dropStyle="combo" dx="26" fmlaLink="$AW$27" fmlaRange="$AI$25:$AI$33" sel="1" val="0"/>
</file>

<file path=xl/ctrlProps/ctrlProp262.xml><?xml version="1.0" encoding="utf-8"?>
<formControlPr xmlns="http://schemas.microsoft.com/office/spreadsheetml/2009/9/main" objectType="Drop" dropStyle="combo" dx="26" fmlaLink="$AW$28" fmlaRange="$AI$25:$AI$33" sel="1" val="0"/>
</file>

<file path=xl/ctrlProps/ctrlProp263.xml><?xml version="1.0" encoding="utf-8"?>
<formControlPr xmlns="http://schemas.microsoft.com/office/spreadsheetml/2009/9/main" objectType="Drop" dropStyle="combo" dx="26" fmlaLink="$AX$25" fmlaRange="$AI$25:$AI$33" sel="1" val="0"/>
</file>

<file path=xl/ctrlProps/ctrlProp264.xml><?xml version="1.0" encoding="utf-8"?>
<formControlPr xmlns="http://schemas.microsoft.com/office/spreadsheetml/2009/9/main" objectType="Drop" dropStyle="combo" dx="26" fmlaLink="$AX$26" fmlaRange="$AI$25:$AI$33" sel="1" val="0"/>
</file>

<file path=xl/ctrlProps/ctrlProp265.xml><?xml version="1.0" encoding="utf-8"?>
<formControlPr xmlns="http://schemas.microsoft.com/office/spreadsheetml/2009/9/main" objectType="Drop" dropStyle="combo" dx="26" fmlaLink="$AX$27" fmlaRange="$AI$25:$AI$33" sel="1" val="0"/>
</file>

<file path=xl/ctrlProps/ctrlProp266.xml><?xml version="1.0" encoding="utf-8"?>
<formControlPr xmlns="http://schemas.microsoft.com/office/spreadsheetml/2009/9/main" objectType="Drop" dropStyle="combo" dx="26" fmlaLink="$AX$28" fmlaRange="$AI$25:$AI$33" sel="1" val="0"/>
</file>

<file path=xl/ctrlProps/ctrlProp267.xml><?xml version="1.0" encoding="utf-8"?>
<formControlPr xmlns="http://schemas.microsoft.com/office/spreadsheetml/2009/9/main" objectType="Drop" dropStyle="combo" dx="26" fmlaLink="$AY$25" fmlaRange="$AI$25:$AI$33" sel="1" val="0"/>
</file>

<file path=xl/ctrlProps/ctrlProp268.xml><?xml version="1.0" encoding="utf-8"?>
<formControlPr xmlns="http://schemas.microsoft.com/office/spreadsheetml/2009/9/main" objectType="Drop" dropStyle="combo" dx="26" fmlaLink="$AY$26" fmlaRange="$AI$25:$AI$33" sel="1" val="0"/>
</file>

<file path=xl/ctrlProps/ctrlProp269.xml><?xml version="1.0" encoding="utf-8"?>
<formControlPr xmlns="http://schemas.microsoft.com/office/spreadsheetml/2009/9/main" objectType="Drop" dropStyle="combo" dx="26" fmlaLink="$AY$27" fmlaRange="$AI$25:$AI$33" sel="1" val="0"/>
</file>

<file path=xl/ctrlProps/ctrlProp270.xml><?xml version="1.0" encoding="utf-8"?>
<formControlPr xmlns="http://schemas.microsoft.com/office/spreadsheetml/2009/9/main" objectType="Drop" dropStyle="combo" dx="26" fmlaLink="$AY$28" fmlaRange="$AI$25:$AI$33" sel="1" val="0"/>
</file>

<file path=xl/ctrlProps/ctrlProp271.xml><?xml version="1.0" encoding="utf-8"?>
<formControlPr xmlns="http://schemas.microsoft.com/office/spreadsheetml/2009/9/main" objectType="Drop" dropStyle="combo" dx="26" fmlaLink="$AZ$25" fmlaRange="$AI$25:$AI$33" sel="1" val="0"/>
</file>

<file path=xl/ctrlProps/ctrlProp272.xml><?xml version="1.0" encoding="utf-8"?>
<formControlPr xmlns="http://schemas.microsoft.com/office/spreadsheetml/2009/9/main" objectType="Drop" dropStyle="combo" dx="26" fmlaLink="$AZ$26" fmlaRange="$AI$25:$AI$33" sel="1" val="0"/>
</file>

<file path=xl/ctrlProps/ctrlProp273.xml><?xml version="1.0" encoding="utf-8"?>
<formControlPr xmlns="http://schemas.microsoft.com/office/spreadsheetml/2009/9/main" objectType="Drop" dropStyle="combo" dx="26" fmlaLink="$AZ$27" fmlaRange="$AI$25:$AI$33" sel="1" val="0"/>
</file>

<file path=xl/ctrlProps/ctrlProp274.xml><?xml version="1.0" encoding="utf-8"?>
<formControlPr xmlns="http://schemas.microsoft.com/office/spreadsheetml/2009/9/main" objectType="Drop" dropStyle="combo" dx="26" fmlaLink="$AZ$28" fmlaRange="$AI$25:$AI$33" sel="1" val="0"/>
</file>

<file path=xl/ctrlProps/ctrlProp275.xml><?xml version="1.0" encoding="utf-8"?>
<formControlPr xmlns="http://schemas.microsoft.com/office/spreadsheetml/2009/9/main" objectType="Drop" dropStyle="combo" dx="26" fmlaLink="$AR$35" fmlaRange="$AR$36:$AR$37" sel="1" val="0"/>
</file>

<file path=xl/ctrlProps/ctrlProp276.xml><?xml version="1.0" encoding="utf-8"?>
<formControlPr xmlns="http://schemas.microsoft.com/office/spreadsheetml/2009/9/main" objectType="Drop" dropStyle="combo" dx="26" fmlaLink="$AU$29" fmlaRange="$AJ$42:$AJ$49" sel="6" val="0"/>
</file>

<file path=xl/ctrlProps/ctrlProp277.xml><?xml version="1.0" encoding="utf-8"?>
<formControlPr xmlns="http://schemas.microsoft.com/office/spreadsheetml/2009/9/main" objectType="Drop" dropStyle="combo" dx="26" fmlaLink="$AV$29" fmlaRange="$AI$25:$AI$33" sel="1" val="0"/>
</file>

<file path=xl/ctrlProps/ctrlProp278.xml><?xml version="1.0" encoding="utf-8"?>
<formControlPr xmlns="http://schemas.microsoft.com/office/spreadsheetml/2009/9/main" objectType="Drop" dropStyle="combo" dx="26" fmlaLink="$AW$29" fmlaRange="$AI$25:$AI$33" sel="1" val="0"/>
</file>

<file path=xl/ctrlProps/ctrlProp279.xml><?xml version="1.0" encoding="utf-8"?>
<formControlPr xmlns="http://schemas.microsoft.com/office/spreadsheetml/2009/9/main" objectType="Drop" dropStyle="combo" dx="26" fmlaLink="$AX$29" fmlaRange="$AI$25:$AI$33" sel="1" val="0"/>
</file>

<file path=xl/ctrlProps/ctrlProp280.xml><?xml version="1.0" encoding="utf-8"?>
<formControlPr xmlns="http://schemas.microsoft.com/office/spreadsheetml/2009/9/main" objectType="Drop" dropStyle="combo" dx="26" fmlaLink="$AY$29" fmlaRange="$AI$25:$AI$33" sel="1" val="0"/>
</file>

<file path=xl/ctrlProps/ctrlProp281.xml><?xml version="1.0" encoding="utf-8"?>
<formControlPr xmlns="http://schemas.microsoft.com/office/spreadsheetml/2009/9/main" objectType="Drop" dropStyle="combo" dx="26" fmlaLink="$AZ$29" fmlaRange="$AI$25:$AI$33" sel="1" val="0"/>
</file>

<file path=xl/ctrlProps/ctrlProp282.xml><?xml version="1.0" encoding="utf-8"?>
<formControlPr xmlns="http://schemas.microsoft.com/office/spreadsheetml/2009/9/main" objectType="Drop" dropStyle="combo" dx="26" fmlaLink="$AU$30" fmlaRange="$AJ$42:$AJ$49" sel="6" val="0"/>
</file>

<file path=xl/ctrlProps/ctrlProp283.xml><?xml version="1.0" encoding="utf-8"?>
<formControlPr xmlns="http://schemas.microsoft.com/office/spreadsheetml/2009/9/main" objectType="Drop" dropStyle="combo" dx="26" fmlaLink="$AV$30" fmlaRange="$AI$25:$AI$33" sel="4" val="0"/>
</file>

<file path=xl/ctrlProps/ctrlProp284.xml><?xml version="1.0" encoding="utf-8"?>
<formControlPr xmlns="http://schemas.microsoft.com/office/spreadsheetml/2009/9/main" objectType="Drop" dropStyle="combo" dx="26" fmlaLink="$AW$30" fmlaRange="$AI$25:$AI$33" sel="1" val="0"/>
</file>

<file path=xl/ctrlProps/ctrlProp285.xml><?xml version="1.0" encoding="utf-8"?>
<formControlPr xmlns="http://schemas.microsoft.com/office/spreadsheetml/2009/9/main" objectType="Drop" dropStyle="combo" dx="26" fmlaLink="$AX$30" fmlaRange="$AI$25:$AI$33" sel="1" val="0"/>
</file>

<file path=xl/ctrlProps/ctrlProp286.xml><?xml version="1.0" encoding="utf-8"?>
<formControlPr xmlns="http://schemas.microsoft.com/office/spreadsheetml/2009/9/main" objectType="Drop" dropStyle="combo" dx="26" fmlaLink="$AY$30" fmlaRange="$AI$25:$AI$33" sel="1" val="0"/>
</file>

<file path=xl/ctrlProps/ctrlProp287.xml><?xml version="1.0" encoding="utf-8"?>
<formControlPr xmlns="http://schemas.microsoft.com/office/spreadsheetml/2009/9/main" objectType="Drop" dropStyle="combo" dx="26" fmlaLink="$AZ$30" fmlaRange="$AI$25:$AI$33" sel="1" val="0"/>
</file>

<file path=xl/ctrlProps/ctrlProp288.xml><?xml version="1.0" encoding="utf-8"?>
<formControlPr xmlns="http://schemas.microsoft.com/office/spreadsheetml/2009/9/main" objectType="Drop" dropStyle="combo" dx="26" fmlaLink="$AU$31" fmlaRange="$AJ$42:$AJ$49" sel="6" val="0"/>
</file>

<file path=xl/ctrlProps/ctrlProp289.xml><?xml version="1.0" encoding="utf-8"?>
<formControlPr xmlns="http://schemas.microsoft.com/office/spreadsheetml/2009/9/main" objectType="Drop" dropStyle="combo" dx="26" fmlaLink="$AV$31" fmlaRange="$AI$25:$AI$33" sel="4" val="0"/>
</file>

<file path=xl/ctrlProps/ctrlProp290.xml><?xml version="1.0" encoding="utf-8"?>
<formControlPr xmlns="http://schemas.microsoft.com/office/spreadsheetml/2009/9/main" objectType="Drop" dropStyle="combo" dx="26" fmlaLink="$AU$32" fmlaRange="$AJ$42:$AJ$49" sel="2" val="0"/>
</file>

<file path=xl/ctrlProps/ctrlProp291.xml><?xml version="1.0" encoding="utf-8"?>
<formControlPr xmlns="http://schemas.microsoft.com/office/spreadsheetml/2009/9/main" objectType="Drop" dropStyle="combo" dx="26" fmlaLink="$AV$32" fmlaRange="$AI$25:$AI$33" sel="4" val="0"/>
</file>

<file path=xl/ctrlProps/ctrlProp292.xml><?xml version="1.0" encoding="utf-8"?>
<formControlPr xmlns="http://schemas.microsoft.com/office/spreadsheetml/2009/9/main" objectType="Drop" dropStyle="combo" dx="26" fmlaLink="$AU$33" fmlaRange="$AJ$42:$AJ$49" sel="3" val="0"/>
</file>

<file path=xl/ctrlProps/ctrlProp293.xml><?xml version="1.0" encoding="utf-8"?>
<formControlPr xmlns="http://schemas.microsoft.com/office/spreadsheetml/2009/9/main" objectType="Drop" dropStyle="combo" dx="26" fmlaLink="$AV$33" fmlaRange="$AI$25:$AI$33" sel="1" val="0"/>
</file>

<file path=xl/ctrlProps/ctrlProp294.xml><?xml version="1.0" encoding="utf-8"?>
<formControlPr xmlns="http://schemas.microsoft.com/office/spreadsheetml/2009/9/main" objectType="Drop" dropStyle="combo" dx="26" fmlaLink="$AU$34" fmlaRange="$AJ$42:$AJ$49" sel="4" val="0"/>
</file>

<file path=xl/ctrlProps/ctrlProp295.xml><?xml version="1.0" encoding="utf-8"?>
<formControlPr xmlns="http://schemas.microsoft.com/office/spreadsheetml/2009/9/main" objectType="Drop" dropStyle="combo" dx="26" fmlaLink="$AV$34" fmlaRange="$AI$25:$AI$33" sel="1" val="0"/>
</file>

<file path=xl/ctrlProps/ctrlProp296.xml><?xml version="1.0" encoding="utf-8"?>
<formControlPr xmlns="http://schemas.microsoft.com/office/spreadsheetml/2009/9/main" objectType="Drop" dropStyle="combo" dx="26" fmlaLink="$AW$31" fmlaRange="$AI$25:$AI$33" sel="6" val="0"/>
</file>

<file path=xl/ctrlProps/ctrlProp297.xml><?xml version="1.0" encoding="utf-8"?>
<formControlPr xmlns="http://schemas.microsoft.com/office/spreadsheetml/2009/9/main" objectType="Drop" dropStyle="combo" dx="26" fmlaLink="$AW$32" fmlaRange="$AI$25:$AI$33" sel="6" val="0"/>
</file>

<file path=xl/ctrlProps/ctrlProp298.xml><?xml version="1.0" encoding="utf-8"?>
<formControlPr xmlns="http://schemas.microsoft.com/office/spreadsheetml/2009/9/main" objectType="Drop" dropStyle="combo" dx="26" fmlaLink="$AW$33" fmlaRange="$AI$25:$AI$33" sel="6" val="0"/>
</file>

<file path=xl/ctrlProps/ctrlProp299.xml><?xml version="1.0" encoding="utf-8"?>
<formControlPr xmlns="http://schemas.microsoft.com/office/spreadsheetml/2009/9/main" objectType="Drop" dropStyle="combo" dx="26" fmlaLink="$AW$34" fmlaRange="$AI$25:$AI$33" sel="6" val="0"/>
</file>

<file path=xl/ctrlProps/ctrlProp300.xml><?xml version="1.0" encoding="utf-8"?>
<formControlPr xmlns="http://schemas.microsoft.com/office/spreadsheetml/2009/9/main" objectType="Drop" dropStyle="combo" dx="26" fmlaLink="$AX$31" fmlaRange="$AI$25:$AI$33" sel="1" val="0"/>
</file>

<file path=xl/ctrlProps/ctrlProp301.xml><?xml version="1.0" encoding="utf-8"?>
<formControlPr xmlns="http://schemas.microsoft.com/office/spreadsheetml/2009/9/main" objectType="Drop" dropStyle="combo" dx="26" fmlaLink="$AX$32" fmlaRange="$AI$25:$AI$33" sel="1" val="0"/>
</file>

<file path=xl/ctrlProps/ctrlProp302.xml><?xml version="1.0" encoding="utf-8"?>
<formControlPr xmlns="http://schemas.microsoft.com/office/spreadsheetml/2009/9/main" objectType="Drop" dropStyle="combo" dx="26" fmlaLink="$AX$33" fmlaRange="$AI$25:$AI$33" sel="1" val="0"/>
</file>

<file path=xl/ctrlProps/ctrlProp303.xml><?xml version="1.0" encoding="utf-8"?>
<formControlPr xmlns="http://schemas.microsoft.com/office/spreadsheetml/2009/9/main" objectType="Drop" dropStyle="combo" dx="26" fmlaLink="$AX$34" fmlaRange="$AI$25:$AI$33" sel="1" val="0"/>
</file>

<file path=xl/ctrlProps/ctrlProp304.xml><?xml version="1.0" encoding="utf-8"?>
<formControlPr xmlns="http://schemas.microsoft.com/office/spreadsheetml/2009/9/main" objectType="Drop" dropStyle="combo" dx="26" fmlaLink="$AY$31" fmlaRange="$AI$25:$AI$33" sel="1" val="0"/>
</file>

<file path=xl/ctrlProps/ctrlProp305.xml><?xml version="1.0" encoding="utf-8"?>
<formControlPr xmlns="http://schemas.microsoft.com/office/spreadsheetml/2009/9/main" objectType="Drop" dropStyle="combo" dx="26" fmlaLink="$AY$32" fmlaRange="$AI$25:$AI$33" sel="1" val="0"/>
</file>

<file path=xl/ctrlProps/ctrlProp306.xml><?xml version="1.0" encoding="utf-8"?>
<formControlPr xmlns="http://schemas.microsoft.com/office/spreadsheetml/2009/9/main" objectType="Drop" dropStyle="combo" dx="26" fmlaLink="$AY$33" fmlaRange="$AI$25:$AI$33" sel="1" val="0"/>
</file>

<file path=xl/ctrlProps/ctrlProp307.xml><?xml version="1.0" encoding="utf-8"?>
<formControlPr xmlns="http://schemas.microsoft.com/office/spreadsheetml/2009/9/main" objectType="Drop" dropStyle="combo" dx="26" fmlaLink="$AY$34" fmlaRange="$AI$25:$AI$33" sel="1" val="0"/>
</file>

<file path=xl/ctrlProps/ctrlProp308.xml><?xml version="1.0" encoding="utf-8"?>
<formControlPr xmlns="http://schemas.microsoft.com/office/spreadsheetml/2009/9/main" objectType="Drop" dropStyle="combo" dx="26" fmlaLink="$AZ$31" fmlaRange="$AI$25:$AI$33" sel="1" val="0"/>
</file>

<file path=xl/ctrlProps/ctrlProp309.xml><?xml version="1.0" encoding="utf-8"?>
<formControlPr xmlns="http://schemas.microsoft.com/office/spreadsheetml/2009/9/main" objectType="Drop" dropStyle="combo" dx="26" fmlaLink="$AZ$32" fmlaRange="$AI$25:$AI$33" sel="1" val="0"/>
</file>

<file path=xl/ctrlProps/ctrlProp310.xml><?xml version="1.0" encoding="utf-8"?>
<formControlPr xmlns="http://schemas.microsoft.com/office/spreadsheetml/2009/9/main" objectType="Drop" dropStyle="combo" dx="26" fmlaLink="$AZ$33" fmlaRange="$AI$25:$AI$33" sel="1" val="0"/>
</file>

<file path=xl/ctrlProps/ctrlProp311.xml><?xml version="1.0" encoding="utf-8"?>
<formControlPr xmlns="http://schemas.microsoft.com/office/spreadsheetml/2009/9/main" objectType="Drop" dropStyle="combo" dx="26" fmlaLink="$AZ$34" fmlaRange="$AI$25:$AI$33" sel="1" val="0"/>
</file>

<file path=xl/ctrlProps/ctrlProp312.xml><?xml version="1.0" encoding="utf-8"?>
<formControlPr xmlns="http://schemas.microsoft.com/office/spreadsheetml/2009/9/main" objectType="Drop" dropStyle="combo" dx="26" fmlaLink="$AU$35" fmlaRange="$AJ$42:$AJ$49" sel="5" val="0"/>
</file>

<file path=xl/ctrlProps/ctrlProp313.xml><?xml version="1.0" encoding="utf-8"?>
<formControlPr xmlns="http://schemas.microsoft.com/office/spreadsheetml/2009/9/main" objectType="Drop" dropStyle="combo" dx="26" fmlaLink="$AV$35" fmlaRange="$AI$25:$AI$33" sel="1" val="0"/>
</file>

<file path=xl/ctrlProps/ctrlProp314.xml><?xml version="1.0" encoding="utf-8"?>
<formControlPr xmlns="http://schemas.microsoft.com/office/spreadsheetml/2009/9/main" objectType="Drop" dropStyle="combo" dx="26" fmlaLink="$AW$35" fmlaRange="$AI$25:$AI$33" sel="6" val="0"/>
</file>

<file path=xl/ctrlProps/ctrlProp315.xml><?xml version="1.0" encoding="utf-8"?>
<formControlPr xmlns="http://schemas.microsoft.com/office/spreadsheetml/2009/9/main" objectType="Drop" dropStyle="combo" dx="26" fmlaLink="$AX$35" fmlaRange="$AI$25:$AI$33" sel="1" val="0"/>
</file>

<file path=xl/ctrlProps/ctrlProp316.xml><?xml version="1.0" encoding="utf-8"?>
<formControlPr xmlns="http://schemas.microsoft.com/office/spreadsheetml/2009/9/main" objectType="Drop" dropStyle="combo" dx="26" fmlaLink="$AY$35" fmlaRange="$AI$25:$AI$33" sel="1" val="0"/>
</file>

<file path=xl/ctrlProps/ctrlProp317.xml><?xml version="1.0" encoding="utf-8"?>
<formControlPr xmlns="http://schemas.microsoft.com/office/spreadsheetml/2009/9/main" objectType="Drop" dropStyle="combo" dx="26" fmlaLink="$AZ$35" fmlaRange="$AI$25:$AI$33" sel="1" val="0"/>
</file>

<file path=xl/ctrlProps/ctrlProp318.xml><?xml version="1.0" encoding="utf-8"?>
<formControlPr xmlns="http://schemas.microsoft.com/office/spreadsheetml/2009/9/main" objectType="Drop" dropStyle="combo" dx="26" fmlaLink="$AU$36" fmlaRange="$AJ$42:$AJ$49" sel="5" val="0"/>
</file>

<file path=xl/ctrlProps/ctrlProp319.xml><?xml version="1.0" encoding="utf-8"?>
<formControlPr xmlns="http://schemas.microsoft.com/office/spreadsheetml/2009/9/main" objectType="Drop" dropStyle="combo" dx="26" fmlaLink="$AV$36" fmlaRange="$AI$25:$AI$33" sel="1" val="0"/>
</file>

<file path=xl/ctrlProps/ctrlProp320.xml><?xml version="1.0" encoding="utf-8"?>
<formControlPr xmlns="http://schemas.microsoft.com/office/spreadsheetml/2009/9/main" objectType="Drop" dropStyle="combo" dx="26" fmlaLink="$AW$36" fmlaRange="$AI$25:$AI$33" sel="6" val="0"/>
</file>

<file path=xl/ctrlProps/ctrlProp321.xml><?xml version="1.0" encoding="utf-8"?>
<formControlPr xmlns="http://schemas.microsoft.com/office/spreadsheetml/2009/9/main" objectType="Drop" dropStyle="combo" dx="26" fmlaLink="$AX$36" fmlaRange="$AI$25:$AI$33" sel="1" val="0"/>
</file>

<file path=xl/ctrlProps/ctrlProp322.xml><?xml version="1.0" encoding="utf-8"?>
<formControlPr xmlns="http://schemas.microsoft.com/office/spreadsheetml/2009/9/main" objectType="Drop" dropStyle="combo" dx="26" fmlaLink="$AY$36" fmlaRange="$AI$25:$AI$33" sel="1" val="0"/>
</file>

<file path=xl/ctrlProps/ctrlProp323.xml><?xml version="1.0" encoding="utf-8"?>
<formControlPr xmlns="http://schemas.microsoft.com/office/spreadsheetml/2009/9/main" objectType="Drop" dropStyle="combo" dx="26" fmlaLink="$AZ$36" fmlaRange="$AI$25:$AI$33" sel="1" val="0"/>
</file>

<file path=xl/ctrlProps/ctrlProp324.xml><?xml version="1.0" encoding="utf-8"?>
<formControlPr xmlns="http://schemas.microsoft.com/office/spreadsheetml/2009/9/main" objectType="Drop" dropStyle="combo" dx="26" fmlaLink="$AU$37" fmlaRange="$AJ$42:$AJ$49" sel="6" val="0"/>
</file>

<file path=xl/ctrlProps/ctrlProp325.xml><?xml version="1.0" encoding="utf-8"?>
<formControlPr xmlns="http://schemas.microsoft.com/office/spreadsheetml/2009/9/main" objectType="Drop" dropStyle="combo" dx="26" fmlaLink="$AV$37" fmlaRange="$AI$25:$AI$33" sel="1" val="0"/>
</file>

<file path=xl/ctrlProps/ctrlProp326.xml><?xml version="1.0" encoding="utf-8"?>
<formControlPr xmlns="http://schemas.microsoft.com/office/spreadsheetml/2009/9/main" objectType="Drop" dropStyle="combo" dx="26" fmlaLink="$AW$37" fmlaRange="$AI$25:$AI$33" sel="6" val="0"/>
</file>

<file path=xl/ctrlProps/ctrlProp327.xml><?xml version="1.0" encoding="utf-8"?>
<formControlPr xmlns="http://schemas.microsoft.com/office/spreadsheetml/2009/9/main" objectType="Drop" dropStyle="combo" dx="26" fmlaLink="$AX$37" fmlaRange="$AI$25:$AI$33" sel="1" val="0"/>
</file>

<file path=xl/ctrlProps/ctrlProp328.xml><?xml version="1.0" encoding="utf-8"?>
<formControlPr xmlns="http://schemas.microsoft.com/office/spreadsheetml/2009/9/main" objectType="Drop" dropStyle="combo" dx="26" fmlaLink="$AY$37" fmlaRange="$AI$25:$AI$33" sel="1" val="0"/>
</file>

<file path=xl/ctrlProps/ctrlProp329.xml><?xml version="1.0" encoding="utf-8"?>
<formControlPr xmlns="http://schemas.microsoft.com/office/spreadsheetml/2009/9/main" objectType="Drop" dropStyle="combo" dx="26" fmlaLink="$AZ$37" fmlaRange="$AI$25:$AI$33" sel="1" val="0"/>
</file>

<file path=xl/ctrlProps/ctrlProp330.xml><?xml version="1.0" encoding="utf-8"?>
<formControlPr xmlns="http://schemas.microsoft.com/office/spreadsheetml/2009/9/main" objectType="Drop" dropStyle="combo" dx="26" fmlaLink="$AU$38" fmlaRange="$AJ$42:$AJ$49" sel="6" val="0"/>
</file>

<file path=xl/ctrlProps/ctrlProp331.xml><?xml version="1.0" encoding="utf-8"?>
<formControlPr xmlns="http://schemas.microsoft.com/office/spreadsheetml/2009/9/main" objectType="Drop" dropStyle="combo" dx="26" fmlaLink="$AV$38" fmlaRange="$AI$25:$AI$33" sel="4" val="0"/>
</file>

<file path=xl/ctrlProps/ctrlProp332.xml><?xml version="1.0" encoding="utf-8"?>
<formControlPr xmlns="http://schemas.microsoft.com/office/spreadsheetml/2009/9/main" objectType="Drop" dropStyle="combo" dx="26" fmlaLink="$AW$38" fmlaRange="$AI$25:$AI$33" sel="6" val="0"/>
</file>

<file path=xl/ctrlProps/ctrlProp333.xml><?xml version="1.0" encoding="utf-8"?>
<formControlPr xmlns="http://schemas.microsoft.com/office/spreadsheetml/2009/9/main" objectType="Drop" dropStyle="combo" dx="26" fmlaLink="$AX$38" fmlaRange="$AI$25:$AI$33" sel="1" val="0"/>
</file>

<file path=xl/ctrlProps/ctrlProp334.xml><?xml version="1.0" encoding="utf-8"?>
<formControlPr xmlns="http://schemas.microsoft.com/office/spreadsheetml/2009/9/main" objectType="Drop" dropStyle="combo" dx="26" fmlaLink="$AY$38" fmlaRange="$AI$25:$AI$33" sel="1" val="0"/>
</file>

<file path=xl/ctrlProps/ctrlProp335.xml><?xml version="1.0" encoding="utf-8"?>
<formControlPr xmlns="http://schemas.microsoft.com/office/spreadsheetml/2009/9/main" objectType="Drop" dropStyle="combo" dx="26" fmlaLink="$AZ$38" fmlaRange="$AI$25:$AI$33" sel="1" val="0"/>
</file>

<file path=xl/ctrlProps/ctrlProp336.xml><?xml version="1.0" encoding="utf-8"?>
<formControlPr xmlns="http://schemas.microsoft.com/office/spreadsheetml/2009/9/main" objectType="Drop" dropStyle="combo" dx="26" fmlaLink="$AU$38" fmlaRange="$AJ$42:$AJ$49" sel="6" val="0"/>
</file>

<file path=xl/ctrlProps/ctrlProp337.xml><?xml version="1.0" encoding="utf-8"?>
<formControlPr xmlns="http://schemas.microsoft.com/office/spreadsheetml/2009/9/main" objectType="Drop" dropStyle="combo" dx="26" fmlaLink="$AV$38" fmlaRange="$AI$25:$AI$33" sel="4" val="0"/>
</file>

<file path=xl/ctrlProps/ctrlProp338.xml><?xml version="1.0" encoding="utf-8"?>
<formControlPr xmlns="http://schemas.microsoft.com/office/spreadsheetml/2009/9/main" objectType="Drop" dropStyle="combo" dx="26" fmlaLink="$AW$38" fmlaRange="$AI$25:$AI$33" sel="6" val="0"/>
</file>

<file path=xl/ctrlProps/ctrlProp339.xml><?xml version="1.0" encoding="utf-8"?>
<formControlPr xmlns="http://schemas.microsoft.com/office/spreadsheetml/2009/9/main" objectType="Drop" dropStyle="combo" dx="26" fmlaLink="$AX$38" fmlaRange="$AI$25:$AI$33" sel="1" val="0"/>
</file>

<file path=xl/ctrlProps/ctrlProp340.xml><?xml version="1.0" encoding="utf-8"?>
<formControlPr xmlns="http://schemas.microsoft.com/office/spreadsheetml/2009/9/main" objectType="Drop" dropStyle="combo" dx="26" fmlaLink="$AY$38" fmlaRange="$AI$25:$AI$33" sel="1" val="0"/>
</file>

<file path=xl/ctrlProps/ctrlProp341.xml><?xml version="1.0" encoding="utf-8"?>
<formControlPr xmlns="http://schemas.microsoft.com/office/spreadsheetml/2009/9/main" objectType="Drop" dropStyle="combo" dx="26" fmlaLink="$AZ$38" fmlaRange="$AI$25:$AI$33" sel="1" val="0"/>
</file>

<file path=xl/ctrlProps/ctrlProp342.xml><?xml version="1.0" encoding="utf-8"?>
<formControlPr xmlns="http://schemas.microsoft.com/office/spreadsheetml/2009/9/main" objectType="Drop" dropStyle="combo" dx="26" fmlaLink="$AU$39" fmlaRange="$AJ$42:$AJ$49" sel="6" val="0"/>
</file>

<file path=xl/ctrlProps/ctrlProp343.xml><?xml version="1.0" encoding="utf-8"?>
<formControlPr xmlns="http://schemas.microsoft.com/office/spreadsheetml/2009/9/main" objectType="Drop" dropStyle="combo" dx="26" fmlaLink="$AV$39" fmlaRange="$AI$25:$AI$33" sel="4" val="0"/>
</file>

<file path=xl/ctrlProps/ctrlProp344.xml><?xml version="1.0" encoding="utf-8"?>
<formControlPr xmlns="http://schemas.microsoft.com/office/spreadsheetml/2009/9/main" objectType="Drop" dropStyle="combo" dx="26" fmlaLink="$AW$39" fmlaRange="$AI$25:$AI$33" sel="6" val="0"/>
</file>

<file path=xl/ctrlProps/ctrlProp345.xml><?xml version="1.0" encoding="utf-8"?>
<formControlPr xmlns="http://schemas.microsoft.com/office/spreadsheetml/2009/9/main" objectType="Drop" dropStyle="combo" dx="26" fmlaLink="$AX$39" fmlaRange="$AI$25:$AI$33" sel="1" val="0"/>
</file>

<file path=xl/ctrlProps/ctrlProp346.xml><?xml version="1.0" encoding="utf-8"?>
<formControlPr xmlns="http://schemas.microsoft.com/office/spreadsheetml/2009/9/main" objectType="Drop" dropStyle="combo" dx="26" fmlaLink="$AY$39" fmlaRange="$AI$25:$AI$33" sel="1" val="0"/>
</file>

<file path=xl/ctrlProps/ctrlProp347.xml><?xml version="1.0" encoding="utf-8"?>
<formControlPr xmlns="http://schemas.microsoft.com/office/spreadsheetml/2009/9/main" objectType="Drop" dropStyle="combo" dx="26" fmlaLink="$AZ$39" fmlaRange="$AI$25:$AI$33" sel="1" val="0"/>
</file>

<file path=xl/ctrlProps/ctrlProp348.xml><?xml version="1.0" encoding="utf-8"?>
<formControlPr xmlns="http://schemas.microsoft.com/office/spreadsheetml/2009/9/main" objectType="Drop" dropStyle="combo" dx="26" fmlaLink="$AU$40" fmlaRange="$AJ$42:$AJ$49" sel="1" val="0"/>
</file>

<file path=xl/ctrlProps/ctrlProp349.xml><?xml version="1.0" encoding="utf-8"?>
<formControlPr xmlns="http://schemas.microsoft.com/office/spreadsheetml/2009/9/main" objectType="Drop" dropStyle="combo" dx="26" fmlaLink="$AV$40" fmlaRange="$AI$25:$AI$33" sel="1" val="0"/>
</file>

<file path=xl/ctrlProps/ctrlProp350.xml><?xml version="1.0" encoding="utf-8"?>
<formControlPr xmlns="http://schemas.microsoft.com/office/spreadsheetml/2009/9/main" objectType="Drop" dropStyle="combo" dx="26" fmlaLink="$AW$40" fmlaRange="$AI$25:$AI$33" sel="1" val="0"/>
</file>

<file path=xl/ctrlProps/ctrlProp351.xml><?xml version="1.0" encoding="utf-8"?>
<formControlPr xmlns="http://schemas.microsoft.com/office/spreadsheetml/2009/9/main" objectType="Drop" dropStyle="combo" dx="26" fmlaLink="$AX$40" fmlaRange="$AI$25:$AI$33" sel="1" val="0"/>
</file>

<file path=xl/ctrlProps/ctrlProp352.xml><?xml version="1.0" encoding="utf-8"?>
<formControlPr xmlns="http://schemas.microsoft.com/office/spreadsheetml/2009/9/main" objectType="Drop" dropStyle="combo" dx="26" fmlaLink="$AY$40" fmlaRange="$AI$25:$AI$33" sel="1" val="0"/>
</file>

<file path=xl/ctrlProps/ctrlProp353.xml><?xml version="1.0" encoding="utf-8"?>
<formControlPr xmlns="http://schemas.microsoft.com/office/spreadsheetml/2009/9/main" objectType="Drop" dropStyle="combo" dx="26" fmlaLink="$AZ$40" fmlaRange="$AI$25:$AI$33" sel="1" val="0"/>
</file>

<file path=xl/ctrlProps/ctrlProp354.xml><?xml version="1.0" encoding="utf-8"?>
<formControlPr xmlns="http://schemas.microsoft.com/office/spreadsheetml/2009/9/main" objectType="CheckBox" fmlaLink="$BC$25"/>
</file>

<file path=xl/ctrlProps/ctrlProp355.xml><?xml version="1.0" encoding="utf-8"?>
<formControlPr xmlns="http://schemas.microsoft.com/office/spreadsheetml/2009/9/main" objectType="CheckBox" fmlaLink="$BC$26" lockText="1"/>
</file>

<file path=xl/ctrlProps/ctrlProp356.xml><?xml version="1.0" encoding="utf-8"?>
<formControlPr xmlns="http://schemas.microsoft.com/office/spreadsheetml/2009/9/main" objectType="CheckBox" fmlaLink="$BC$27" lockText="1"/>
</file>

<file path=xl/ctrlProps/ctrlProp357.xml><?xml version="1.0" encoding="utf-8"?>
<formControlPr xmlns="http://schemas.microsoft.com/office/spreadsheetml/2009/9/main" objectType="CheckBox" fmlaLink="$BC$28" lockText="1"/>
</file>

<file path=xl/ctrlProps/ctrlProp358.xml><?xml version="1.0" encoding="utf-8"?>
<formControlPr xmlns="http://schemas.microsoft.com/office/spreadsheetml/2009/9/main" objectType="CheckBox" fmlaLink="$BC$29" lockText="1"/>
</file>

<file path=xl/ctrlProps/ctrlProp359.xml><?xml version="1.0" encoding="utf-8"?>
<formControlPr xmlns="http://schemas.microsoft.com/office/spreadsheetml/2009/9/main" objectType="CheckBox" checked="Checked" fmlaLink="$BC$30" lockText="1"/>
</file>

<file path=xl/ctrlProps/ctrlProp360.xml><?xml version="1.0" encoding="utf-8"?>
<formControlPr xmlns="http://schemas.microsoft.com/office/spreadsheetml/2009/9/main" objectType="CheckBox" checked="Checked" fmlaLink="$BC$31" lockText="1"/>
</file>

<file path=xl/ctrlProps/ctrlProp361.xml><?xml version="1.0" encoding="utf-8"?>
<formControlPr xmlns="http://schemas.microsoft.com/office/spreadsheetml/2009/9/main" objectType="CheckBox" checked="Checked" fmlaLink="$BC$32" lockText="1"/>
</file>

<file path=xl/ctrlProps/ctrlProp362.xml><?xml version="1.0" encoding="utf-8"?>
<formControlPr xmlns="http://schemas.microsoft.com/office/spreadsheetml/2009/9/main" objectType="CheckBox" checked="Checked" fmlaLink="$BC$33" lockText="1"/>
</file>

<file path=xl/ctrlProps/ctrlProp363.xml><?xml version="1.0" encoding="utf-8"?>
<formControlPr xmlns="http://schemas.microsoft.com/office/spreadsheetml/2009/9/main" objectType="CheckBox" checked="Checked" fmlaLink="$BC$34" lockText="1"/>
</file>

<file path=xl/ctrlProps/ctrlProp364.xml><?xml version="1.0" encoding="utf-8"?>
<formControlPr xmlns="http://schemas.microsoft.com/office/spreadsheetml/2009/9/main" objectType="CheckBox" checked="Checked" fmlaLink="$BC$35" lockText="1"/>
</file>

<file path=xl/ctrlProps/ctrlProp365.xml><?xml version="1.0" encoding="utf-8"?>
<formControlPr xmlns="http://schemas.microsoft.com/office/spreadsheetml/2009/9/main" objectType="CheckBox" checked="Checked" fmlaLink="$BC$36" lockText="1"/>
</file>

<file path=xl/ctrlProps/ctrlProp366.xml><?xml version="1.0" encoding="utf-8"?>
<formControlPr xmlns="http://schemas.microsoft.com/office/spreadsheetml/2009/9/main" objectType="CheckBox" checked="Checked" fmlaLink="$BC$37" lockText="1"/>
</file>

<file path=xl/ctrlProps/ctrlProp367.xml><?xml version="1.0" encoding="utf-8"?>
<formControlPr xmlns="http://schemas.microsoft.com/office/spreadsheetml/2009/9/main" objectType="CheckBox" checked="Checked" fmlaLink="$BC$38" lockText="1"/>
</file>

<file path=xl/ctrlProps/ctrlProp368.xml><?xml version="1.0" encoding="utf-8"?>
<formControlPr xmlns="http://schemas.microsoft.com/office/spreadsheetml/2009/9/main" objectType="CheckBox" checked="Checked" fmlaLink="$BC$39" lockText="1"/>
</file>

<file path=xl/ctrlProps/ctrlProp369.xml><?xml version="1.0" encoding="utf-8"?>
<formControlPr xmlns="http://schemas.microsoft.com/office/spreadsheetml/2009/9/main" objectType="CheckBox" fmlaLink="$BC$40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Drop" dropStyle="combo" dx="26" fmlaLink="$AR$25" fmlaRange="$AR$26:$AR$28" sel="3" val="0"/>
</file>

<file path=xl/ctrlProps/ctrlProp372.xml><?xml version="1.0" encoding="utf-8"?>
<formControlPr xmlns="http://schemas.microsoft.com/office/spreadsheetml/2009/9/main" objectType="Drop" dropStyle="combo" dx="26" fmlaLink="$AU$25" fmlaRange="$AJ$42:$AJ$48" sel="1" val="0"/>
</file>

<file path=xl/ctrlProps/ctrlProp373.xml><?xml version="1.0" encoding="utf-8"?>
<formControlPr xmlns="http://schemas.microsoft.com/office/spreadsheetml/2009/9/main" objectType="Drop" dropStyle="combo" dx="26" fmlaLink="$AV$25" fmlaRange="$AJ$25:$AJ$33" sel="1" val="0"/>
</file>

<file path=xl/ctrlProps/ctrlProp374.xml><?xml version="1.0" encoding="utf-8"?>
<formControlPr xmlns="http://schemas.microsoft.com/office/spreadsheetml/2009/9/main" objectType="Drop" dropStyle="combo" dx="26" fmlaLink="$AU$26" fmlaRange="$AJ$42:$AJ$48" sel="1" val="0"/>
</file>

<file path=xl/ctrlProps/ctrlProp375.xml><?xml version="1.0" encoding="utf-8"?>
<formControlPr xmlns="http://schemas.microsoft.com/office/spreadsheetml/2009/9/main" objectType="Drop" dropStyle="combo" dx="26" fmlaLink="$AV$26" fmlaRange="$AJ$25:$AJ$33" sel="1" val="0"/>
</file>

<file path=xl/ctrlProps/ctrlProp376.xml><?xml version="1.0" encoding="utf-8"?>
<formControlPr xmlns="http://schemas.microsoft.com/office/spreadsheetml/2009/9/main" objectType="Drop" dropStyle="combo" dx="26" fmlaLink="$AU$27" fmlaRange="$AJ$42:$AJ$48" sel="1" val="0"/>
</file>

<file path=xl/ctrlProps/ctrlProp377.xml><?xml version="1.0" encoding="utf-8"?>
<formControlPr xmlns="http://schemas.microsoft.com/office/spreadsheetml/2009/9/main" objectType="Drop" dropStyle="combo" dx="26" fmlaLink="$AV$27" fmlaRange="$AJ$25:$AJ$33" sel="1" val="0"/>
</file>

<file path=xl/ctrlProps/ctrlProp378.xml><?xml version="1.0" encoding="utf-8"?>
<formControlPr xmlns="http://schemas.microsoft.com/office/spreadsheetml/2009/9/main" objectType="Drop" dropStyle="combo" dx="26" fmlaLink="$AU$28" fmlaRange="$AJ$42:$AJ$48" sel="1" val="0"/>
</file>

<file path=xl/ctrlProps/ctrlProp379.xml><?xml version="1.0" encoding="utf-8"?>
<formControlPr xmlns="http://schemas.microsoft.com/office/spreadsheetml/2009/9/main" objectType="Drop" dropStyle="combo" dx="26" fmlaLink="$AV$28" fmlaRange="$AJ$25:$AJ$33" sel="1" val="0"/>
</file>

<file path=xl/ctrlProps/ctrlProp380.xml><?xml version="1.0" encoding="utf-8"?>
<formControlPr xmlns="http://schemas.microsoft.com/office/spreadsheetml/2009/9/main" objectType="Drop" dropStyle="combo" dx="26" fmlaLink="$AW$25" fmlaRange="$AJ$25:$AJ$33" sel="1" val="0"/>
</file>

<file path=xl/ctrlProps/ctrlProp381.xml><?xml version="1.0" encoding="utf-8"?>
<formControlPr xmlns="http://schemas.microsoft.com/office/spreadsheetml/2009/9/main" objectType="Drop" dropStyle="combo" dx="26" fmlaLink="$AW$26" fmlaRange="$AJ$25:$AJ$33" sel="1" val="0"/>
</file>

<file path=xl/ctrlProps/ctrlProp382.xml><?xml version="1.0" encoding="utf-8"?>
<formControlPr xmlns="http://schemas.microsoft.com/office/spreadsheetml/2009/9/main" objectType="Drop" dropStyle="combo" dx="26" fmlaLink="$AW$27" fmlaRange="$AJ$25:$AJ$33" sel="1" val="0"/>
</file>

<file path=xl/ctrlProps/ctrlProp383.xml><?xml version="1.0" encoding="utf-8"?>
<formControlPr xmlns="http://schemas.microsoft.com/office/spreadsheetml/2009/9/main" objectType="Drop" dropStyle="combo" dx="26" fmlaLink="$AW$28" fmlaRange="$AJ$25:$AJ$33" sel="1" val="0"/>
</file>

<file path=xl/ctrlProps/ctrlProp384.xml><?xml version="1.0" encoding="utf-8"?>
<formControlPr xmlns="http://schemas.microsoft.com/office/spreadsheetml/2009/9/main" objectType="Drop" dropStyle="combo" dx="26" fmlaLink="$AX$25" fmlaRange="$AJ$25:$AJ$33" sel="1" val="0"/>
</file>

<file path=xl/ctrlProps/ctrlProp385.xml><?xml version="1.0" encoding="utf-8"?>
<formControlPr xmlns="http://schemas.microsoft.com/office/spreadsheetml/2009/9/main" objectType="Drop" dropStyle="combo" dx="26" fmlaLink="$AX$26" fmlaRange="$AJ$25:$AJ$33" sel="1" val="0"/>
</file>

<file path=xl/ctrlProps/ctrlProp386.xml><?xml version="1.0" encoding="utf-8"?>
<formControlPr xmlns="http://schemas.microsoft.com/office/spreadsheetml/2009/9/main" objectType="Drop" dropStyle="combo" dx="26" fmlaLink="$AX$27" fmlaRange="$AJ$25:$AJ$33" sel="1" val="0"/>
</file>

<file path=xl/ctrlProps/ctrlProp387.xml><?xml version="1.0" encoding="utf-8"?>
<formControlPr xmlns="http://schemas.microsoft.com/office/spreadsheetml/2009/9/main" objectType="Drop" dropStyle="combo" dx="26" fmlaLink="$AX$28" fmlaRange="$AJ$25:$AJ$33" sel="1" val="0"/>
</file>

<file path=xl/ctrlProps/ctrlProp388.xml><?xml version="1.0" encoding="utf-8"?>
<formControlPr xmlns="http://schemas.microsoft.com/office/spreadsheetml/2009/9/main" objectType="Drop" dropStyle="combo" dx="26" fmlaLink="$AY$25" fmlaRange="$AJ$25:$AJ$33" sel="1" val="0"/>
</file>

<file path=xl/ctrlProps/ctrlProp389.xml><?xml version="1.0" encoding="utf-8"?>
<formControlPr xmlns="http://schemas.microsoft.com/office/spreadsheetml/2009/9/main" objectType="Drop" dropStyle="combo" dx="26" fmlaLink="$AY$26" fmlaRange="$AJ$25:$AJ$33" sel="1" val="0"/>
</file>

<file path=xl/ctrlProps/ctrlProp390.xml><?xml version="1.0" encoding="utf-8"?>
<formControlPr xmlns="http://schemas.microsoft.com/office/spreadsheetml/2009/9/main" objectType="Drop" dropStyle="combo" dx="26" fmlaLink="$AY$27" fmlaRange="$AJ$25:$AJ$33" sel="1" val="0"/>
</file>

<file path=xl/ctrlProps/ctrlProp391.xml><?xml version="1.0" encoding="utf-8"?>
<formControlPr xmlns="http://schemas.microsoft.com/office/spreadsheetml/2009/9/main" objectType="Drop" dropStyle="combo" dx="26" fmlaLink="$AY$28" fmlaRange="$AJ$25:$AJ$33" sel="1" val="0"/>
</file>

<file path=xl/ctrlProps/ctrlProp392.xml><?xml version="1.0" encoding="utf-8"?>
<formControlPr xmlns="http://schemas.microsoft.com/office/spreadsheetml/2009/9/main" objectType="Drop" dropStyle="combo" dx="26" fmlaLink="$AZ$25" fmlaRange="$AJ$25:$AJ$33" sel="1" val="0"/>
</file>

<file path=xl/ctrlProps/ctrlProp393.xml><?xml version="1.0" encoding="utf-8"?>
<formControlPr xmlns="http://schemas.microsoft.com/office/spreadsheetml/2009/9/main" objectType="Drop" dropStyle="combo" dx="26" fmlaLink="$AZ$26" fmlaRange="$AJ$25:$AJ$33" sel="1" val="0"/>
</file>

<file path=xl/ctrlProps/ctrlProp394.xml><?xml version="1.0" encoding="utf-8"?>
<formControlPr xmlns="http://schemas.microsoft.com/office/spreadsheetml/2009/9/main" objectType="Drop" dropStyle="combo" dx="26" fmlaLink="$AZ$27" fmlaRange="$AJ$25:$AJ$33" sel="1" val="0"/>
</file>

<file path=xl/ctrlProps/ctrlProp395.xml><?xml version="1.0" encoding="utf-8"?>
<formControlPr xmlns="http://schemas.microsoft.com/office/spreadsheetml/2009/9/main" objectType="Drop" dropStyle="combo" dx="26" fmlaLink="$AZ$28" fmlaRange="$AJ$25:$AJ$33" sel="1" val="0"/>
</file>

<file path=xl/ctrlProps/ctrlProp396.xml><?xml version="1.0" encoding="utf-8"?>
<formControlPr xmlns="http://schemas.microsoft.com/office/spreadsheetml/2009/9/main" objectType="Drop" dropStyle="combo" dx="26" fmlaLink="$AR$35" fmlaRange="$AR$36:$AR$37" sel="2" val="0"/>
</file>

<file path=xl/ctrlProps/ctrlProp397.xml><?xml version="1.0" encoding="utf-8"?>
<formControlPr xmlns="http://schemas.microsoft.com/office/spreadsheetml/2009/9/main" objectType="Drop" dropStyle="combo" dx="26" fmlaLink="$AU$29" fmlaRange="$AJ$42:$AJ$48" sel="1" val="0"/>
</file>

<file path=xl/ctrlProps/ctrlProp398.xml><?xml version="1.0" encoding="utf-8"?>
<formControlPr xmlns="http://schemas.microsoft.com/office/spreadsheetml/2009/9/main" objectType="Drop" dropStyle="combo" dx="26" fmlaLink="$AV$29" fmlaRange="$AJ$25:$AJ$33" sel="1" val="0"/>
</file>

<file path=xl/ctrlProps/ctrlProp399.xml><?xml version="1.0" encoding="utf-8"?>
<formControlPr xmlns="http://schemas.microsoft.com/office/spreadsheetml/2009/9/main" objectType="Drop" dropStyle="combo" dx="26" fmlaLink="$AW$29" fmlaRange="$AJ$25:$AJ$33" sel="1" val="0"/>
</file>

<file path=xl/ctrlProps/ctrlProp400.xml><?xml version="1.0" encoding="utf-8"?>
<formControlPr xmlns="http://schemas.microsoft.com/office/spreadsheetml/2009/9/main" objectType="Drop" dropStyle="combo" dx="26" fmlaLink="$AX$29" fmlaRange="$AJ$25:$AJ$33" sel="1" val="0"/>
</file>

<file path=xl/ctrlProps/ctrlProp401.xml><?xml version="1.0" encoding="utf-8"?>
<formControlPr xmlns="http://schemas.microsoft.com/office/spreadsheetml/2009/9/main" objectType="Drop" dropStyle="combo" dx="26" fmlaLink="$AY$29" fmlaRange="$AJ$25:$AJ$33" sel="1" val="0"/>
</file>

<file path=xl/ctrlProps/ctrlProp402.xml><?xml version="1.0" encoding="utf-8"?>
<formControlPr xmlns="http://schemas.microsoft.com/office/spreadsheetml/2009/9/main" objectType="Drop" dropStyle="combo" dx="26" fmlaLink="$AZ$29" fmlaRange="$AJ$25:$AJ$33" sel="1" val="0"/>
</file>

<file path=xl/ctrlProps/ctrlProp403.xml><?xml version="1.0" encoding="utf-8"?>
<formControlPr xmlns="http://schemas.microsoft.com/office/spreadsheetml/2009/9/main" objectType="Drop" dropStyle="combo" dx="26" fmlaLink="$AU$30" fmlaRange="$AJ$42:$AJ$48" sel="1" val="0"/>
</file>

<file path=xl/ctrlProps/ctrlProp404.xml><?xml version="1.0" encoding="utf-8"?>
<formControlPr xmlns="http://schemas.microsoft.com/office/spreadsheetml/2009/9/main" objectType="Drop" dropStyle="combo" dx="26" fmlaLink="$AV$30" fmlaRange="$AJ$25:$AJ$33" sel="1" val="0"/>
</file>

<file path=xl/ctrlProps/ctrlProp405.xml><?xml version="1.0" encoding="utf-8"?>
<formControlPr xmlns="http://schemas.microsoft.com/office/spreadsheetml/2009/9/main" objectType="Drop" dropStyle="combo" dx="26" fmlaLink="$AW$30" fmlaRange="$AJ$25:$AJ$33" sel="1" val="0"/>
</file>

<file path=xl/ctrlProps/ctrlProp406.xml><?xml version="1.0" encoding="utf-8"?>
<formControlPr xmlns="http://schemas.microsoft.com/office/spreadsheetml/2009/9/main" objectType="Drop" dropStyle="combo" dx="26" fmlaLink="$AX$30" fmlaRange="$AJ$25:$AJ$33" sel="1" val="0"/>
</file>

<file path=xl/ctrlProps/ctrlProp407.xml><?xml version="1.0" encoding="utf-8"?>
<formControlPr xmlns="http://schemas.microsoft.com/office/spreadsheetml/2009/9/main" objectType="Drop" dropStyle="combo" dx="26" fmlaLink="$AY$30" fmlaRange="$AJ$25:$AJ$33" sel="1" val="0"/>
</file>

<file path=xl/ctrlProps/ctrlProp408.xml><?xml version="1.0" encoding="utf-8"?>
<formControlPr xmlns="http://schemas.microsoft.com/office/spreadsheetml/2009/9/main" objectType="Drop" dropStyle="combo" dx="26" fmlaLink="$AZ$30" fmlaRange="$AJ$25:$AJ$33" sel="1" val="0"/>
</file>

<file path=xl/ctrlProps/ctrlProp409.xml><?xml version="1.0" encoding="utf-8"?>
<formControlPr xmlns="http://schemas.microsoft.com/office/spreadsheetml/2009/9/main" objectType="Drop" dropStyle="combo" dx="26" fmlaLink="$AU$31" fmlaRange="$AJ$42:$AJ$48" sel="1" val="0"/>
</file>

<file path=xl/ctrlProps/ctrlProp410.xml><?xml version="1.0" encoding="utf-8"?>
<formControlPr xmlns="http://schemas.microsoft.com/office/spreadsheetml/2009/9/main" objectType="Drop" dropStyle="combo" dx="26" fmlaLink="$AV$31" fmlaRange="$AJ$25:$AJ$33" sel="1" val="0"/>
</file>

<file path=xl/ctrlProps/ctrlProp411.xml><?xml version="1.0" encoding="utf-8"?>
<formControlPr xmlns="http://schemas.microsoft.com/office/spreadsheetml/2009/9/main" objectType="Drop" dropStyle="combo" dx="26" fmlaLink="$AU$32" fmlaRange="$AJ$42:$AJ$48" sel="1" val="0"/>
</file>

<file path=xl/ctrlProps/ctrlProp412.xml><?xml version="1.0" encoding="utf-8"?>
<formControlPr xmlns="http://schemas.microsoft.com/office/spreadsheetml/2009/9/main" objectType="Drop" dropStyle="combo" dx="26" fmlaLink="$AV$32" fmlaRange="$AJ$25:$AJ$33" sel="1" val="0"/>
</file>

<file path=xl/ctrlProps/ctrlProp413.xml><?xml version="1.0" encoding="utf-8"?>
<formControlPr xmlns="http://schemas.microsoft.com/office/spreadsheetml/2009/9/main" objectType="Drop" dropStyle="combo" dx="26" fmlaLink="$AU$33" fmlaRange="$AJ$42:$AJ$48" sel="1" val="0"/>
</file>

<file path=xl/ctrlProps/ctrlProp414.xml><?xml version="1.0" encoding="utf-8"?>
<formControlPr xmlns="http://schemas.microsoft.com/office/spreadsheetml/2009/9/main" objectType="Drop" dropStyle="combo" dx="26" fmlaLink="$AV$33" fmlaRange="$AJ$25:$AJ$33" sel="1" val="0"/>
</file>

<file path=xl/ctrlProps/ctrlProp415.xml><?xml version="1.0" encoding="utf-8"?>
<formControlPr xmlns="http://schemas.microsoft.com/office/spreadsheetml/2009/9/main" objectType="Drop" dropStyle="combo" dx="26" fmlaLink="$AU$34" fmlaRange="$AJ$42:$AJ$48" sel="1" val="0"/>
</file>

<file path=xl/ctrlProps/ctrlProp416.xml><?xml version="1.0" encoding="utf-8"?>
<formControlPr xmlns="http://schemas.microsoft.com/office/spreadsheetml/2009/9/main" objectType="Drop" dropStyle="combo" dx="26" fmlaLink="$AV$34" fmlaRange="$AJ$25:$AJ$33" sel="1" val="0"/>
</file>

<file path=xl/ctrlProps/ctrlProp417.xml><?xml version="1.0" encoding="utf-8"?>
<formControlPr xmlns="http://schemas.microsoft.com/office/spreadsheetml/2009/9/main" objectType="Drop" dropStyle="combo" dx="26" fmlaLink="$AW$31" fmlaRange="$AJ$25:$AJ$33" sel="1" val="0"/>
</file>

<file path=xl/ctrlProps/ctrlProp418.xml><?xml version="1.0" encoding="utf-8"?>
<formControlPr xmlns="http://schemas.microsoft.com/office/spreadsheetml/2009/9/main" objectType="Drop" dropStyle="combo" dx="26" fmlaLink="$AW$32" fmlaRange="$AJ$25:$AJ$33" sel="1" val="0"/>
</file>

<file path=xl/ctrlProps/ctrlProp419.xml><?xml version="1.0" encoding="utf-8"?>
<formControlPr xmlns="http://schemas.microsoft.com/office/spreadsheetml/2009/9/main" objectType="Drop" dropStyle="combo" dx="26" fmlaLink="$AW$33" fmlaRange="$AJ$25:$AJ$33" sel="1" val="0"/>
</file>

<file path=xl/ctrlProps/ctrlProp420.xml><?xml version="1.0" encoding="utf-8"?>
<formControlPr xmlns="http://schemas.microsoft.com/office/spreadsheetml/2009/9/main" objectType="Drop" dropStyle="combo" dx="26" fmlaLink="$AW$34" fmlaRange="$AJ$25:$AJ$33" sel="1" val="0"/>
</file>

<file path=xl/ctrlProps/ctrlProp421.xml><?xml version="1.0" encoding="utf-8"?>
<formControlPr xmlns="http://schemas.microsoft.com/office/spreadsheetml/2009/9/main" objectType="Drop" dropStyle="combo" dx="26" fmlaLink="$AX$31" fmlaRange="$AJ$25:$AJ$33" sel="1" val="0"/>
</file>

<file path=xl/ctrlProps/ctrlProp422.xml><?xml version="1.0" encoding="utf-8"?>
<formControlPr xmlns="http://schemas.microsoft.com/office/spreadsheetml/2009/9/main" objectType="Drop" dropStyle="combo" dx="26" fmlaLink="$AX$32" fmlaRange="$AJ$25:$AJ$33" sel="1" val="0"/>
</file>

<file path=xl/ctrlProps/ctrlProp423.xml><?xml version="1.0" encoding="utf-8"?>
<formControlPr xmlns="http://schemas.microsoft.com/office/spreadsheetml/2009/9/main" objectType="Drop" dropStyle="combo" dx="26" fmlaLink="$AX$33" fmlaRange="$AJ$25:$AJ$33" sel="1" val="0"/>
</file>

<file path=xl/ctrlProps/ctrlProp424.xml><?xml version="1.0" encoding="utf-8"?>
<formControlPr xmlns="http://schemas.microsoft.com/office/spreadsheetml/2009/9/main" objectType="Drop" dropStyle="combo" dx="26" fmlaLink="$AX$34" fmlaRange="$AJ$25:$AJ$33" sel="1" val="0"/>
</file>

<file path=xl/ctrlProps/ctrlProp425.xml><?xml version="1.0" encoding="utf-8"?>
<formControlPr xmlns="http://schemas.microsoft.com/office/spreadsheetml/2009/9/main" objectType="Drop" dropStyle="combo" dx="26" fmlaLink="$AY$31" fmlaRange="$AJ$25:$AJ$33" sel="1" val="0"/>
</file>

<file path=xl/ctrlProps/ctrlProp426.xml><?xml version="1.0" encoding="utf-8"?>
<formControlPr xmlns="http://schemas.microsoft.com/office/spreadsheetml/2009/9/main" objectType="Drop" dropStyle="combo" dx="26" fmlaLink="$AY$32" fmlaRange="$AJ$25:$AJ$33" sel="1" val="0"/>
</file>

<file path=xl/ctrlProps/ctrlProp427.xml><?xml version="1.0" encoding="utf-8"?>
<formControlPr xmlns="http://schemas.microsoft.com/office/spreadsheetml/2009/9/main" objectType="Drop" dropStyle="combo" dx="26" fmlaLink="$AY$33" fmlaRange="$AJ$25:$AJ$33" sel="1" val="0"/>
</file>

<file path=xl/ctrlProps/ctrlProp428.xml><?xml version="1.0" encoding="utf-8"?>
<formControlPr xmlns="http://schemas.microsoft.com/office/spreadsheetml/2009/9/main" objectType="Drop" dropStyle="combo" dx="26" fmlaLink="$AY$34" fmlaRange="$AJ$25:$AJ$33" sel="1" val="0"/>
</file>

<file path=xl/ctrlProps/ctrlProp429.xml><?xml version="1.0" encoding="utf-8"?>
<formControlPr xmlns="http://schemas.microsoft.com/office/spreadsheetml/2009/9/main" objectType="Drop" dropStyle="combo" dx="26" fmlaLink="$AZ$31" fmlaRange="$AJ$25:$AJ$33" sel="1" val="0"/>
</file>

<file path=xl/ctrlProps/ctrlProp430.xml><?xml version="1.0" encoding="utf-8"?>
<formControlPr xmlns="http://schemas.microsoft.com/office/spreadsheetml/2009/9/main" objectType="Drop" dropStyle="combo" dx="26" fmlaLink="$AZ$32" fmlaRange="$AJ$25:$AJ$33" sel="1" val="0"/>
</file>

<file path=xl/ctrlProps/ctrlProp431.xml><?xml version="1.0" encoding="utf-8"?>
<formControlPr xmlns="http://schemas.microsoft.com/office/spreadsheetml/2009/9/main" objectType="Drop" dropStyle="combo" dx="26" fmlaLink="$AZ$33" fmlaRange="$AJ$25:$AJ$33" sel="1" val="0"/>
</file>

<file path=xl/ctrlProps/ctrlProp432.xml><?xml version="1.0" encoding="utf-8"?>
<formControlPr xmlns="http://schemas.microsoft.com/office/spreadsheetml/2009/9/main" objectType="Drop" dropStyle="combo" dx="26" fmlaLink="$AZ$34" fmlaRange="$AJ$25:$AJ$33" sel="1" val="0"/>
</file>

<file path=xl/ctrlProps/ctrlProp433.xml><?xml version="1.0" encoding="utf-8"?>
<formControlPr xmlns="http://schemas.microsoft.com/office/spreadsheetml/2009/9/main" objectType="Drop" dropStyle="combo" dx="26" fmlaLink="$AU$35" fmlaRange="$AJ$42:$AJ$48" sel="1" val="0"/>
</file>

<file path=xl/ctrlProps/ctrlProp434.xml><?xml version="1.0" encoding="utf-8"?>
<formControlPr xmlns="http://schemas.microsoft.com/office/spreadsheetml/2009/9/main" objectType="Drop" dropStyle="combo" dx="26" fmlaLink="$AV$35" fmlaRange="$AJ$25:$AJ$33" sel="1" val="0"/>
</file>

<file path=xl/ctrlProps/ctrlProp435.xml><?xml version="1.0" encoding="utf-8"?>
<formControlPr xmlns="http://schemas.microsoft.com/office/spreadsheetml/2009/9/main" objectType="Drop" dropStyle="combo" dx="26" fmlaLink="$AW$35" fmlaRange="$AJ$25:$AJ$33" sel="1" val="0"/>
</file>

<file path=xl/ctrlProps/ctrlProp436.xml><?xml version="1.0" encoding="utf-8"?>
<formControlPr xmlns="http://schemas.microsoft.com/office/spreadsheetml/2009/9/main" objectType="Drop" dropStyle="combo" dx="26" fmlaLink="$AX$35" fmlaRange="$AJ$25:$AJ$33" sel="1" val="0"/>
</file>

<file path=xl/ctrlProps/ctrlProp437.xml><?xml version="1.0" encoding="utf-8"?>
<formControlPr xmlns="http://schemas.microsoft.com/office/spreadsheetml/2009/9/main" objectType="Drop" dropStyle="combo" dx="26" fmlaLink="$AY$35" fmlaRange="$AJ$25:$AJ$33" sel="1" val="0"/>
</file>

<file path=xl/ctrlProps/ctrlProp438.xml><?xml version="1.0" encoding="utf-8"?>
<formControlPr xmlns="http://schemas.microsoft.com/office/spreadsheetml/2009/9/main" objectType="Drop" dropStyle="combo" dx="26" fmlaLink="$AZ$35" fmlaRange="$AJ$25:$AJ$33" sel="1" val="0"/>
</file>

<file path=xl/ctrlProps/ctrlProp439.xml><?xml version="1.0" encoding="utf-8"?>
<formControlPr xmlns="http://schemas.microsoft.com/office/spreadsheetml/2009/9/main" objectType="Drop" dropStyle="combo" dx="26" fmlaLink="$AU$36" fmlaRange="$AJ$42:$AJ$48" sel="1" val="0"/>
</file>

<file path=xl/ctrlProps/ctrlProp440.xml><?xml version="1.0" encoding="utf-8"?>
<formControlPr xmlns="http://schemas.microsoft.com/office/spreadsheetml/2009/9/main" objectType="Drop" dropStyle="combo" dx="26" fmlaLink="$AV$36" fmlaRange="$AJ$25:$AJ$33" sel="1" val="0"/>
</file>

<file path=xl/ctrlProps/ctrlProp441.xml><?xml version="1.0" encoding="utf-8"?>
<formControlPr xmlns="http://schemas.microsoft.com/office/spreadsheetml/2009/9/main" objectType="Drop" dropStyle="combo" dx="26" fmlaLink="$AW$36" fmlaRange="$AJ$25:$AJ$33" sel="1" val="0"/>
</file>

<file path=xl/ctrlProps/ctrlProp442.xml><?xml version="1.0" encoding="utf-8"?>
<formControlPr xmlns="http://schemas.microsoft.com/office/spreadsheetml/2009/9/main" objectType="Drop" dropStyle="combo" dx="26" fmlaLink="$AX$36" fmlaRange="$AJ$25:$AJ$33" sel="1" val="0"/>
</file>

<file path=xl/ctrlProps/ctrlProp443.xml><?xml version="1.0" encoding="utf-8"?>
<formControlPr xmlns="http://schemas.microsoft.com/office/spreadsheetml/2009/9/main" objectType="Drop" dropStyle="combo" dx="26" fmlaLink="$AY$36" fmlaRange="$AJ$25:$AJ$33" sel="1" val="0"/>
</file>

<file path=xl/ctrlProps/ctrlProp444.xml><?xml version="1.0" encoding="utf-8"?>
<formControlPr xmlns="http://schemas.microsoft.com/office/spreadsheetml/2009/9/main" objectType="Drop" dropStyle="combo" dx="26" fmlaLink="$AZ$36" fmlaRange="$AJ$25:$AJ$33" sel="1" val="0"/>
</file>

<file path=xl/ctrlProps/ctrlProp445.xml><?xml version="1.0" encoding="utf-8"?>
<formControlPr xmlns="http://schemas.microsoft.com/office/spreadsheetml/2009/9/main" objectType="Drop" dropStyle="combo" dx="26" fmlaLink="$AU$37" fmlaRange="$AJ$42:$AJ$48" sel="1" val="0"/>
</file>

<file path=xl/ctrlProps/ctrlProp446.xml><?xml version="1.0" encoding="utf-8"?>
<formControlPr xmlns="http://schemas.microsoft.com/office/spreadsheetml/2009/9/main" objectType="Drop" dropStyle="combo" dx="26" fmlaLink="$AV$37" fmlaRange="$AJ$25:$AJ$33" sel="1" val="0"/>
</file>

<file path=xl/ctrlProps/ctrlProp447.xml><?xml version="1.0" encoding="utf-8"?>
<formControlPr xmlns="http://schemas.microsoft.com/office/spreadsheetml/2009/9/main" objectType="Drop" dropStyle="combo" dx="26" fmlaLink="$AW$37" fmlaRange="$AJ$25:$AJ$33" sel="1" val="0"/>
</file>

<file path=xl/ctrlProps/ctrlProp448.xml><?xml version="1.0" encoding="utf-8"?>
<formControlPr xmlns="http://schemas.microsoft.com/office/spreadsheetml/2009/9/main" objectType="Drop" dropStyle="combo" dx="26" fmlaLink="$AX$37" fmlaRange="$AJ$25:$AJ$33" sel="1" val="0"/>
</file>

<file path=xl/ctrlProps/ctrlProp449.xml><?xml version="1.0" encoding="utf-8"?>
<formControlPr xmlns="http://schemas.microsoft.com/office/spreadsheetml/2009/9/main" objectType="Drop" dropStyle="combo" dx="26" fmlaLink="$AY$37" fmlaRange="$AJ$25:$AJ$33" sel="1" val="0"/>
</file>

<file path=xl/ctrlProps/ctrlProp450.xml><?xml version="1.0" encoding="utf-8"?>
<formControlPr xmlns="http://schemas.microsoft.com/office/spreadsheetml/2009/9/main" objectType="Drop" dropStyle="combo" dx="26" fmlaLink="$AZ$37" fmlaRange="$AJ$25:$AJ$33" sel="1" val="0"/>
</file>

<file path=xl/ctrlProps/ctrlProp451.xml><?xml version="1.0" encoding="utf-8"?>
<formControlPr xmlns="http://schemas.microsoft.com/office/spreadsheetml/2009/9/main" objectType="Drop" dropStyle="combo" dx="26" fmlaLink="$AU$38" fmlaRange="$AJ$42:$AJ$48" sel="1" val="0"/>
</file>

<file path=xl/ctrlProps/ctrlProp452.xml><?xml version="1.0" encoding="utf-8"?>
<formControlPr xmlns="http://schemas.microsoft.com/office/spreadsheetml/2009/9/main" objectType="Drop" dropStyle="combo" dx="26" fmlaLink="$AV$38" fmlaRange="$AJ$25:$AJ$33" sel="1" val="0"/>
</file>

<file path=xl/ctrlProps/ctrlProp453.xml><?xml version="1.0" encoding="utf-8"?>
<formControlPr xmlns="http://schemas.microsoft.com/office/spreadsheetml/2009/9/main" objectType="Drop" dropStyle="combo" dx="26" fmlaLink="$AW$38" fmlaRange="$AJ$25:$AJ$33" sel="1" val="0"/>
</file>

<file path=xl/ctrlProps/ctrlProp454.xml><?xml version="1.0" encoding="utf-8"?>
<formControlPr xmlns="http://schemas.microsoft.com/office/spreadsheetml/2009/9/main" objectType="Drop" dropStyle="combo" dx="26" fmlaLink="$AX$38" fmlaRange="$AJ$25:$AJ$33" sel="1" val="0"/>
</file>

<file path=xl/ctrlProps/ctrlProp455.xml><?xml version="1.0" encoding="utf-8"?>
<formControlPr xmlns="http://schemas.microsoft.com/office/spreadsheetml/2009/9/main" objectType="Drop" dropStyle="combo" dx="26" fmlaLink="$AY$38" fmlaRange="$AJ$25:$AJ$33" sel="1" val="0"/>
</file>

<file path=xl/ctrlProps/ctrlProp456.xml><?xml version="1.0" encoding="utf-8"?>
<formControlPr xmlns="http://schemas.microsoft.com/office/spreadsheetml/2009/9/main" objectType="Drop" dropStyle="combo" dx="26" fmlaLink="$AZ$38" fmlaRange="$AJ$25:$AJ$33" sel="1" val="0"/>
</file>

<file path=xl/ctrlProps/ctrlProp457.xml><?xml version="1.0" encoding="utf-8"?>
<formControlPr xmlns="http://schemas.microsoft.com/office/spreadsheetml/2009/9/main" objectType="Drop" dropStyle="combo" dx="26" fmlaLink="$AU$38" fmlaRange="$AJ$42:$AJ$48" sel="1" val="0"/>
</file>

<file path=xl/ctrlProps/ctrlProp458.xml><?xml version="1.0" encoding="utf-8"?>
<formControlPr xmlns="http://schemas.microsoft.com/office/spreadsheetml/2009/9/main" objectType="Drop" dropStyle="combo" dx="26" fmlaLink="$AV$38" fmlaRange="$AJ$25:$AJ$33" sel="1" val="0"/>
</file>

<file path=xl/ctrlProps/ctrlProp459.xml><?xml version="1.0" encoding="utf-8"?>
<formControlPr xmlns="http://schemas.microsoft.com/office/spreadsheetml/2009/9/main" objectType="Drop" dropStyle="combo" dx="26" fmlaLink="$AW$38" fmlaRange="$AJ$25:$AJ$33" sel="1" val="0"/>
</file>

<file path=xl/ctrlProps/ctrlProp460.xml><?xml version="1.0" encoding="utf-8"?>
<formControlPr xmlns="http://schemas.microsoft.com/office/spreadsheetml/2009/9/main" objectType="Drop" dropStyle="combo" dx="26" fmlaLink="$AX$38" fmlaRange="$AJ$25:$AJ$33" sel="1" val="0"/>
</file>

<file path=xl/ctrlProps/ctrlProp461.xml><?xml version="1.0" encoding="utf-8"?>
<formControlPr xmlns="http://schemas.microsoft.com/office/spreadsheetml/2009/9/main" objectType="Drop" dropStyle="combo" dx="26" fmlaLink="$AY$38" fmlaRange="$AJ$25:$AJ$33" sel="1" val="0"/>
</file>

<file path=xl/ctrlProps/ctrlProp462.xml><?xml version="1.0" encoding="utf-8"?>
<formControlPr xmlns="http://schemas.microsoft.com/office/spreadsheetml/2009/9/main" objectType="Drop" dropStyle="combo" dx="26" fmlaLink="$AZ$38" fmlaRange="$AJ$25:$AJ$33" sel="1" val="0"/>
</file>

<file path=xl/ctrlProps/ctrlProp463.xml><?xml version="1.0" encoding="utf-8"?>
<formControlPr xmlns="http://schemas.microsoft.com/office/spreadsheetml/2009/9/main" objectType="Drop" dropStyle="combo" dx="26" fmlaLink="$AU$39" fmlaRange="$AJ$42:$AJ$48" sel="1" val="0"/>
</file>

<file path=xl/ctrlProps/ctrlProp464.xml><?xml version="1.0" encoding="utf-8"?>
<formControlPr xmlns="http://schemas.microsoft.com/office/spreadsheetml/2009/9/main" objectType="Drop" dropStyle="combo" dx="26" fmlaLink="$AV$39" fmlaRange="$AJ$25:$AJ$33" sel="1" val="0"/>
</file>

<file path=xl/ctrlProps/ctrlProp465.xml><?xml version="1.0" encoding="utf-8"?>
<formControlPr xmlns="http://schemas.microsoft.com/office/spreadsheetml/2009/9/main" objectType="Drop" dropStyle="combo" dx="26" fmlaLink="$AW$39" fmlaRange="$AJ$25:$AJ$33" sel="1" val="0"/>
</file>

<file path=xl/ctrlProps/ctrlProp466.xml><?xml version="1.0" encoding="utf-8"?>
<formControlPr xmlns="http://schemas.microsoft.com/office/spreadsheetml/2009/9/main" objectType="Drop" dropStyle="combo" dx="26" fmlaLink="$AX$39" fmlaRange="$AJ$25:$AJ$33" sel="1" val="0"/>
</file>

<file path=xl/ctrlProps/ctrlProp467.xml><?xml version="1.0" encoding="utf-8"?>
<formControlPr xmlns="http://schemas.microsoft.com/office/spreadsheetml/2009/9/main" objectType="Drop" dropStyle="combo" dx="26" fmlaLink="$AY$39" fmlaRange="$AJ$25:$AJ$33" sel="1" val="0"/>
</file>

<file path=xl/ctrlProps/ctrlProp468.xml><?xml version="1.0" encoding="utf-8"?>
<formControlPr xmlns="http://schemas.microsoft.com/office/spreadsheetml/2009/9/main" objectType="Drop" dropStyle="combo" dx="26" fmlaLink="$AZ$39" fmlaRange="$AJ$25:$AJ$33" sel="1" val="0"/>
</file>

<file path=xl/ctrlProps/ctrlProp469.xml><?xml version="1.0" encoding="utf-8"?>
<formControlPr xmlns="http://schemas.microsoft.com/office/spreadsheetml/2009/9/main" objectType="Drop" dropStyle="combo" dx="26" fmlaLink="$AU$40" fmlaRange="$AJ$42:$AJ$48" sel="1" val="0"/>
</file>

<file path=xl/ctrlProps/ctrlProp470.xml><?xml version="1.0" encoding="utf-8"?>
<formControlPr xmlns="http://schemas.microsoft.com/office/spreadsheetml/2009/9/main" objectType="Drop" dropStyle="combo" dx="26" fmlaLink="$AV$40" fmlaRange="$AJ$25:$AJ$33" sel="1" val="0"/>
</file>

<file path=xl/ctrlProps/ctrlProp471.xml><?xml version="1.0" encoding="utf-8"?>
<formControlPr xmlns="http://schemas.microsoft.com/office/spreadsheetml/2009/9/main" objectType="Drop" dropStyle="combo" dx="26" fmlaLink="$AW$40" fmlaRange="$AJ$25:$AJ$33" sel="1" val="0"/>
</file>

<file path=xl/ctrlProps/ctrlProp472.xml><?xml version="1.0" encoding="utf-8"?>
<formControlPr xmlns="http://schemas.microsoft.com/office/spreadsheetml/2009/9/main" objectType="Drop" dropStyle="combo" dx="26" fmlaLink="$AX$40" fmlaRange="$AJ$25:$AJ$33" sel="1" val="0"/>
</file>

<file path=xl/ctrlProps/ctrlProp473.xml><?xml version="1.0" encoding="utf-8"?>
<formControlPr xmlns="http://schemas.microsoft.com/office/spreadsheetml/2009/9/main" objectType="Drop" dropStyle="combo" dx="26" fmlaLink="$AY$40" fmlaRange="$AJ$25:$AJ$33" sel="1" val="0"/>
</file>

<file path=xl/ctrlProps/ctrlProp474.xml><?xml version="1.0" encoding="utf-8"?>
<formControlPr xmlns="http://schemas.microsoft.com/office/spreadsheetml/2009/9/main" objectType="Drop" dropStyle="combo" dx="26" fmlaLink="$AZ$40" fmlaRange="$AJ$25:$AJ$33" sel="1" val="0"/>
</file>

<file path=xl/ctrlProps/ctrlProp475.xml><?xml version="1.0" encoding="utf-8"?>
<formControlPr xmlns="http://schemas.microsoft.com/office/spreadsheetml/2009/9/main" objectType="CheckBox" fmlaLink="$BC$25"/>
</file>

<file path=xl/ctrlProps/ctrlProp476.xml><?xml version="1.0" encoding="utf-8"?>
<formControlPr xmlns="http://schemas.microsoft.com/office/spreadsheetml/2009/9/main" objectType="CheckBox" fmlaLink="$BC$26" lockText="1"/>
</file>

<file path=xl/ctrlProps/ctrlProp477.xml><?xml version="1.0" encoding="utf-8"?>
<formControlPr xmlns="http://schemas.microsoft.com/office/spreadsheetml/2009/9/main" objectType="CheckBox" fmlaLink="$BC$27" lockText="1"/>
</file>

<file path=xl/ctrlProps/ctrlProp478.xml><?xml version="1.0" encoding="utf-8"?>
<formControlPr xmlns="http://schemas.microsoft.com/office/spreadsheetml/2009/9/main" objectType="CheckBox" fmlaLink="$BC$28" lockText="1"/>
</file>

<file path=xl/ctrlProps/ctrlProp479.xml><?xml version="1.0" encoding="utf-8"?>
<formControlPr xmlns="http://schemas.microsoft.com/office/spreadsheetml/2009/9/main" objectType="CheckBox" fmlaLink="$BC$29" lockText="1"/>
</file>

<file path=xl/ctrlProps/ctrlProp480.xml><?xml version="1.0" encoding="utf-8"?>
<formControlPr xmlns="http://schemas.microsoft.com/office/spreadsheetml/2009/9/main" objectType="CheckBox" fmlaLink="$BC$30" lockText="1"/>
</file>

<file path=xl/ctrlProps/ctrlProp481.xml><?xml version="1.0" encoding="utf-8"?>
<formControlPr xmlns="http://schemas.microsoft.com/office/spreadsheetml/2009/9/main" objectType="CheckBox" fmlaLink="$BC$31" lockText="1"/>
</file>

<file path=xl/ctrlProps/ctrlProp482.xml><?xml version="1.0" encoding="utf-8"?>
<formControlPr xmlns="http://schemas.microsoft.com/office/spreadsheetml/2009/9/main" objectType="CheckBox" fmlaLink="$BC$32" lockText="1"/>
</file>

<file path=xl/ctrlProps/ctrlProp483.xml><?xml version="1.0" encoding="utf-8"?>
<formControlPr xmlns="http://schemas.microsoft.com/office/spreadsheetml/2009/9/main" objectType="CheckBox" fmlaLink="$BC$33" lockText="1"/>
</file>

<file path=xl/ctrlProps/ctrlProp484.xml><?xml version="1.0" encoding="utf-8"?>
<formControlPr xmlns="http://schemas.microsoft.com/office/spreadsheetml/2009/9/main" objectType="CheckBox" fmlaLink="$BC$34" lockText="1"/>
</file>

<file path=xl/ctrlProps/ctrlProp485.xml><?xml version="1.0" encoding="utf-8"?>
<formControlPr xmlns="http://schemas.microsoft.com/office/spreadsheetml/2009/9/main" objectType="CheckBox" fmlaLink="$BC$35" lockText="1"/>
</file>

<file path=xl/ctrlProps/ctrlProp486.xml><?xml version="1.0" encoding="utf-8"?>
<formControlPr xmlns="http://schemas.microsoft.com/office/spreadsheetml/2009/9/main" objectType="CheckBox" fmlaLink="$BC$36" lockText="1"/>
</file>

<file path=xl/ctrlProps/ctrlProp487.xml><?xml version="1.0" encoding="utf-8"?>
<formControlPr xmlns="http://schemas.microsoft.com/office/spreadsheetml/2009/9/main" objectType="CheckBox" fmlaLink="$BC$37" lockText="1"/>
</file>

<file path=xl/ctrlProps/ctrlProp488.xml><?xml version="1.0" encoding="utf-8"?>
<formControlPr xmlns="http://schemas.microsoft.com/office/spreadsheetml/2009/9/main" objectType="CheckBox" fmlaLink="$BC$38" lockText="1"/>
</file>

<file path=xl/ctrlProps/ctrlProp489.xml><?xml version="1.0" encoding="utf-8"?>
<formControlPr xmlns="http://schemas.microsoft.com/office/spreadsheetml/2009/9/main" objectType="CheckBox" fmlaLink="$BC$39" lockText="1"/>
</file>

<file path=xl/ctrlProps/ctrlProp490.xml><?xml version="1.0" encoding="utf-8"?>
<formControlPr xmlns="http://schemas.microsoft.com/office/spreadsheetml/2009/9/main" objectType="CheckBox" fmlaLink="$BC$40" lockText="1"/>
</file>

<file path=xl/ctrlProps/ctrlProp491.xml><?xml version="1.0" encoding="utf-8"?>
<formControlPr xmlns="http://schemas.microsoft.com/office/spreadsheetml/2009/9/main" objectType="CheckBox" fmlaLink="$BC$26" lockText="1"/>
</file>

<file path=xl/ctrlProps/ctrlProp492.xml><?xml version="1.0" encoding="utf-8"?>
<formControlPr xmlns="http://schemas.microsoft.com/office/spreadsheetml/2009/9/main" objectType="CheckBox" fmlaLink="$BC$27" lockText="1"/>
</file>

<file path=xl/ctrlProps/ctrlProp493.xml><?xml version="1.0" encoding="utf-8"?>
<formControlPr xmlns="http://schemas.microsoft.com/office/spreadsheetml/2009/9/main" objectType="CheckBox" fmlaLink="$BC$28" lockText="1"/>
</file>

<file path=xl/ctrlProps/ctrlProp494.xml><?xml version="1.0" encoding="utf-8"?>
<formControlPr xmlns="http://schemas.microsoft.com/office/spreadsheetml/2009/9/main" objectType="CheckBox" fmlaLink="$BC$29" lockText="1"/>
</file>

<file path=xl/ctrlProps/ctrlProp495.xml><?xml version="1.0" encoding="utf-8"?>
<formControlPr xmlns="http://schemas.microsoft.com/office/spreadsheetml/2009/9/main" objectType="CheckBox" fmlaLink="$BC$30" lockText="1"/>
</file>

<file path=xl/ctrlProps/ctrlProp496.xml><?xml version="1.0" encoding="utf-8"?>
<formControlPr xmlns="http://schemas.microsoft.com/office/spreadsheetml/2009/9/main" objectType="CheckBox" fmlaLink="$BC$31" lockText="1"/>
</file>

<file path=xl/ctrlProps/ctrlProp497.xml><?xml version="1.0" encoding="utf-8"?>
<formControlPr xmlns="http://schemas.microsoft.com/office/spreadsheetml/2009/9/main" objectType="CheckBox" fmlaLink="$BC$32" lockText="1"/>
</file>

<file path=xl/ctrlProps/ctrlProp498.xml><?xml version="1.0" encoding="utf-8"?>
<formControlPr xmlns="http://schemas.microsoft.com/office/spreadsheetml/2009/9/main" objectType="CheckBox" fmlaLink="$BC$33" lockText="1"/>
</file>

<file path=xl/ctrlProps/ctrlProp499.xml><?xml version="1.0" encoding="utf-8"?>
<formControlPr xmlns="http://schemas.microsoft.com/office/spreadsheetml/2009/9/main" objectType="CheckBox" fmlaLink="$BC$34" lockText="1"/>
</file>

<file path=xl/ctrlProps/ctrlProp500.xml><?xml version="1.0" encoding="utf-8"?>
<formControlPr xmlns="http://schemas.microsoft.com/office/spreadsheetml/2009/9/main" objectType="CheckBox" fmlaLink="$BC$35" lockText="1"/>
</file>

<file path=xl/ctrlProps/ctrlProp501.xml><?xml version="1.0" encoding="utf-8"?>
<formControlPr xmlns="http://schemas.microsoft.com/office/spreadsheetml/2009/9/main" objectType="CheckBox" fmlaLink="$BC$36" lockText="1"/>
</file>

<file path=xl/ctrlProps/ctrlProp502.xml><?xml version="1.0" encoding="utf-8"?>
<formControlPr xmlns="http://schemas.microsoft.com/office/spreadsheetml/2009/9/main" objectType="CheckBox" fmlaLink="$BC$37" lockText="1"/>
</file>

<file path=xl/ctrlProps/ctrlProp503.xml><?xml version="1.0" encoding="utf-8"?>
<formControlPr xmlns="http://schemas.microsoft.com/office/spreadsheetml/2009/9/main" objectType="CheckBox" fmlaLink="$BC$38" lockText="1"/>
</file>

<file path=xl/ctrlProps/ctrlProp504.xml><?xml version="1.0" encoding="utf-8"?>
<formControlPr xmlns="http://schemas.microsoft.com/office/spreadsheetml/2009/9/main" objectType="CheckBox" fmlaLink="$BC$39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Drop" dropStyle="combo" dx="26" fmlaLink="$AT$46" fmlaRange="$AT$44:$AT$45" noThreeD="1" sel="1" val="0"/>
</file>

<file path=xl/ctrlProps/ctrlProp507.xml><?xml version="1.0" encoding="utf-8"?>
<formControlPr xmlns="http://schemas.microsoft.com/office/spreadsheetml/2009/9/main" objectType="Drop" dropStyle="combo" dx="26" fmlaLink="$AR$25" fmlaRange="$AR$26:$AR$28" sel="1" val="0"/>
</file>

<file path=xl/ctrlProps/ctrlProp508.xml><?xml version="1.0" encoding="utf-8"?>
<formControlPr xmlns="http://schemas.microsoft.com/office/spreadsheetml/2009/9/main" objectType="Drop" dropStyle="combo" dx="26" fmlaLink="$AU$25" fmlaRange="$AJ$42:$AJ$48" sel="1" val="0"/>
</file>

<file path=xl/ctrlProps/ctrlProp509.xml><?xml version="1.0" encoding="utf-8"?>
<formControlPr xmlns="http://schemas.microsoft.com/office/spreadsheetml/2009/9/main" objectType="Drop" dropStyle="combo" dx="26" fmlaLink="$AV$25" fmlaRange="$AJ$25:$AJ$33" sel="1" val="0"/>
</file>

<file path=xl/ctrlProps/ctrlProp510.xml><?xml version="1.0" encoding="utf-8"?>
<formControlPr xmlns="http://schemas.microsoft.com/office/spreadsheetml/2009/9/main" objectType="Drop" dropStyle="combo" dx="26" fmlaLink="$AU$26" fmlaRange="$AJ$42:$AJ$48" sel="1" val="0"/>
</file>

<file path=xl/ctrlProps/ctrlProp511.xml><?xml version="1.0" encoding="utf-8"?>
<formControlPr xmlns="http://schemas.microsoft.com/office/spreadsheetml/2009/9/main" objectType="Drop" dropStyle="combo" dx="26" fmlaLink="$AV$26" fmlaRange="$AJ$25:$AJ$33" sel="1" val="0"/>
</file>

<file path=xl/ctrlProps/ctrlProp512.xml><?xml version="1.0" encoding="utf-8"?>
<formControlPr xmlns="http://schemas.microsoft.com/office/spreadsheetml/2009/9/main" objectType="Drop" dropStyle="combo" dx="26" fmlaLink="$AU$27" fmlaRange="$AJ$42:$AJ$48" sel="1" val="0"/>
</file>

<file path=xl/ctrlProps/ctrlProp513.xml><?xml version="1.0" encoding="utf-8"?>
<formControlPr xmlns="http://schemas.microsoft.com/office/spreadsheetml/2009/9/main" objectType="Drop" dropStyle="combo" dx="26" fmlaLink="$AV$27" fmlaRange="$AJ$25:$AJ$33" sel="1" val="0"/>
</file>

<file path=xl/ctrlProps/ctrlProp514.xml><?xml version="1.0" encoding="utf-8"?>
<formControlPr xmlns="http://schemas.microsoft.com/office/spreadsheetml/2009/9/main" objectType="Drop" dropStyle="combo" dx="26" fmlaLink="$AU$28" fmlaRange="$AJ$42:$AJ$48" sel="1" val="0"/>
</file>

<file path=xl/ctrlProps/ctrlProp515.xml><?xml version="1.0" encoding="utf-8"?>
<formControlPr xmlns="http://schemas.microsoft.com/office/spreadsheetml/2009/9/main" objectType="Drop" dropStyle="combo" dx="26" fmlaLink="$AV$28" fmlaRange="$AJ$25:$AJ$33" sel="1" val="0"/>
</file>

<file path=xl/ctrlProps/ctrlProp516.xml><?xml version="1.0" encoding="utf-8"?>
<formControlPr xmlns="http://schemas.microsoft.com/office/spreadsheetml/2009/9/main" objectType="Drop" dropStyle="combo" dx="26" fmlaLink="$AW$25" fmlaRange="$AJ$25:$AJ$33" sel="1" val="0"/>
</file>

<file path=xl/ctrlProps/ctrlProp517.xml><?xml version="1.0" encoding="utf-8"?>
<formControlPr xmlns="http://schemas.microsoft.com/office/spreadsheetml/2009/9/main" objectType="Drop" dropStyle="combo" dx="26" fmlaLink="$AW$26" fmlaRange="$AJ$25:$AJ$33" sel="1" val="0"/>
</file>

<file path=xl/ctrlProps/ctrlProp518.xml><?xml version="1.0" encoding="utf-8"?>
<formControlPr xmlns="http://schemas.microsoft.com/office/spreadsheetml/2009/9/main" objectType="Drop" dropStyle="combo" dx="26" fmlaLink="$AW$27" fmlaRange="$AJ$25:$AJ$33" sel="1" val="0"/>
</file>

<file path=xl/ctrlProps/ctrlProp519.xml><?xml version="1.0" encoding="utf-8"?>
<formControlPr xmlns="http://schemas.microsoft.com/office/spreadsheetml/2009/9/main" objectType="Drop" dropStyle="combo" dx="26" fmlaLink="$AW$28" fmlaRange="$AJ$25:$AJ$33" sel="1" val="0"/>
</file>

<file path=xl/ctrlProps/ctrlProp520.xml><?xml version="1.0" encoding="utf-8"?>
<formControlPr xmlns="http://schemas.microsoft.com/office/spreadsheetml/2009/9/main" objectType="Drop" dropStyle="combo" dx="26" fmlaLink="$AX$25" fmlaRange="$AJ$25:$AJ$33" sel="1" val="0"/>
</file>

<file path=xl/ctrlProps/ctrlProp521.xml><?xml version="1.0" encoding="utf-8"?>
<formControlPr xmlns="http://schemas.microsoft.com/office/spreadsheetml/2009/9/main" objectType="Drop" dropStyle="combo" dx="26" fmlaLink="$AX$26" fmlaRange="$AJ$25:$AJ$33" sel="1" val="0"/>
</file>

<file path=xl/ctrlProps/ctrlProp522.xml><?xml version="1.0" encoding="utf-8"?>
<formControlPr xmlns="http://schemas.microsoft.com/office/spreadsheetml/2009/9/main" objectType="Drop" dropStyle="combo" dx="26" fmlaLink="$AX$27" fmlaRange="$AJ$25:$AJ$33" sel="1" val="0"/>
</file>

<file path=xl/ctrlProps/ctrlProp523.xml><?xml version="1.0" encoding="utf-8"?>
<formControlPr xmlns="http://schemas.microsoft.com/office/spreadsheetml/2009/9/main" objectType="Drop" dropStyle="combo" dx="26" fmlaLink="$AX$28" fmlaRange="$AJ$25:$AJ$33" sel="1" val="0"/>
</file>

<file path=xl/ctrlProps/ctrlProp524.xml><?xml version="1.0" encoding="utf-8"?>
<formControlPr xmlns="http://schemas.microsoft.com/office/spreadsheetml/2009/9/main" objectType="Drop" dropStyle="combo" dx="26" fmlaLink="$AY$25" fmlaRange="$AJ$25:$AJ$33" sel="1" val="0"/>
</file>

<file path=xl/ctrlProps/ctrlProp525.xml><?xml version="1.0" encoding="utf-8"?>
<formControlPr xmlns="http://schemas.microsoft.com/office/spreadsheetml/2009/9/main" objectType="Drop" dropStyle="combo" dx="26" fmlaLink="$AY$26" fmlaRange="$AJ$25:$AJ$33" sel="1" val="0"/>
</file>

<file path=xl/ctrlProps/ctrlProp526.xml><?xml version="1.0" encoding="utf-8"?>
<formControlPr xmlns="http://schemas.microsoft.com/office/spreadsheetml/2009/9/main" objectType="Drop" dropStyle="combo" dx="26" fmlaLink="$AY$27" fmlaRange="$AJ$25:$AJ$33" sel="1" val="0"/>
</file>

<file path=xl/ctrlProps/ctrlProp527.xml><?xml version="1.0" encoding="utf-8"?>
<formControlPr xmlns="http://schemas.microsoft.com/office/spreadsheetml/2009/9/main" objectType="Drop" dropStyle="combo" dx="26" fmlaLink="$AY$28" fmlaRange="$AJ$25:$AJ$33" sel="1" val="0"/>
</file>

<file path=xl/ctrlProps/ctrlProp528.xml><?xml version="1.0" encoding="utf-8"?>
<formControlPr xmlns="http://schemas.microsoft.com/office/spreadsheetml/2009/9/main" objectType="Drop" dropStyle="combo" dx="26" fmlaLink="$AZ$25" fmlaRange="$AJ$25:$AJ$33" sel="1" val="0"/>
</file>

<file path=xl/ctrlProps/ctrlProp529.xml><?xml version="1.0" encoding="utf-8"?>
<formControlPr xmlns="http://schemas.microsoft.com/office/spreadsheetml/2009/9/main" objectType="Drop" dropStyle="combo" dx="26" fmlaLink="$AZ$26" fmlaRange="$AJ$25:$AJ$33" sel="1" val="0"/>
</file>

<file path=xl/ctrlProps/ctrlProp530.xml><?xml version="1.0" encoding="utf-8"?>
<formControlPr xmlns="http://schemas.microsoft.com/office/spreadsheetml/2009/9/main" objectType="Drop" dropStyle="combo" dx="26" fmlaLink="$AZ$27" fmlaRange="$AJ$25:$AJ$33" sel="1" val="0"/>
</file>

<file path=xl/ctrlProps/ctrlProp531.xml><?xml version="1.0" encoding="utf-8"?>
<formControlPr xmlns="http://schemas.microsoft.com/office/spreadsheetml/2009/9/main" objectType="Drop" dropStyle="combo" dx="26" fmlaLink="$AZ$28" fmlaRange="$AJ$25:$AJ$33" sel="1" val="0"/>
</file>

<file path=xl/ctrlProps/ctrlProp532.xml><?xml version="1.0" encoding="utf-8"?>
<formControlPr xmlns="http://schemas.microsoft.com/office/spreadsheetml/2009/9/main" objectType="Drop" dropStyle="combo" dx="26" fmlaLink="$AU$29" fmlaRange="$AJ$42:$AJ$48" sel="1" val="0"/>
</file>

<file path=xl/ctrlProps/ctrlProp533.xml><?xml version="1.0" encoding="utf-8"?>
<formControlPr xmlns="http://schemas.microsoft.com/office/spreadsheetml/2009/9/main" objectType="Drop" dropStyle="combo" dx="26" fmlaLink="$AV$29" fmlaRange="$AJ$25:$AJ$33" sel="1" val="0"/>
</file>

<file path=xl/ctrlProps/ctrlProp534.xml><?xml version="1.0" encoding="utf-8"?>
<formControlPr xmlns="http://schemas.microsoft.com/office/spreadsheetml/2009/9/main" objectType="Drop" dropStyle="combo" dx="26" fmlaLink="$AW$29" fmlaRange="$AJ$25:$AJ$33" sel="1" val="0"/>
</file>

<file path=xl/ctrlProps/ctrlProp535.xml><?xml version="1.0" encoding="utf-8"?>
<formControlPr xmlns="http://schemas.microsoft.com/office/spreadsheetml/2009/9/main" objectType="Drop" dropStyle="combo" dx="26" fmlaLink="$AX$29" fmlaRange="$AJ$25:$AJ$33" sel="1" val="0"/>
</file>

<file path=xl/ctrlProps/ctrlProp536.xml><?xml version="1.0" encoding="utf-8"?>
<formControlPr xmlns="http://schemas.microsoft.com/office/spreadsheetml/2009/9/main" objectType="Drop" dropStyle="combo" dx="26" fmlaLink="$AY$29" fmlaRange="$AJ$25:$AJ$33" sel="1" val="0"/>
</file>

<file path=xl/ctrlProps/ctrlProp537.xml><?xml version="1.0" encoding="utf-8"?>
<formControlPr xmlns="http://schemas.microsoft.com/office/spreadsheetml/2009/9/main" objectType="Drop" dropStyle="combo" dx="26" fmlaLink="$AZ$29" fmlaRange="$AJ$25:$AJ$33" sel="1" val="0"/>
</file>

<file path=xl/ctrlProps/ctrlProp538.xml><?xml version="1.0" encoding="utf-8"?>
<formControlPr xmlns="http://schemas.microsoft.com/office/spreadsheetml/2009/9/main" objectType="Drop" dropStyle="combo" dx="26" fmlaLink="$AU$30" fmlaRange="$AJ$42:$AJ$48" sel="1" val="0"/>
</file>

<file path=xl/ctrlProps/ctrlProp539.xml><?xml version="1.0" encoding="utf-8"?>
<formControlPr xmlns="http://schemas.microsoft.com/office/spreadsheetml/2009/9/main" objectType="Drop" dropStyle="combo" dx="26" fmlaLink="$AV$30" fmlaRange="$AJ$25:$AJ$33" sel="1" val="0"/>
</file>

<file path=xl/ctrlProps/ctrlProp540.xml><?xml version="1.0" encoding="utf-8"?>
<formControlPr xmlns="http://schemas.microsoft.com/office/spreadsheetml/2009/9/main" objectType="Drop" dropStyle="combo" dx="26" fmlaLink="$AW$30" fmlaRange="$AJ$25:$AJ$33" sel="1" val="0"/>
</file>

<file path=xl/ctrlProps/ctrlProp541.xml><?xml version="1.0" encoding="utf-8"?>
<formControlPr xmlns="http://schemas.microsoft.com/office/spreadsheetml/2009/9/main" objectType="Drop" dropStyle="combo" dx="26" fmlaLink="$AX$30" fmlaRange="$AJ$25:$AJ$33" sel="1" val="0"/>
</file>

<file path=xl/ctrlProps/ctrlProp542.xml><?xml version="1.0" encoding="utf-8"?>
<formControlPr xmlns="http://schemas.microsoft.com/office/spreadsheetml/2009/9/main" objectType="Drop" dropStyle="combo" dx="26" fmlaLink="$AY$30" fmlaRange="$AJ$25:$AJ$33" sel="1" val="0"/>
</file>

<file path=xl/ctrlProps/ctrlProp543.xml><?xml version="1.0" encoding="utf-8"?>
<formControlPr xmlns="http://schemas.microsoft.com/office/spreadsheetml/2009/9/main" objectType="Drop" dropStyle="combo" dx="26" fmlaLink="$AZ$30" fmlaRange="$AJ$25:$AJ$33" sel="1" val="0"/>
</file>

<file path=xl/ctrlProps/ctrlProp544.xml><?xml version="1.0" encoding="utf-8"?>
<formControlPr xmlns="http://schemas.microsoft.com/office/spreadsheetml/2009/9/main" objectType="Drop" dropStyle="combo" dx="26" fmlaLink="$AU$31" fmlaRange="$AJ$42:$AJ$48" sel="1" val="0"/>
</file>

<file path=xl/ctrlProps/ctrlProp545.xml><?xml version="1.0" encoding="utf-8"?>
<formControlPr xmlns="http://schemas.microsoft.com/office/spreadsheetml/2009/9/main" objectType="Drop" dropStyle="combo" dx="26" fmlaLink="$AV$31" fmlaRange="$AJ$25:$AJ$33" sel="1" val="0"/>
</file>

<file path=xl/ctrlProps/ctrlProp546.xml><?xml version="1.0" encoding="utf-8"?>
<formControlPr xmlns="http://schemas.microsoft.com/office/spreadsheetml/2009/9/main" objectType="Drop" dropStyle="combo" dx="26" fmlaLink="$AU$32" fmlaRange="$AJ$42:$AJ$48" sel="1" val="0"/>
</file>

<file path=xl/ctrlProps/ctrlProp547.xml><?xml version="1.0" encoding="utf-8"?>
<formControlPr xmlns="http://schemas.microsoft.com/office/spreadsheetml/2009/9/main" objectType="Drop" dropStyle="combo" dx="26" fmlaLink="$AV$32" fmlaRange="$AJ$25:$AJ$33" sel="1" val="0"/>
</file>

<file path=xl/ctrlProps/ctrlProp548.xml><?xml version="1.0" encoding="utf-8"?>
<formControlPr xmlns="http://schemas.microsoft.com/office/spreadsheetml/2009/9/main" objectType="Drop" dropStyle="combo" dx="26" fmlaLink="$AU$33" fmlaRange="$AJ$42:$AJ$48" sel="1" val="0"/>
</file>

<file path=xl/ctrlProps/ctrlProp549.xml><?xml version="1.0" encoding="utf-8"?>
<formControlPr xmlns="http://schemas.microsoft.com/office/spreadsheetml/2009/9/main" objectType="Drop" dropStyle="combo" dx="26" fmlaLink="$AV$33" fmlaRange="$AJ$25:$AJ$33" sel="1" val="0"/>
</file>

<file path=xl/ctrlProps/ctrlProp550.xml><?xml version="1.0" encoding="utf-8"?>
<formControlPr xmlns="http://schemas.microsoft.com/office/spreadsheetml/2009/9/main" objectType="Drop" dropStyle="combo" dx="26" fmlaLink="$AU$34" fmlaRange="$AJ$42:$AJ$48" sel="1" val="0"/>
</file>

<file path=xl/ctrlProps/ctrlProp551.xml><?xml version="1.0" encoding="utf-8"?>
<formControlPr xmlns="http://schemas.microsoft.com/office/spreadsheetml/2009/9/main" objectType="Drop" dropStyle="combo" dx="26" fmlaLink="$AV$34" fmlaRange="$AJ$25:$AJ$33" sel="1" val="0"/>
</file>

<file path=xl/ctrlProps/ctrlProp552.xml><?xml version="1.0" encoding="utf-8"?>
<formControlPr xmlns="http://schemas.microsoft.com/office/spreadsheetml/2009/9/main" objectType="Drop" dropStyle="combo" dx="26" fmlaLink="$AW$31" fmlaRange="$AJ$25:$AJ$33" sel="1" val="0"/>
</file>

<file path=xl/ctrlProps/ctrlProp553.xml><?xml version="1.0" encoding="utf-8"?>
<formControlPr xmlns="http://schemas.microsoft.com/office/spreadsheetml/2009/9/main" objectType="Drop" dropStyle="combo" dx="26" fmlaLink="$AW$32" fmlaRange="$AJ$25:$AJ$33" sel="1" val="0"/>
</file>

<file path=xl/ctrlProps/ctrlProp554.xml><?xml version="1.0" encoding="utf-8"?>
<formControlPr xmlns="http://schemas.microsoft.com/office/spreadsheetml/2009/9/main" objectType="Drop" dropStyle="combo" dx="26" fmlaLink="$AW$33" fmlaRange="$AJ$25:$AJ$33" sel="1" val="0"/>
</file>

<file path=xl/ctrlProps/ctrlProp555.xml><?xml version="1.0" encoding="utf-8"?>
<formControlPr xmlns="http://schemas.microsoft.com/office/spreadsheetml/2009/9/main" objectType="Drop" dropStyle="combo" dx="26" fmlaLink="$AW$34" fmlaRange="$AJ$25:$AJ$33" sel="1" val="0"/>
</file>

<file path=xl/ctrlProps/ctrlProp556.xml><?xml version="1.0" encoding="utf-8"?>
<formControlPr xmlns="http://schemas.microsoft.com/office/spreadsheetml/2009/9/main" objectType="Drop" dropStyle="combo" dx="26" fmlaLink="$AX$31" fmlaRange="$AJ$25:$AJ$33" sel="1" val="0"/>
</file>

<file path=xl/ctrlProps/ctrlProp557.xml><?xml version="1.0" encoding="utf-8"?>
<formControlPr xmlns="http://schemas.microsoft.com/office/spreadsheetml/2009/9/main" objectType="Drop" dropStyle="combo" dx="26" fmlaLink="$AX$32" fmlaRange="$AJ$25:$AJ$33" sel="1" val="0"/>
</file>

<file path=xl/ctrlProps/ctrlProp558.xml><?xml version="1.0" encoding="utf-8"?>
<formControlPr xmlns="http://schemas.microsoft.com/office/spreadsheetml/2009/9/main" objectType="Drop" dropStyle="combo" dx="26" fmlaLink="$AX$33" fmlaRange="$AJ$25:$AJ$33" sel="1" val="0"/>
</file>

<file path=xl/ctrlProps/ctrlProp559.xml><?xml version="1.0" encoding="utf-8"?>
<formControlPr xmlns="http://schemas.microsoft.com/office/spreadsheetml/2009/9/main" objectType="Drop" dropStyle="combo" dx="26" fmlaLink="$AX$34" fmlaRange="$AJ$25:$AJ$33" sel="1" val="0"/>
</file>

<file path=xl/ctrlProps/ctrlProp560.xml><?xml version="1.0" encoding="utf-8"?>
<formControlPr xmlns="http://schemas.microsoft.com/office/spreadsheetml/2009/9/main" objectType="Drop" dropStyle="combo" dx="26" fmlaLink="$AY$31" fmlaRange="$AJ$25:$AJ$33" sel="1" val="0"/>
</file>

<file path=xl/ctrlProps/ctrlProp561.xml><?xml version="1.0" encoding="utf-8"?>
<formControlPr xmlns="http://schemas.microsoft.com/office/spreadsheetml/2009/9/main" objectType="Drop" dropStyle="combo" dx="26" fmlaLink="$AY$32" fmlaRange="$AJ$25:$AJ$33" sel="1" val="0"/>
</file>

<file path=xl/ctrlProps/ctrlProp562.xml><?xml version="1.0" encoding="utf-8"?>
<formControlPr xmlns="http://schemas.microsoft.com/office/spreadsheetml/2009/9/main" objectType="Drop" dropStyle="combo" dx="26" fmlaLink="$AY$33" fmlaRange="$AJ$25:$AJ$33" sel="1" val="0"/>
</file>

<file path=xl/ctrlProps/ctrlProp563.xml><?xml version="1.0" encoding="utf-8"?>
<formControlPr xmlns="http://schemas.microsoft.com/office/spreadsheetml/2009/9/main" objectType="Drop" dropStyle="combo" dx="26" fmlaLink="$AY$34" fmlaRange="$AJ$25:$AJ$33" sel="1" val="0"/>
</file>

<file path=xl/ctrlProps/ctrlProp564.xml><?xml version="1.0" encoding="utf-8"?>
<formControlPr xmlns="http://schemas.microsoft.com/office/spreadsheetml/2009/9/main" objectType="Drop" dropStyle="combo" dx="26" fmlaLink="$AZ$31" fmlaRange="$AJ$25:$AJ$33" sel="1" val="0"/>
</file>

<file path=xl/ctrlProps/ctrlProp565.xml><?xml version="1.0" encoding="utf-8"?>
<formControlPr xmlns="http://schemas.microsoft.com/office/spreadsheetml/2009/9/main" objectType="Drop" dropStyle="combo" dx="26" fmlaLink="$AZ$32" fmlaRange="$AJ$25:$AJ$33" sel="1" val="0"/>
</file>

<file path=xl/ctrlProps/ctrlProp566.xml><?xml version="1.0" encoding="utf-8"?>
<formControlPr xmlns="http://schemas.microsoft.com/office/spreadsheetml/2009/9/main" objectType="Drop" dropStyle="combo" dx="26" fmlaLink="$AZ$33" fmlaRange="$AJ$25:$AJ$33" sel="1" val="0"/>
</file>

<file path=xl/ctrlProps/ctrlProp567.xml><?xml version="1.0" encoding="utf-8"?>
<formControlPr xmlns="http://schemas.microsoft.com/office/spreadsheetml/2009/9/main" objectType="Drop" dropStyle="combo" dx="26" fmlaLink="$AZ$34" fmlaRange="$AJ$25:$AJ$33" sel="1" val="0"/>
</file>

<file path=xl/ctrlProps/ctrlProp568.xml><?xml version="1.0" encoding="utf-8"?>
<formControlPr xmlns="http://schemas.microsoft.com/office/spreadsheetml/2009/9/main" objectType="Drop" dropStyle="combo" dx="26" fmlaLink="$AU$35" fmlaRange="$AJ$42:$AJ$48" sel="1" val="0"/>
</file>

<file path=xl/ctrlProps/ctrlProp569.xml><?xml version="1.0" encoding="utf-8"?>
<formControlPr xmlns="http://schemas.microsoft.com/office/spreadsheetml/2009/9/main" objectType="Drop" dropStyle="combo" dx="26" fmlaLink="$AV$35" fmlaRange="$AJ$25:$AJ$33" sel="1" val="0"/>
</file>

<file path=xl/ctrlProps/ctrlProp570.xml><?xml version="1.0" encoding="utf-8"?>
<formControlPr xmlns="http://schemas.microsoft.com/office/spreadsheetml/2009/9/main" objectType="Drop" dropStyle="combo" dx="26" fmlaLink="$AW$35" fmlaRange="$AJ$25:$AJ$33" sel="1" val="0"/>
</file>

<file path=xl/ctrlProps/ctrlProp571.xml><?xml version="1.0" encoding="utf-8"?>
<formControlPr xmlns="http://schemas.microsoft.com/office/spreadsheetml/2009/9/main" objectType="Drop" dropStyle="combo" dx="26" fmlaLink="$AX$35" fmlaRange="$AJ$25:$AJ$33" sel="1" val="0"/>
</file>

<file path=xl/ctrlProps/ctrlProp572.xml><?xml version="1.0" encoding="utf-8"?>
<formControlPr xmlns="http://schemas.microsoft.com/office/spreadsheetml/2009/9/main" objectType="Drop" dropStyle="combo" dx="26" fmlaLink="$AY$35" fmlaRange="$AJ$25:$AJ$33" sel="1" val="0"/>
</file>

<file path=xl/ctrlProps/ctrlProp573.xml><?xml version="1.0" encoding="utf-8"?>
<formControlPr xmlns="http://schemas.microsoft.com/office/spreadsheetml/2009/9/main" objectType="Drop" dropStyle="combo" dx="26" fmlaLink="$AZ$35" fmlaRange="$AJ$25:$AJ$33" sel="1" val="0"/>
</file>

<file path=xl/ctrlProps/ctrlProp574.xml><?xml version="1.0" encoding="utf-8"?>
<formControlPr xmlns="http://schemas.microsoft.com/office/spreadsheetml/2009/9/main" objectType="Drop" dropStyle="combo" dx="26" fmlaLink="$AU$36" fmlaRange="$AJ$42:$AJ$48" sel="1" val="0"/>
</file>

<file path=xl/ctrlProps/ctrlProp575.xml><?xml version="1.0" encoding="utf-8"?>
<formControlPr xmlns="http://schemas.microsoft.com/office/spreadsheetml/2009/9/main" objectType="Drop" dropStyle="combo" dx="26" fmlaLink="$AV$36" fmlaRange="$AJ$25:$AJ$33" sel="1" val="0"/>
</file>

<file path=xl/ctrlProps/ctrlProp576.xml><?xml version="1.0" encoding="utf-8"?>
<formControlPr xmlns="http://schemas.microsoft.com/office/spreadsheetml/2009/9/main" objectType="Drop" dropStyle="combo" dx="26" fmlaLink="$AW$36" fmlaRange="$AJ$25:$AJ$33" sel="1" val="0"/>
</file>

<file path=xl/ctrlProps/ctrlProp577.xml><?xml version="1.0" encoding="utf-8"?>
<formControlPr xmlns="http://schemas.microsoft.com/office/spreadsheetml/2009/9/main" objectType="Drop" dropStyle="combo" dx="26" fmlaLink="$AX$36" fmlaRange="$AJ$25:$AJ$33" sel="1" val="0"/>
</file>

<file path=xl/ctrlProps/ctrlProp578.xml><?xml version="1.0" encoding="utf-8"?>
<formControlPr xmlns="http://schemas.microsoft.com/office/spreadsheetml/2009/9/main" objectType="Drop" dropStyle="combo" dx="26" fmlaLink="$AY$36" fmlaRange="$AJ$25:$AJ$33" sel="1" val="0"/>
</file>

<file path=xl/ctrlProps/ctrlProp579.xml><?xml version="1.0" encoding="utf-8"?>
<formControlPr xmlns="http://schemas.microsoft.com/office/spreadsheetml/2009/9/main" objectType="Drop" dropStyle="combo" dx="26" fmlaLink="$AZ$36" fmlaRange="$AJ$25:$AJ$33" sel="1" val="0"/>
</file>

<file path=xl/ctrlProps/ctrlProp580.xml><?xml version="1.0" encoding="utf-8"?>
<formControlPr xmlns="http://schemas.microsoft.com/office/spreadsheetml/2009/9/main" objectType="Drop" dropStyle="combo" dx="26" fmlaLink="$AU$37" fmlaRange="$AJ$42:$AJ$48" sel="1" val="0"/>
</file>

<file path=xl/ctrlProps/ctrlProp581.xml><?xml version="1.0" encoding="utf-8"?>
<formControlPr xmlns="http://schemas.microsoft.com/office/spreadsheetml/2009/9/main" objectType="Drop" dropStyle="combo" dx="26" fmlaLink="$AV$37" fmlaRange="$AJ$25:$AJ$33" sel="1" val="0"/>
</file>

<file path=xl/ctrlProps/ctrlProp582.xml><?xml version="1.0" encoding="utf-8"?>
<formControlPr xmlns="http://schemas.microsoft.com/office/spreadsheetml/2009/9/main" objectType="Drop" dropStyle="combo" dx="26" fmlaLink="$AW$37" fmlaRange="$AJ$25:$AJ$33" sel="1" val="0"/>
</file>

<file path=xl/ctrlProps/ctrlProp583.xml><?xml version="1.0" encoding="utf-8"?>
<formControlPr xmlns="http://schemas.microsoft.com/office/spreadsheetml/2009/9/main" objectType="Drop" dropStyle="combo" dx="26" fmlaLink="$AX$37" fmlaRange="$AJ$25:$AJ$33" sel="1" val="0"/>
</file>

<file path=xl/ctrlProps/ctrlProp584.xml><?xml version="1.0" encoding="utf-8"?>
<formControlPr xmlns="http://schemas.microsoft.com/office/spreadsheetml/2009/9/main" objectType="Drop" dropStyle="combo" dx="26" fmlaLink="$AY$37" fmlaRange="$AJ$25:$AJ$33" sel="1" val="0"/>
</file>

<file path=xl/ctrlProps/ctrlProp585.xml><?xml version="1.0" encoding="utf-8"?>
<formControlPr xmlns="http://schemas.microsoft.com/office/spreadsheetml/2009/9/main" objectType="Drop" dropStyle="combo" dx="26" fmlaLink="$AZ$37" fmlaRange="$AJ$25:$AJ$33" sel="1" val="0"/>
</file>

<file path=xl/ctrlProps/ctrlProp586.xml><?xml version="1.0" encoding="utf-8"?>
<formControlPr xmlns="http://schemas.microsoft.com/office/spreadsheetml/2009/9/main" objectType="Drop" dropStyle="combo" dx="26" fmlaLink="$AU$38" fmlaRange="$AJ$42:$AJ$48" sel="1" val="0"/>
</file>

<file path=xl/ctrlProps/ctrlProp587.xml><?xml version="1.0" encoding="utf-8"?>
<formControlPr xmlns="http://schemas.microsoft.com/office/spreadsheetml/2009/9/main" objectType="Drop" dropStyle="combo" dx="26" fmlaLink="$AV$38" fmlaRange="$AJ$25:$AJ$33" sel="1" val="0"/>
</file>

<file path=xl/ctrlProps/ctrlProp588.xml><?xml version="1.0" encoding="utf-8"?>
<formControlPr xmlns="http://schemas.microsoft.com/office/spreadsheetml/2009/9/main" objectType="Drop" dropStyle="combo" dx="26" fmlaLink="$AW$38" fmlaRange="$AJ$25:$AJ$33" sel="1" val="0"/>
</file>

<file path=xl/ctrlProps/ctrlProp589.xml><?xml version="1.0" encoding="utf-8"?>
<formControlPr xmlns="http://schemas.microsoft.com/office/spreadsheetml/2009/9/main" objectType="Drop" dropStyle="combo" dx="26" fmlaLink="$AX$38" fmlaRange="$AJ$25:$AJ$33" sel="1" val="0"/>
</file>

<file path=xl/ctrlProps/ctrlProp590.xml><?xml version="1.0" encoding="utf-8"?>
<formControlPr xmlns="http://schemas.microsoft.com/office/spreadsheetml/2009/9/main" objectType="Drop" dropStyle="combo" dx="26" fmlaLink="$AY$38" fmlaRange="$AJ$25:$AJ$33" sel="1" val="0"/>
</file>

<file path=xl/ctrlProps/ctrlProp591.xml><?xml version="1.0" encoding="utf-8"?>
<formControlPr xmlns="http://schemas.microsoft.com/office/spreadsheetml/2009/9/main" objectType="Drop" dropStyle="combo" dx="26" fmlaLink="$AZ$38" fmlaRange="$AJ$25:$AJ$33" sel="1" val="0"/>
</file>

<file path=xl/ctrlProps/ctrlProp592.xml><?xml version="1.0" encoding="utf-8"?>
<formControlPr xmlns="http://schemas.microsoft.com/office/spreadsheetml/2009/9/main" objectType="Drop" dropStyle="combo" dx="26" fmlaLink="$AU$38" fmlaRange="$AJ$42:$AJ$48" sel="1" val="0"/>
</file>

<file path=xl/ctrlProps/ctrlProp593.xml><?xml version="1.0" encoding="utf-8"?>
<formControlPr xmlns="http://schemas.microsoft.com/office/spreadsheetml/2009/9/main" objectType="Drop" dropStyle="combo" dx="26" fmlaLink="$AV$38" fmlaRange="$AJ$25:$AJ$33" sel="1" val="0"/>
</file>

<file path=xl/ctrlProps/ctrlProp594.xml><?xml version="1.0" encoding="utf-8"?>
<formControlPr xmlns="http://schemas.microsoft.com/office/spreadsheetml/2009/9/main" objectType="Drop" dropStyle="combo" dx="26" fmlaLink="$AW$38" fmlaRange="$AJ$25:$AJ$33" sel="1" val="0"/>
</file>

<file path=xl/ctrlProps/ctrlProp595.xml><?xml version="1.0" encoding="utf-8"?>
<formControlPr xmlns="http://schemas.microsoft.com/office/spreadsheetml/2009/9/main" objectType="Drop" dropStyle="combo" dx="26" fmlaLink="$AX$38" fmlaRange="$AJ$25:$AJ$33" sel="1" val="0"/>
</file>

<file path=xl/ctrlProps/ctrlProp596.xml><?xml version="1.0" encoding="utf-8"?>
<formControlPr xmlns="http://schemas.microsoft.com/office/spreadsheetml/2009/9/main" objectType="Drop" dropStyle="combo" dx="26" fmlaLink="$AY$38" fmlaRange="$AJ$25:$AJ$33" sel="1" val="0"/>
</file>

<file path=xl/ctrlProps/ctrlProp597.xml><?xml version="1.0" encoding="utf-8"?>
<formControlPr xmlns="http://schemas.microsoft.com/office/spreadsheetml/2009/9/main" objectType="Drop" dropStyle="combo" dx="26" fmlaLink="$AZ$38" fmlaRange="$AJ$25:$AJ$33" sel="1" val="0"/>
</file>

<file path=xl/ctrlProps/ctrlProp598.xml><?xml version="1.0" encoding="utf-8"?>
<formControlPr xmlns="http://schemas.microsoft.com/office/spreadsheetml/2009/9/main" objectType="Drop" dropStyle="combo" dx="26" fmlaLink="$AU$39" fmlaRange="$AJ$42:$AJ$48" sel="1" val="0"/>
</file>

<file path=xl/ctrlProps/ctrlProp599.xml><?xml version="1.0" encoding="utf-8"?>
<formControlPr xmlns="http://schemas.microsoft.com/office/spreadsheetml/2009/9/main" objectType="Drop" dropStyle="combo" dx="26" fmlaLink="$AV$39" fmlaRange="$AJ$25:$AJ$33" sel="1" val="0"/>
</file>

<file path=xl/ctrlProps/ctrlProp600.xml><?xml version="1.0" encoding="utf-8"?>
<formControlPr xmlns="http://schemas.microsoft.com/office/spreadsheetml/2009/9/main" objectType="Drop" dropStyle="combo" dx="26" fmlaLink="$AW$39" fmlaRange="$AJ$25:$AJ$33" sel="1" val="0"/>
</file>

<file path=xl/ctrlProps/ctrlProp601.xml><?xml version="1.0" encoding="utf-8"?>
<formControlPr xmlns="http://schemas.microsoft.com/office/spreadsheetml/2009/9/main" objectType="Drop" dropStyle="combo" dx="26" fmlaLink="$AX$39" fmlaRange="$AJ$25:$AJ$33" sel="1" val="0"/>
</file>

<file path=xl/ctrlProps/ctrlProp602.xml><?xml version="1.0" encoding="utf-8"?>
<formControlPr xmlns="http://schemas.microsoft.com/office/spreadsheetml/2009/9/main" objectType="Drop" dropStyle="combo" dx="26" fmlaLink="$AY$39" fmlaRange="$AJ$25:$AJ$33" sel="1" val="0"/>
</file>

<file path=xl/ctrlProps/ctrlProp603.xml><?xml version="1.0" encoding="utf-8"?>
<formControlPr xmlns="http://schemas.microsoft.com/office/spreadsheetml/2009/9/main" objectType="Drop" dropStyle="combo" dx="26" fmlaLink="$AZ$39" fmlaRange="$AJ$25:$AJ$33" sel="1" val="0"/>
</file>

<file path=xl/ctrlProps/ctrlProp604.xml><?xml version="1.0" encoding="utf-8"?>
<formControlPr xmlns="http://schemas.microsoft.com/office/spreadsheetml/2009/9/main" objectType="Drop" dropStyle="combo" dx="26" fmlaLink="$AU$40" fmlaRange="$AJ$42:$AJ$48" sel="1" val="0"/>
</file>

<file path=xl/ctrlProps/ctrlProp605.xml><?xml version="1.0" encoding="utf-8"?>
<formControlPr xmlns="http://schemas.microsoft.com/office/spreadsheetml/2009/9/main" objectType="Drop" dropStyle="combo" dx="26" fmlaLink="$AV$40" fmlaRange="$AJ$25:$AJ$33" sel="1" val="0"/>
</file>

<file path=xl/ctrlProps/ctrlProp606.xml><?xml version="1.0" encoding="utf-8"?>
<formControlPr xmlns="http://schemas.microsoft.com/office/spreadsheetml/2009/9/main" objectType="Drop" dropStyle="combo" dx="26" fmlaLink="$AW$40" fmlaRange="$AJ$25:$AJ$33" sel="1" val="0"/>
</file>

<file path=xl/ctrlProps/ctrlProp607.xml><?xml version="1.0" encoding="utf-8"?>
<formControlPr xmlns="http://schemas.microsoft.com/office/spreadsheetml/2009/9/main" objectType="Drop" dropStyle="combo" dx="26" fmlaLink="$AX$40" fmlaRange="$AJ$25:$AJ$33" sel="1" val="0"/>
</file>

<file path=xl/ctrlProps/ctrlProp608.xml><?xml version="1.0" encoding="utf-8"?>
<formControlPr xmlns="http://schemas.microsoft.com/office/spreadsheetml/2009/9/main" objectType="Drop" dropStyle="combo" dx="26" fmlaLink="$AY$40" fmlaRange="$AJ$25:$AJ$33" sel="1" val="0"/>
</file>

<file path=xl/ctrlProps/ctrlProp609.xml><?xml version="1.0" encoding="utf-8"?>
<formControlPr xmlns="http://schemas.microsoft.com/office/spreadsheetml/2009/9/main" objectType="Drop" dropStyle="combo" dx="26" fmlaLink="$AZ$40" fmlaRange="$AJ$25:$AJ$33" sel="1" val="0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Drop" dropStyle="combo" dx="26" fmlaLink="$AZ$22" fmlaRange="$M$10:$M$16" sel="1" val="0"/>
</file>

<file path=xl/ctrlProps/ctrlProp612.xml><?xml version="1.0" encoding="utf-8"?>
<formControlPr xmlns="http://schemas.microsoft.com/office/spreadsheetml/2009/9/main" objectType="Drop" dropStyle="combo" dx="26" fmlaLink="$AZ$13" fmlaRange="$AO$29:$AO$37" sel="0" val="0"/>
</file>

<file path=xl/ctrlProps/ctrlProp613.xml><?xml version="1.0" encoding="utf-8"?>
<formControlPr xmlns="http://schemas.microsoft.com/office/spreadsheetml/2009/9/main" objectType="Drop" dropStyle="combo" dx="26" fmlaLink="$AZ$14" fmlaRange="$AO$29:$AO$37" sel="0" val="0"/>
</file>

<file path=xl/ctrlProps/ctrlProp614.xml><?xml version="1.0" encoding="utf-8"?>
<formControlPr xmlns="http://schemas.microsoft.com/office/spreadsheetml/2009/9/main" objectType="Drop" dropStyle="combo" dx="26" fmlaLink="$AZ$15" fmlaRange="$AO$29:$AO$37" sel="0" val="0"/>
</file>

<file path=xl/ctrlProps/ctrlProp615.xml><?xml version="1.0" encoding="utf-8"?>
<formControlPr xmlns="http://schemas.microsoft.com/office/spreadsheetml/2009/9/main" objectType="Drop" dropStyle="combo" dx="26" fmlaLink="$AZ$16" fmlaRange="$AO$29:$AO$37" sel="0" val="0"/>
</file>

<file path=xl/ctrlProps/ctrlProp616.xml><?xml version="1.0" encoding="utf-8"?>
<formControlPr xmlns="http://schemas.microsoft.com/office/spreadsheetml/2009/9/main" objectType="Drop" dropStyle="combo" dx="26" fmlaLink="$AZ$17" fmlaRange="$AO$29:$AO$37" sel="0" val="0"/>
</file>

<file path=xl/ctrlProps/ctrlProp617.xml><?xml version="1.0" encoding="utf-8"?>
<formControlPr xmlns="http://schemas.microsoft.com/office/spreadsheetml/2009/9/main" objectType="Drop" dropStyle="combo" dx="26" fmlaLink="$AZ$18" fmlaRange="$AO$29:$AO$37" sel="0" val="0"/>
</file>

<file path=xl/ctrlProps/ctrlProp618.xml><?xml version="1.0" encoding="utf-8"?>
<formControlPr xmlns="http://schemas.microsoft.com/office/spreadsheetml/2009/9/main" objectType="Drop" dropStyle="combo" dx="26" fmlaLink="$AZ$19" fmlaRange="$AO$29:$AO$37" sel="0" val="0"/>
</file>

<file path=xl/ctrlProps/ctrlProp619.xml><?xml version="1.0" encoding="utf-8"?>
<formControlPr xmlns="http://schemas.microsoft.com/office/spreadsheetml/2009/9/main" objectType="Drop" dropStyle="combo" dx="26" fmlaLink="$AZ$20" fmlaRange="$AO$29:$AO$37" sel="0" val="0"/>
</file>

<file path=xl/ctrlProps/ctrlProp620.xml><?xml version="1.0" encoding="utf-8"?>
<formControlPr xmlns="http://schemas.microsoft.com/office/spreadsheetml/2009/9/main" objectType="Drop" dropStyle="combo" dx="26" fmlaLink="$AZ$21" fmlaRange="$AO$29:$AO$37" sel="0" val="0"/>
</file>

<file path=xl/ctrlProps/ctrlProp621.xml><?xml version="1.0" encoding="utf-8"?>
<formControlPr xmlns="http://schemas.microsoft.com/office/spreadsheetml/2009/9/main" objectType="Drop" dropStyle="combo" dx="26" fmlaLink="$AZ$22" fmlaRange="$AO$29:$AO$37" sel="1" val="0"/>
</file>

<file path=xl/ctrlProps/ctrlProp622.xml><?xml version="1.0" encoding="utf-8"?>
<formControlPr xmlns="http://schemas.microsoft.com/office/spreadsheetml/2009/9/main" objectType="Drop" dropStyle="combo" dx="26" fmlaLink="$AZ$23" fmlaRange="$AO$29:$AO$37" sel="1" val="0"/>
</file>

<file path=xl/ctrlProps/ctrlProp623.xml><?xml version="1.0" encoding="utf-8"?>
<formControlPr xmlns="http://schemas.microsoft.com/office/spreadsheetml/2009/9/main" objectType="Drop" dropStyle="combo" dx="26" fmlaLink="$AZ$24" fmlaRange="$AO$29:$AO$37" sel="1" val="0"/>
</file>

<file path=xl/ctrlProps/ctrlProp624.xml><?xml version="1.0" encoding="utf-8"?>
<formControlPr xmlns="http://schemas.microsoft.com/office/spreadsheetml/2009/9/main" objectType="Drop" dropStyle="combo" dx="26" fmlaLink="$AZ$25" fmlaRange="$AO$29:$AO$37" sel="1" val="0"/>
</file>

<file path=xl/ctrlProps/ctrlProp625.xml><?xml version="1.0" encoding="utf-8"?>
<formControlPr xmlns="http://schemas.microsoft.com/office/spreadsheetml/2009/9/main" objectType="Drop" dropStyle="combo" dx="26" fmlaLink="$AZ$25" fmlaRange="$AO$29:$AO$37" sel="1" val="0"/>
</file>

<file path=xl/ctrlProps/ctrlProp626.xml><?xml version="1.0" encoding="utf-8"?>
<formControlPr xmlns="http://schemas.microsoft.com/office/spreadsheetml/2009/9/main" objectType="Drop" dropStyle="combo" dx="26" fmlaLink="$AZ$26" fmlaRange="$AO$29:$AO$37" sel="1" val="0"/>
</file>

<file path=xl/ctrlProps/ctrlProp627.xml><?xml version="1.0" encoding="utf-8"?>
<formControlPr xmlns="http://schemas.microsoft.com/office/spreadsheetml/2009/9/main" objectType="Drop" dropStyle="combo" dx="26" fmlaLink="$AZ$27" fmlaRange="$AO$29:$AO$37" sel="1" val="0"/>
</file>

<file path=xl/ctrlProps/ctrlProp628.xml><?xml version="1.0" encoding="utf-8"?>
<formControlPr xmlns="http://schemas.microsoft.com/office/spreadsheetml/2009/9/main" objectType="Drop" dropStyle="combo" dx="26" fmlaLink="$AZ$23" fmlaRange="$M$10:$M$16" sel="1" val="0"/>
</file>

<file path=xl/ctrlProps/ctrlProp629.xml><?xml version="1.0" encoding="utf-8"?>
<formControlPr xmlns="http://schemas.microsoft.com/office/spreadsheetml/2009/9/main" objectType="Drop" dropStyle="combo" dx="26" fmlaLink="$AZ$24" fmlaRange="$AO$29:$AO$37" sel="1" val="0"/>
</file>

<file path=xl/ctrlProps/ctrlProp630.xml><?xml version="1.0" encoding="utf-8"?>
<formControlPr xmlns="http://schemas.microsoft.com/office/spreadsheetml/2009/9/main" objectType="Drop" dropStyle="combo" dx="26" fmlaLink="$AZ$12" fmlaRange="$AO$29:$AO$37" sel="0" val="0"/>
</file>

<file path=xl/ctrlProps/ctrlProp631.xml><?xml version="1.0" encoding="utf-8"?>
<formControlPr xmlns="http://schemas.microsoft.com/office/spreadsheetml/2009/9/main" objectType="Drop" dropStyle="combo" dx="26" fmlaLink="$AZ$12" fmlaRange="$AO$29:$AO$37" sel="0" val="0"/>
</file>

<file path=xl/ctrlProps/ctrlProp632.xml><?xml version="1.0" encoding="utf-8"?>
<formControlPr xmlns="http://schemas.microsoft.com/office/spreadsheetml/2009/9/main" objectType="Drop" dropStyle="combo" dx="26" fmlaLink="$AZ$12" fmlaRange="$AO$29:$AO$37" sel="0" val="0"/>
</file>

<file path=xl/ctrlProps/ctrlProp633.xml><?xml version="1.0" encoding="utf-8"?>
<formControlPr xmlns="http://schemas.microsoft.com/office/spreadsheetml/2009/9/main" objectType="Drop" dropStyle="combo" dx="26" fmlaLink="$AZ$12" fmlaRange="$AO$29:$AO$37" sel="0" val="0"/>
</file>

<file path=xl/ctrlProps/ctrlProp634.xml><?xml version="1.0" encoding="utf-8"?>
<formControlPr xmlns="http://schemas.microsoft.com/office/spreadsheetml/2009/9/main" objectType="Drop" dropStyle="combo" dx="26" fmlaLink="$AZ$18" fmlaRange="$AO$29:$AO$37" sel="0" val="0"/>
</file>

<file path=xl/ctrlProps/ctrlProp635.xml><?xml version="1.0" encoding="utf-8"?>
<formControlPr xmlns="http://schemas.microsoft.com/office/spreadsheetml/2009/9/main" objectType="Drop" dropStyle="combo" dx="26" fmlaLink="$AZ$12" fmlaRange="$AO$29:$AO$37" sel="0" val="0"/>
</file>

<file path=xl/ctrlProps/ctrlProp636.xml><?xml version="1.0" encoding="utf-8"?>
<formControlPr xmlns="http://schemas.microsoft.com/office/spreadsheetml/2009/9/main" objectType="Drop" dropStyle="combo" dx="26" fmlaLink="$AZ$18" fmlaRange="$AO$29:$AO$37" sel="0" val="0"/>
</file>

<file path=xl/ctrlProps/ctrlProp637.xml><?xml version="1.0" encoding="utf-8"?>
<formControlPr xmlns="http://schemas.microsoft.com/office/spreadsheetml/2009/9/main" objectType="Drop" dropStyle="combo" dx="26" fmlaLink="$AZ$12" fmlaRange="$AO$29:$AO$37" sel="0" val="0"/>
</file>

<file path=xl/ctrlProps/ctrlProp638.xml><?xml version="1.0" encoding="utf-8"?>
<formControlPr xmlns="http://schemas.microsoft.com/office/spreadsheetml/2009/9/main" objectType="Drop" dropStyle="combo" dx="26" fmlaLink="$AZ$18" fmlaRange="$AO$29:$AO$37" sel="0" val="0"/>
</file>

<file path=xl/ctrlProps/ctrlProp639.xml><?xml version="1.0" encoding="utf-8"?>
<formControlPr xmlns="http://schemas.microsoft.com/office/spreadsheetml/2009/9/main" objectType="Drop" dropStyle="combo" dx="26" fmlaLink="$AZ$12" fmlaRange="$AO$29:$AO$37" sel="0" val="0"/>
</file>

<file path=xl/ctrlProps/ctrlProp640.xml><?xml version="1.0" encoding="utf-8"?>
<formControlPr xmlns="http://schemas.microsoft.com/office/spreadsheetml/2009/9/main" objectType="Drop" dropStyle="combo" dx="26" fmlaLink="$AZ$18" fmlaRange="$AO$29:$AO$37" sel="0" val="0"/>
</file>

<file path=xl/ctrlProps/ctrlProp641.xml><?xml version="1.0" encoding="utf-8"?>
<formControlPr xmlns="http://schemas.microsoft.com/office/spreadsheetml/2009/9/main" objectType="Drop" dropStyle="combo" dx="26" fmlaLink="$AZ$12" fmlaRange="$AO$29:$AO$37" sel="0" val="0"/>
</file>

<file path=xl/ctrlProps/ctrlProp642.xml><?xml version="1.0" encoding="utf-8"?>
<formControlPr xmlns="http://schemas.microsoft.com/office/spreadsheetml/2009/9/main" objectType="Drop" dropStyle="combo" dx="26" fmlaLink="$AZ$18" fmlaRange="$AO$29:$AO$37" sel="0" val="0"/>
</file>

<file path=xl/ctrlProps/ctrlProp643.xml><?xml version="1.0" encoding="utf-8"?>
<formControlPr xmlns="http://schemas.microsoft.com/office/spreadsheetml/2009/9/main" objectType="Drop" dropStyle="combo" dx="26" fmlaLink="$AZ$12" fmlaRange="$AO$29:$AO$37" sel="0" val="0"/>
</file>

<file path=xl/ctrlProps/ctrlProp644.xml><?xml version="1.0" encoding="utf-8"?>
<formControlPr xmlns="http://schemas.microsoft.com/office/spreadsheetml/2009/9/main" objectType="Drop" dropStyle="combo" dx="26" fmlaLink="$AZ$18" fmlaRange="$AO$29:$AO$37" sel="0" val="0"/>
</file>

<file path=xl/ctrlProps/ctrlProp645.xml><?xml version="1.0" encoding="utf-8"?>
<formControlPr xmlns="http://schemas.microsoft.com/office/spreadsheetml/2009/9/main" objectType="Drop" dropStyle="combo" dx="26" fmlaLink="$AZ$12" fmlaRange="$AO$29:$AO$37" sel="0" val="0"/>
</file>

<file path=xl/ctrlProps/ctrlProp646.xml><?xml version="1.0" encoding="utf-8"?>
<formControlPr xmlns="http://schemas.microsoft.com/office/spreadsheetml/2009/9/main" objectType="Drop" dropStyle="combo" dx="26" fmlaLink="$AZ$18" fmlaRange="$AO$29:$AO$37" sel="0" val="0"/>
</file>

<file path=xl/ctrlProps/ctrlProp647.xml><?xml version="1.0" encoding="utf-8"?>
<formControlPr xmlns="http://schemas.microsoft.com/office/spreadsheetml/2009/9/main" objectType="Drop" dropStyle="combo" dx="26" fmlaLink="$AZ$12" fmlaRange="$AO$29:$AO$37" sel="0" val="0"/>
</file>

<file path=xl/ctrlProps/ctrlProp648.xml><?xml version="1.0" encoding="utf-8"?>
<formControlPr xmlns="http://schemas.microsoft.com/office/spreadsheetml/2009/9/main" objectType="Drop" dropStyle="combo" dx="26" fmlaLink="$AZ$18" fmlaRange="$AO$29:$AO$37" sel="0" val="0"/>
</file>

<file path=xl/ctrlProps/ctrlProp649.xml><?xml version="1.0" encoding="utf-8"?>
<formControlPr xmlns="http://schemas.microsoft.com/office/spreadsheetml/2009/9/main" objectType="Drop" dropStyle="combo" dx="26" fmlaLink="$AZ$12" fmlaRange="$AO$29:$AO$37" sel="0" val="0"/>
</file>

<file path=xl/ctrlProps/ctrlProp650.xml><?xml version="1.0" encoding="utf-8"?>
<formControlPr xmlns="http://schemas.microsoft.com/office/spreadsheetml/2009/9/main" objectType="Drop" dropStyle="combo" dx="26" fmlaLink="$AZ$18" fmlaRange="$AO$29:$AO$37" sel="0" val="0"/>
</file>

<file path=xl/ctrlProps/ctrlProp651.xml><?xml version="1.0" encoding="utf-8"?>
<formControlPr xmlns="http://schemas.microsoft.com/office/spreadsheetml/2009/9/main" objectType="Drop" dropStyle="combo" dx="26" fmlaLink="$AZ$12" fmlaRange="$AO$29:$AO$37" sel="0" val="0"/>
</file>

<file path=xl/ctrlProps/ctrlProp652.xml><?xml version="1.0" encoding="utf-8"?>
<formControlPr xmlns="http://schemas.microsoft.com/office/spreadsheetml/2009/9/main" objectType="Drop" dropStyle="combo" dx="26" fmlaLink="$AW$22" fmlaRange="$AW$23:$AW$24" sel="1" val="0"/>
</file>

<file path=xl/ctrlProps/ctrlProp653.xml><?xml version="1.0" encoding="utf-8"?>
<formControlPr xmlns="http://schemas.microsoft.com/office/spreadsheetml/2009/9/main" objectType="Drop" dropStyle="combo" dx="26" fmlaLink="$AZ$23" fmlaRange="$M$10:$M$16" sel="1" val="0"/>
</file>

<file path=xl/ctrlProps/ctrlProp654.xml><?xml version="1.0" encoding="utf-8"?>
<formControlPr xmlns="http://schemas.microsoft.com/office/spreadsheetml/2009/9/main" objectType="Drop" dropStyle="combo" dx="26" fmlaLink="$AZ$24" fmlaRange="$M$10:$M$16" sel="1" val="0"/>
</file>

<file path=xl/ctrlProps/ctrlProp655.xml><?xml version="1.0" encoding="utf-8"?>
<formControlPr xmlns="http://schemas.microsoft.com/office/spreadsheetml/2009/9/main" objectType="Drop" dropStyle="combo" dx="26" fmlaLink="$AZ$25" fmlaRange="$M$10:$M$16" sel="1" val="0"/>
</file>

<file path=xl/ctrlProps/ctrlProp656.xml><?xml version="1.0" encoding="utf-8"?>
<formControlPr xmlns="http://schemas.microsoft.com/office/spreadsheetml/2009/9/main" objectType="Drop" dropStyle="combo" dx="26" fmlaLink="$AZ$26" fmlaRange="$M$10:$M$16" sel="1" val="0"/>
</file>

<file path=xl/ctrlProps/ctrlProp657.xml><?xml version="1.0" encoding="utf-8"?>
<formControlPr xmlns="http://schemas.microsoft.com/office/spreadsheetml/2009/9/main" objectType="Drop" dropStyle="combo" dx="26" fmlaLink="$AZ$27" fmlaRange="$M$10:$M$16" sel="1" val="0"/>
</file>

<file path=xl/ctrlProps/ctrlProp658.xml><?xml version="1.0" encoding="utf-8"?>
<formControlPr xmlns="http://schemas.microsoft.com/office/spreadsheetml/2009/9/main" objectType="Drop" dropStyle="combo" dx="26" fmlaLink="$AZ$28" fmlaRange="$M$10:$M$16" sel="1" val="0"/>
</file>

<file path=xl/ctrlProps/ctrlProp659.xml><?xml version="1.0" encoding="utf-8"?>
<formControlPr xmlns="http://schemas.microsoft.com/office/spreadsheetml/2009/9/main" objectType="Drop" dropStyle="combo" dx="26" fmlaLink="$AZ$29" fmlaRange="$M$10:$M$16" sel="1" val="0"/>
</file>

<file path=xl/ctrlProps/ctrlProp660.xml><?xml version="1.0" encoding="utf-8"?>
<formControlPr xmlns="http://schemas.microsoft.com/office/spreadsheetml/2009/9/main" objectType="Drop" dropStyle="combo" dx="26" fmlaLink="$AZ$30" fmlaRange="$M$10:$M$16" sel="1" val="0"/>
</file>

<file path=xl/ctrlProps/ctrlProp661.xml><?xml version="1.0" encoding="utf-8"?>
<formControlPr xmlns="http://schemas.microsoft.com/office/spreadsheetml/2009/9/main" objectType="Drop" dropStyle="combo" dx="26" fmlaLink="$AZ$31" fmlaRange="$M$10:$M$16" sel="1" val="0"/>
</file>

<file path=xl/ctrlProps/ctrlProp662.xml><?xml version="1.0" encoding="utf-8"?>
<formControlPr xmlns="http://schemas.microsoft.com/office/spreadsheetml/2009/9/main" objectType="Drop" dropStyle="combo" dx="26" fmlaLink="$AZ$32" fmlaRange="$M$10:$M$16" sel="1" val="0"/>
</file>

<file path=xl/ctrlProps/ctrlProp663.xml><?xml version="1.0" encoding="utf-8"?>
<formControlPr xmlns="http://schemas.microsoft.com/office/spreadsheetml/2009/9/main" objectType="Drop" dropStyle="combo" dx="26" fmlaLink="$AZ$33" fmlaRange="$M$10:$M$16" sel="1" val="0"/>
</file>

<file path=xl/ctrlProps/ctrlProp664.xml><?xml version="1.0" encoding="utf-8"?>
<formControlPr xmlns="http://schemas.microsoft.com/office/spreadsheetml/2009/9/main" objectType="Drop" dropStyle="combo" dx="26" fmlaLink="$AZ$34" fmlaRange="$M$10:$M$16" sel="1" val="0"/>
</file>

<file path=xl/ctrlProps/ctrlProp665.xml><?xml version="1.0" encoding="utf-8"?>
<formControlPr xmlns="http://schemas.microsoft.com/office/spreadsheetml/2009/9/main" objectType="Drop" dropStyle="combo" dx="26" fmlaLink="$AZ$35" fmlaRange="$M$10:$M$16" sel="1" val="0"/>
</file>

<file path=xl/ctrlProps/ctrlProp666.xml><?xml version="1.0" encoding="utf-8"?>
<formControlPr xmlns="http://schemas.microsoft.com/office/spreadsheetml/2009/9/main" objectType="Drop" dropStyle="combo" dx="26" fmlaLink="$AZ$36" fmlaRange="$M$10:$M$16" sel="1" val="0"/>
</file>

<file path=xl/ctrlProps/ctrlProp667.xml><?xml version="1.0" encoding="utf-8"?>
<formControlPr xmlns="http://schemas.microsoft.com/office/spreadsheetml/2009/9/main" objectType="Drop" dropStyle="combo" dx="26" fmlaLink="$AZ$37" fmlaRange="$M$10:$M$16" sel="1" val="0"/>
</file>

<file path=xl/ctrlProps/ctrlProp668.xml><?xml version="1.0" encoding="utf-8"?>
<formControlPr xmlns="http://schemas.microsoft.com/office/spreadsheetml/2009/9/main" objectType="Drop" dropStyle="combo" dx="26" fmlaLink="$AO$58" fmlaRange="$AO$50:$AO$57" sel="1" val="0"/>
</file>

<file path=xl/ctrlProps/ctrlProp669.xml><?xml version="1.0" encoding="utf-8"?>
<formControlPr xmlns="http://schemas.microsoft.com/office/spreadsheetml/2009/9/main" objectType="Drop" dropStyle="combo" dx="26" fmlaLink="$BA$38" fmlaRange="$AO$22:$AO$30" sel="1" val="0"/>
</file>

<file path=xl/ctrlProps/ctrlProp670.xml><?xml version="1.0" encoding="utf-8"?>
<formControlPr xmlns="http://schemas.microsoft.com/office/spreadsheetml/2009/9/main" objectType="Drop" dropStyle="combo" dx="26" fmlaLink="$BB$38" fmlaRange="$AO$22:$AO$30" sel="1" val="0"/>
</file>

<file path=xl/ctrlProps/ctrlProp671.xml><?xml version="1.0" encoding="utf-8"?>
<formControlPr xmlns="http://schemas.microsoft.com/office/spreadsheetml/2009/9/main" objectType="Drop" dropStyle="combo" dx="26" fmlaLink="$BC$38" fmlaRange="$AO$22:$AO$30" sel="1" val="0"/>
</file>

<file path=xl/ctrlProps/ctrlProp672.xml><?xml version="1.0" encoding="utf-8"?>
<formControlPr xmlns="http://schemas.microsoft.com/office/spreadsheetml/2009/9/main" objectType="Drop" dropStyle="combo" dx="26" fmlaLink="$BD$38" fmlaRange="$AO$22:$AO$30" sel="1" val="0"/>
</file>

<file path=xl/ctrlProps/ctrlProp673.xml><?xml version="1.0" encoding="utf-8"?>
<formControlPr xmlns="http://schemas.microsoft.com/office/spreadsheetml/2009/9/main" objectType="Drop" dropStyle="combo" dx="26" fmlaLink="$BE$38" fmlaRange="$AO$22:$AO$30" sel="1" val="0"/>
</file>

<file path=xl/ctrlProps/ctrlProp674.xml><?xml version="1.0" encoding="utf-8"?>
<formControlPr xmlns="http://schemas.microsoft.com/office/spreadsheetml/2009/9/main" objectType="CheckBox" fmlaLink="$BH$22" lockText="1"/>
</file>

<file path=xl/ctrlProps/ctrlProp675.xml><?xml version="1.0" encoding="utf-8"?>
<formControlPr xmlns="http://schemas.microsoft.com/office/spreadsheetml/2009/9/main" objectType="CheckBox" checked="Checked" fmlaLink="$BC$23" lockText="1"/>
</file>

<file path=xl/ctrlProps/ctrlProp676.xml><?xml version="1.0" encoding="utf-8"?>
<formControlPr xmlns="http://schemas.microsoft.com/office/spreadsheetml/2009/9/main" objectType="CheckBox" checked="Checked" fmlaLink="$BC$24" lockText="1"/>
</file>

<file path=xl/ctrlProps/ctrlProp677.xml><?xml version="1.0" encoding="utf-8"?>
<formControlPr xmlns="http://schemas.microsoft.com/office/spreadsheetml/2009/9/main" objectType="CheckBox" checked="Checked" fmlaLink="$BC$25" lockText="1"/>
</file>

<file path=xl/ctrlProps/ctrlProp678.xml><?xml version="1.0" encoding="utf-8"?>
<formControlPr xmlns="http://schemas.microsoft.com/office/spreadsheetml/2009/9/main" objectType="CheckBox" checked="Checked" fmlaLink="$BC$26" lockText="1"/>
</file>

<file path=xl/ctrlProps/ctrlProp679.xml><?xml version="1.0" encoding="utf-8"?>
<formControlPr xmlns="http://schemas.microsoft.com/office/spreadsheetml/2009/9/main" objectType="CheckBox" checked="Checked" fmlaLink="$BC$27" lockText="1"/>
</file>

<file path=xl/ctrlProps/ctrlProp680.xml><?xml version="1.0" encoding="utf-8"?>
<formControlPr xmlns="http://schemas.microsoft.com/office/spreadsheetml/2009/9/main" objectType="CheckBox" checked="Checked" fmlaLink="$BC$28" lockText="1"/>
</file>

<file path=xl/ctrlProps/ctrlProp681.xml><?xml version="1.0" encoding="utf-8"?>
<formControlPr xmlns="http://schemas.microsoft.com/office/spreadsheetml/2009/9/main" objectType="CheckBox" checked="Checked" fmlaLink="$BC$29" lockText="1"/>
</file>

<file path=xl/ctrlProps/ctrlProp682.xml><?xml version="1.0" encoding="utf-8"?>
<formControlPr xmlns="http://schemas.microsoft.com/office/spreadsheetml/2009/9/main" objectType="CheckBox" checked="Checked" fmlaLink="$BC$30" lockText="1"/>
</file>

<file path=xl/ctrlProps/ctrlProp683.xml><?xml version="1.0" encoding="utf-8"?>
<formControlPr xmlns="http://schemas.microsoft.com/office/spreadsheetml/2009/9/main" objectType="CheckBox" checked="Checked" fmlaLink="$BC$31" lockText="1"/>
</file>

<file path=xl/ctrlProps/ctrlProp684.xml><?xml version="1.0" encoding="utf-8"?>
<formControlPr xmlns="http://schemas.microsoft.com/office/spreadsheetml/2009/9/main" objectType="CheckBox" checked="Checked" fmlaLink="$BC$32" lockText="1"/>
</file>

<file path=xl/ctrlProps/ctrlProp685.xml><?xml version="1.0" encoding="utf-8"?>
<formControlPr xmlns="http://schemas.microsoft.com/office/spreadsheetml/2009/9/main" objectType="CheckBox" checked="Checked" fmlaLink="$BC$33" lockText="1"/>
</file>

<file path=xl/ctrlProps/ctrlProp686.xml><?xml version="1.0" encoding="utf-8"?>
<formControlPr xmlns="http://schemas.microsoft.com/office/spreadsheetml/2009/9/main" objectType="CheckBox" checked="Checked" fmlaLink="$BC$34" lockText="1"/>
</file>

<file path=xl/ctrlProps/ctrlProp687.xml><?xml version="1.0" encoding="utf-8"?>
<formControlPr xmlns="http://schemas.microsoft.com/office/spreadsheetml/2009/9/main" objectType="CheckBox" checked="Checked" fmlaLink="$BC$35" lockText="1"/>
</file>

<file path=xl/ctrlProps/ctrlProp688.xml><?xml version="1.0" encoding="utf-8"?>
<formControlPr xmlns="http://schemas.microsoft.com/office/spreadsheetml/2009/9/main" objectType="CheckBox" checked="Checked" fmlaLink="$BC$36" lockText="1"/>
</file>

<file path=xl/ctrlProps/ctrlProp689.xml><?xml version="1.0" encoding="utf-8"?>
<formControlPr xmlns="http://schemas.microsoft.com/office/spreadsheetml/2009/9/main" objectType="CheckBox" fmlaLink="$BH$37" lockText="1"/>
</file>

<file path=xl/ctrlProps/ctrlProp690.xml><?xml version="1.0" encoding="utf-8"?>
<formControlPr xmlns="http://schemas.microsoft.com/office/spreadsheetml/2009/9/main" objectType="CheckBox" fmlaLink="$BH$23" lockText="1"/>
</file>

<file path=xl/ctrlProps/ctrlProp691.xml><?xml version="1.0" encoding="utf-8"?>
<formControlPr xmlns="http://schemas.microsoft.com/office/spreadsheetml/2009/9/main" objectType="CheckBox" fmlaLink="$BH$24" lockText="1"/>
</file>

<file path=xl/ctrlProps/ctrlProp692.xml><?xml version="1.0" encoding="utf-8"?>
<formControlPr xmlns="http://schemas.microsoft.com/office/spreadsheetml/2009/9/main" objectType="CheckBox" fmlaLink="$BH$25" lockText="1"/>
</file>

<file path=xl/ctrlProps/ctrlProp693.xml><?xml version="1.0" encoding="utf-8"?>
<formControlPr xmlns="http://schemas.microsoft.com/office/spreadsheetml/2009/9/main" objectType="CheckBox" fmlaLink="$BH$26" lockText="1"/>
</file>

<file path=xl/ctrlProps/ctrlProp694.xml><?xml version="1.0" encoding="utf-8"?>
<formControlPr xmlns="http://schemas.microsoft.com/office/spreadsheetml/2009/9/main" objectType="CheckBox" fmlaLink="$BH$27" lockText="1"/>
</file>

<file path=xl/ctrlProps/ctrlProp695.xml><?xml version="1.0" encoding="utf-8"?>
<formControlPr xmlns="http://schemas.microsoft.com/office/spreadsheetml/2009/9/main" objectType="CheckBox" fmlaLink="$BH$28" lockText="1"/>
</file>

<file path=xl/ctrlProps/ctrlProp696.xml><?xml version="1.0" encoding="utf-8"?>
<formControlPr xmlns="http://schemas.microsoft.com/office/spreadsheetml/2009/9/main" objectType="CheckBox" fmlaLink="$BH$29" lockText="1"/>
</file>

<file path=xl/ctrlProps/ctrlProp697.xml><?xml version="1.0" encoding="utf-8"?>
<formControlPr xmlns="http://schemas.microsoft.com/office/spreadsheetml/2009/9/main" objectType="CheckBox" fmlaLink="$BH$30" lockText="1"/>
</file>

<file path=xl/ctrlProps/ctrlProp698.xml><?xml version="1.0" encoding="utf-8"?>
<formControlPr xmlns="http://schemas.microsoft.com/office/spreadsheetml/2009/9/main" objectType="CheckBox" fmlaLink="$BH$31" lockText="1"/>
</file>

<file path=xl/ctrlProps/ctrlProp699.xml><?xml version="1.0" encoding="utf-8"?>
<formControlPr xmlns="http://schemas.microsoft.com/office/spreadsheetml/2009/9/main" objectType="CheckBox" fmlaLink="$BH$32" lockText="1"/>
</file>

<file path=xl/ctrlProps/ctrlProp700.xml><?xml version="1.0" encoding="utf-8"?>
<formControlPr xmlns="http://schemas.microsoft.com/office/spreadsheetml/2009/9/main" objectType="CheckBox" fmlaLink="$BH$33" lockText="1"/>
</file>

<file path=xl/ctrlProps/ctrlProp701.xml><?xml version="1.0" encoding="utf-8"?>
<formControlPr xmlns="http://schemas.microsoft.com/office/spreadsheetml/2009/9/main" objectType="CheckBox" fmlaLink="$BH$34" lockText="1"/>
</file>

<file path=xl/ctrlProps/ctrlProp702.xml><?xml version="1.0" encoding="utf-8"?>
<formControlPr xmlns="http://schemas.microsoft.com/office/spreadsheetml/2009/9/main" objectType="CheckBox" fmlaLink="$BH$35" lockText="1"/>
</file>

<file path=xl/ctrlProps/ctrlProp703.xml><?xml version="1.0" encoding="utf-8"?>
<formControlPr xmlns="http://schemas.microsoft.com/office/spreadsheetml/2009/9/main" objectType="CheckBox" fmlaLink="$BH$36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Drop" dropStyle="combo" dx="26" fmlaLink="$AR$25" fmlaRange="$AR$26:$AR$28" sel="3" val="0"/>
</file>

<file path=xl/ctrlProps/ctrlProp706.xml><?xml version="1.0" encoding="utf-8"?>
<formControlPr xmlns="http://schemas.microsoft.com/office/spreadsheetml/2009/9/main" objectType="Drop" dropStyle="combo" dx="26" fmlaLink="$AU$25" fmlaRange="$AJ$42:$AJ$49" sel="3" val="0"/>
</file>

<file path=xl/ctrlProps/ctrlProp707.xml><?xml version="1.0" encoding="utf-8"?>
<formControlPr xmlns="http://schemas.microsoft.com/office/spreadsheetml/2009/9/main" objectType="Drop" dropStyle="combo" dx="26" fmlaLink="$AV$25" fmlaRange="$AI$25:$AI$33" sel="4" val="0"/>
</file>

<file path=xl/ctrlProps/ctrlProp708.xml><?xml version="1.0" encoding="utf-8"?>
<formControlPr xmlns="http://schemas.microsoft.com/office/spreadsheetml/2009/9/main" objectType="Drop" dropStyle="combo" dx="26" fmlaLink="$AU$26" fmlaRange="$AJ$42:$AJ$49" sel="1" val="0"/>
</file>

<file path=xl/ctrlProps/ctrlProp709.xml><?xml version="1.0" encoding="utf-8"?>
<formControlPr xmlns="http://schemas.microsoft.com/office/spreadsheetml/2009/9/main" objectType="Drop" dropStyle="combo" dx="26" fmlaLink="$AV$26" fmlaRange="$AI$25:$AI$33" sel="1" val="0"/>
</file>

<file path=xl/ctrlProps/ctrlProp710.xml><?xml version="1.0" encoding="utf-8"?>
<formControlPr xmlns="http://schemas.microsoft.com/office/spreadsheetml/2009/9/main" objectType="Drop" dropStyle="combo" dx="26" fmlaLink="$AU$27" fmlaRange="$AJ$42:$AJ$49" sel="1" val="0"/>
</file>

<file path=xl/ctrlProps/ctrlProp711.xml><?xml version="1.0" encoding="utf-8"?>
<formControlPr xmlns="http://schemas.microsoft.com/office/spreadsheetml/2009/9/main" objectType="Drop" dropStyle="combo" dx="26" fmlaLink="$AV$27" fmlaRange="$AI$25:$AI$33" sel="1" val="0"/>
</file>

<file path=xl/ctrlProps/ctrlProp712.xml><?xml version="1.0" encoding="utf-8"?>
<formControlPr xmlns="http://schemas.microsoft.com/office/spreadsheetml/2009/9/main" objectType="Drop" dropStyle="combo" dx="26" fmlaLink="$AU$28" fmlaRange="$AJ$42:$AJ$49" sel="1" val="0"/>
</file>

<file path=xl/ctrlProps/ctrlProp713.xml><?xml version="1.0" encoding="utf-8"?>
<formControlPr xmlns="http://schemas.microsoft.com/office/spreadsheetml/2009/9/main" objectType="Drop" dropStyle="combo" dx="26" fmlaLink="$AV$28" fmlaRange="$AI$25:$AI$33" sel="1" val="0"/>
</file>

<file path=xl/ctrlProps/ctrlProp714.xml><?xml version="1.0" encoding="utf-8"?>
<formControlPr xmlns="http://schemas.microsoft.com/office/spreadsheetml/2009/9/main" objectType="Drop" dropStyle="combo" dx="26" fmlaLink="$AW$25" fmlaRange="$AI$25:$AI$33" sel="9" val="0"/>
</file>

<file path=xl/ctrlProps/ctrlProp715.xml><?xml version="1.0" encoding="utf-8"?>
<formControlPr xmlns="http://schemas.microsoft.com/office/spreadsheetml/2009/9/main" objectType="Drop" dropStyle="combo" dx="26" fmlaLink="$AW$26" fmlaRange="$AI$25:$AI$33" sel="1" val="0"/>
</file>

<file path=xl/ctrlProps/ctrlProp716.xml><?xml version="1.0" encoding="utf-8"?>
<formControlPr xmlns="http://schemas.microsoft.com/office/spreadsheetml/2009/9/main" objectType="Drop" dropStyle="combo" dx="26" fmlaLink="$AW$27" fmlaRange="$AI$25:$AI$33" sel="1" val="0"/>
</file>

<file path=xl/ctrlProps/ctrlProp717.xml><?xml version="1.0" encoding="utf-8"?>
<formControlPr xmlns="http://schemas.microsoft.com/office/spreadsheetml/2009/9/main" objectType="Drop" dropStyle="combo" dx="26" fmlaLink="$AW$28" fmlaRange="$AI$25:$AI$33" sel="1" val="0"/>
</file>

<file path=xl/ctrlProps/ctrlProp718.xml><?xml version="1.0" encoding="utf-8"?>
<formControlPr xmlns="http://schemas.microsoft.com/office/spreadsheetml/2009/9/main" objectType="Drop" dropStyle="combo" dx="26" fmlaLink="$AX$25" fmlaRange="$AI$25:$AI$33" sel="1" val="0"/>
</file>

<file path=xl/ctrlProps/ctrlProp719.xml><?xml version="1.0" encoding="utf-8"?>
<formControlPr xmlns="http://schemas.microsoft.com/office/spreadsheetml/2009/9/main" objectType="Drop" dropStyle="combo" dx="26" fmlaLink="$AX$26" fmlaRange="$AI$25:$AI$33" sel="1" val="0"/>
</file>

<file path=xl/ctrlProps/ctrlProp720.xml><?xml version="1.0" encoding="utf-8"?>
<formControlPr xmlns="http://schemas.microsoft.com/office/spreadsheetml/2009/9/main" objectType="Drop" dropStyle="combo" dx="26" fmlaLink="$AX$27" fmlaRange="$AI$25:$AI$33" sel="1" val="0"/>
</file>

<file path=xl/ctrlProps/ctrlProp721.xml><?xml version="1.0" encoding="utf-8"?>
<formControlPr xmlns="http://schemas.microsoft.com/office/spreadsheetml/2009/9/main" objectType="Drop" dropStyle="combo" dx="26" fmlaLink="$AX$28" fmlaRange="$AI$25:$AI$33" sel="1" val="0"/>
</file>

<file path=xl/ctrlProps/ctrlProp722.xml><?xml version="1.0" encoding="utf-8"?>
<formControlPr xmlns="http://schemas.microsoft.com/office/spreadsheetml/2009/9/main" objectType="Drop" dropStyle="combo" dx="26" fmlaLink="$AY$25" fmlaRange="$AI$25:$AI$33" sel="1" val="0"/>
</file>

<file path=xl/ctrlProps/ctrlProp723.xml><?xml version="1.0" encoding="utf-8"?>
<formControlPr xmlns="http://schemas.microsoft.com/office/spreadsheetml/2009/9/main" objectType="Drop" dropStyle="combo" dx="26" fmlaLink="$AY$26" fmlaRange="$AI$25:$AI$33" sel="1" val="0"/>
</file>

<file path=xl/ctrlProps/ctrlProp724.xml><?xml version="1.0" encoding="utf-8"?>
<formControlPr xmlns="http://schemas.microsoft.com/office/spreadsheetml/2009/9/main" objectType="Drop" dropStyle="combo" dx="26" fmlaLink="$AY$27" fmlaRange="$AI$25:$AI$33" sel="1" val="0"/>
</file>

<file path=xl/ctrlProps/ctrlProp725.xml><?xml version="1.0" encoding="utf-8"?>
<formControlPr xmlns="http://schemas.microsoft.com/office/spreadsheetml/2009/9/main" objectType="Drop" dropStyle="combo" dx="26" fmlaLink="$AY$28" fmlaRange="$AI$25:$AI$33" sel="1" val="0"/>
</file>

<file path=xl/ctrlProps/ctrlProp726.xml><?xml version="1.0" encoding="utf-8"?>
<formControlPr xmlns="http://schemas.microsoft.com/office/spreadsheetml/2009/9/main" objectType="Drop" dropStyle="combo" dx="26" fmlaLink="$AZ$25" fmlaRange="$AI$25:$AI$33" sel="1" val="0"/>
</file>

<file path=xl/ctrlProps/ctrlProp727.xml><?xml version="1.0" encoding="utf-8"?>
<formControlPr xmlns="http://schemas.microsoft.com/office/spreadsheetml/2009/9/main" objectType="Drop" dropStyle="combo" dx="26" fmlaLink="$AZ$26" fmlaRange="$AI$25:$AI$33" sel="1" val="0"/>
</file>

<file path=xl/ctrlProps/ctrlProp728.xml><?xml version="1.0" encoding="utf-8"?>
<formControlPr xmlns="http://schemas.microsoft.com/office/spreadsheetml/2009/9/main" objectType="Drop" dropStyle="combo" dx="26" fmlaLink="$AZ$27" fmlaRange="$AI$25:$AI$33" sel="1" val="0"/>
</file>

<file path=xl/ctrlProps/ctrlProp729.xml><?xml version="1.0" encoding="utf-8"?>
<formControlPr xmlns="http://schemas.microsoft.com/office/spreadsheetml/2009/9/main" objectType="Drop" dropStyle="combo" dx="26" fmlaLink="$AZ$28" fmlaRange="$AI$25:$AI$33" sel="1" val="0"/>
</file>

<file path=xl/ctrlProps/ctrlProp730.xml><?xml version="1.0" encoding="utf-8"?>
<formControlPr xmlns="http://schemas.microsoft.com/office/spreadsheetml/2009/9/main" objectType="Drop" dropStyle="combo" dx="26" fmlaLink="$AR$35" fmlaRange="$AR$36:$AR$37" sel="2" val="0"/>
</file>

<file path=xl/ctrlProps/ctrlProp731.xml><?xml version="1.0" encoding="utf-8"?>
<formControlPr xmlns="http://schemas.microsoft.com/office/spreadsheetml/2009/9/main" objectType="Drop" dropStyle="combo" dx="26" fmlaLink="$AU$29" fmlaRange="$AJ$42:$AJ$49" sel="1" val="0"/>
</file>

<file path=xl/ctrlProps/ctrlProp732.xml><?xml version="1.0" encoding="utf-8"?>
<formControlPr xmlns="http://schemas.microsoft.com/office/spreadsheetml/2009/9/main" objectType="Drop" dropStyle="combo" dx="26" fmlaLink="$AV$29" fmlaRange="$AI$25:$AI$33" sel="1" val="0"/>
</file>

<file path=xl/ctrlProps/ctrlProp733.xml><?xml version="1.0" encoding="utf-8"?>
<formControlPr xmlns="http://schemas.microsoft.com/office/spreadsheetml/2009/9/main" objectType="Drop" dropStyle="combo" dx="26" fmlaLink="$AW$29" fmlaRange="$AI$25:$AI$33" sel="1" val="0"/>
</file>

<file path=xl/ctrlProps/ctrlProp734.xml><?xml version="1.0" encoding="utf-8"?>
<formControlPr xmlns="http://schemas.microsoft.com/office/spreadsheetml/2009/9/main" objectType="Drop" dropStyle="combo" dx="26" fmlaLink="$AX$29" fmlaRange="$AI$25:$AI$33" sel="1" val="0"/>
</file>

<file path=xl/ctrlProps/ctrlProp735.xml><?xml version="1.0" encoding="utf-8"?>
<formControlPr xmlns="http://schemas.microsoft.com/office/spreadsheetml/2009/9/main" objectType="Drop" dropStyle="combo" dx="26" fmlaLink="$AY$29" fmlaRange="$AI$25:$AI$33" sel="1" val="0"/>
</file>

<file path=xl/ctrlProps/ctrlProp736.xml><?xml version="1.0" encoding="utf-8"?>
<formControlPr xmlns="http://schemas.microsoft.com/office/spreadsheetml/2009/9/main" objectType="Drop" dropStyle="combo" dx="26" fmlaLink="$AZ$29" fmlaRange="$AI$25:$AI$33" sel="1" val="0"/>
</file>

<file path=xl/ctrlProps/ctrlProp737.xml><?xml version="1.0" encoding="utf-8"?>
<formControlPr xmlns="http://schemas.microsoft.com/office/spreadsheetml/2009/9/main" objectType="Drop" dropStyle="combo" dx="26" fmlaLink="$AU$30" fmlaRange="$AJ$42:$AJ$49" sel="1" val="0"/>
</file>

<file path=xl/ctrlProps/ctrlProp738.xml><?xml version="1.0" encoding="utf-8"?>
<formControlPr xmlns="http://schemas.microsoft.com/office/spreadsheetml/2009/9/main" objectType="Drop" dropStyle="combo" dx="26" fmlaLink="$AV$30" fmlaRange="$AI$25:$AI$33" sel="1" val="0"/>
</file>

<file path=xl/ctrlProps/ctrlProp739.xml><?xml version="1.0" encoding="utf-8"?>
<formControlPr xmlns="http://schemas.microsoft.com/office/spreadsheetml/2009/9/main" objectType="Drop" dropStyle="combo" dx="26" fmlaLink="$AW$30" fmlaRange="$AI$25:$AI$33" sel="1" val="0"/>
</file>

<file path=xl/ctrlProps/ctrlProp740.xml><?xml version="1.0" encoding="utf-8"?>
<formControlPr xmlns="http://schemas.microsoft.com/office/spreadsheetml/2009/9/main" objectType="Drop" dropStyle="combo" dx="26" fmlaLink="$AX$30" fmlaRange="$AI$25:$AI$33" sel="1" val="0"/>
</file>

<file path=xl/ctrlProps/ctrlProp741.xml><?xml version="1.0" encoding="utf-8"?>
<formControlPr xmlns="http://schemas.microsoft.com/office/spreadsheetml/2009/9/main" objectType="Drop" dropStyle="combo" dx="26" fmlaLink="$AY$30" fmlaRange="$AI$25:$AI$33" sel="1" val="0"/>
</file>

<file path=xl/ctrlProps/ctrlProp742.xml><?xml version="1.0" encoding="utf-8"?>
<formControlPr xmlns="http://schemas.microsoft.com/office/spreadsheetml/2009/9/main" objectType="Drop" dropStyle="combo" dx="26" fmlaLink="$AZ$30" fmlaRange="$AI$25:$AI$33" sel="1" val="0"/>
</file>

<file path=xl/ctrlProps/ctrlProp743.xml><?xml version="1.0" encoding="utf-8"?>
<formControlPr xmlns="http://schemas.microsoft.com/office/spreadsheetml/2009/9/main" objectType="Drop" dropStyle="combo" dx="26" fmlaLink="$AU$31" fmlaRange="$AJ$42:$AJ$49" sel="1" val="0"/>
</file>

<file path=xl/ctrlProps/ctrlProp744.xml><?xml version="1.0" encoding="utf-8"?>
<formControlPr xmlns="http://schemas.microsoft.com/office/spreadsheetml/2009/9/main" objectType="Drop" dropStyle="combo" dx="26" fmlaLink="$AV$31" fmlaRange="$AI$25:$AI$33" sel="1" val="0"/>
</file>

<file path=xl/ctrlProps/ctrlProp745.xml><?xml version="1.0" encoding="utf-8"?>
<formControlPr xmlns="http://schemas.microsoft.com/office/spreadsheetml/2009/9/main" objectType="Drop" dropStyle="combo" dx="26" fmlaLink="$AU$32" fmlaRange="$AJ$42:$AJ$49" sel="1" val="0"/>
</file>

<file path=xl/ctrlProps/ctrlProp746.xml><?xml version="1.0" encoding="utf-8"?>
<formControlPr xmlns="http://schemas.microsoft.com/office/spreadsheetml/2009/9/main" objectType="Drop" dropStyle="combo" dx="26" fmlaLink="$AV$32" fmlaRange="$AI$25:$AI$33" sel="1" val="0"/>
</file>

<file path=xl/ctrlProps/ctrlProp747.xml><?xml version="1.0" encoding="utf-8"?>
<formControlPr xmlns="http://schemas.microsoft.com/office/spreadsheetml/2009/9/main" objectType="Drop" dropStyle="combo" dx="26" fmlaLink="$AU$33" fmlaRange="$AJ$42:$AJ$49" sel="1" val="0"/>
</file>

<file path=xl/ctrlProps/ctrlProp748.xml><?xml version="1.0" encoding="utf-8"?>
<formControlPr xmlns="http://schemas.microsoft.com/office/spreadsheetml/2009/9/main" objectType="Drop" dropStyle="combo" dx="26" fmlaLink="$AV$33" fmlaRange="$AI$25:$AI$33" sel="1" val="0"/>
</file>

<file path=xl/ctrlProps/ctrlProp749.xml><?xml version="1.0" encoding="utf-8"?>
<formControlPr xmlns="http://schemas.microsoft.com/office/spreadsheetml/2009/9/main" objectType="Drop" dropStyle="combo" dx="26" fmlaLink="$AU$34" fmlaRange="$AJ$42:$AJ$49" sel="1" val="0"/>
</file>

<file path=xl/ctrlProps/ctrlProp750.xml><?xml version="1.0" encoding="utf-8"?>
<formControlPr xmlns="http://schemas.microsoft.com/office/spreadsheetml/2009/9/main" objectType="Drop" dropStyle="combo" dx="26" fmlaLink="$AV$34" fmlaRange="$AI$25:$AI$33" sel="1" val="0"/>
</file>

<file path=xl/ctrlProps/ctrlProp751.xml><?xml version="1.0" encoding="utf-8"?>
<formControlPr xmlns="http://schemas.microsoft.com/office/spreadsheetml/2009/9/main" objectType="Drop" dropStyle="combo" dx="26" fmlaLink="$AW$31" fmlaRange="$AI$25:$AI$33" sel="1" val="0"/>
</file>

<file path=xl/ctrlProps/ctrlProp752.xml><?xml version="1.0" encoding="utf-8"?>
<formControlPr xmlns="http://schemas.microsoft.com/office/spreadsheetml/2009/9/main" objectType="Drop" dropStyle="combo" dx="26" fmlaLink="$AW$32" fmlaRange="$AI$25:$AI$33" sel="1" val="0"/>
</file>

<file path=xl/ctrlProps/ctrlProp753.xml><?xml version="1.0" encoding="utf-8"?>
<formControlPr xmlns="http://schemas.microsoft.com/office/spreadsheetml/2009/9/main" objectType="Drop" dropStyle="combo" dx="26" fmlaLink="$AW$33" fmlaRange="$AI$25:$AI$33" sel="1" val="0"/>
</file>

<file path=xl/ctrlProps/ctrlProp754.xml><?xml version="1.0" encoding="utf-8"?>
<formControlPr xmlns="http://schemas.microsoft.com/office/spreadsheetml/2009/9/main" objectType="Drop" dropStyle="combo" dx="26" fmlaLink="$AW$34" fmlaRange="$AI$25:$AI$33" sel="1" val="0"/>
</file>

<file path=xl/ctrlProps/ctrlProp755.xml><?xml version="1.0" encoding="utf-8"?>
<formControlPr xmlns="http://schemas.microsoft.com/office/spreadsheetml/2009/9/main" objectType="Drop" dropStyle="combo" dx="26" fmlaLink="$AX$31" fmlaRange="$AI$25:$AI$33" sel="1" val="0"/>
</file>

<file path=xl/ctrlProps/ctrlProp756.xml><?xml version="1.0" encoding="utf-8"?>
<formControlPr xmlns="http://schemas.microsoft.com/office/spreadsheetml/2009/9/main" objectType="Drop" dropStyle="combo" dx="26" fmlaLink="$AX$32" fmlaRange="$AI$25:$AI$33" sel="1" val="0"/>
</file>

<file path=xl/ctrlProps/ctrlProp757.xml><?xml version="1.0" encoding="utf-8"?>
<formControlPr xmlns="http://schemas.microsoft.com/office/spreadsheetml/2009/9/main" objectType="Drop" dropStyle="combo" dx="26" fmlaLink="$AX$33" fmlaRange="$AI$25:$AI$33" sel="1" val="0"/>
</file>

<file path=xl/ctrlProps/ctrlProp758.xml><?xml version="1.0" encoding="utf-8"?>
<formControlPr xmlns="http://schemas.microsoft.com/office/spreadsheetml/2009/9/main" objectType="Drop" dropStyle="combo" dx="26" fmlaLink="$AX$34" fmlaRange="$AI$25:$AI$33" sel="1" val="0"/>
</file>

<file path=xl/ctrlProps/ctrlProp759.xml><?xml version="1.0" encoding="utf-8"?>
<formControlPr xmlns="http://schemas.microsoft.com/office/spreadsheetml/2009/9/main" objectType="Drop" dropStyle="combo" dx="26" fmlaLink="$AY$31" fmlaRange="$AI$25:$AI$33" sel="1" val="0"/>
</file>

<file path=xl/ctrlProps/ctrlProp760.xml><?xml version="1.0" encoding="utf-8"?>
<formControlPr xmlns="http://schemas.microsoft.com/office/spreadsheetml/2009/9/main" objectType="Drop" dropStyle="combo" dx="26" fmlaLink="$AY$32" fmlaRange="$AI$25:$AI$33" sel="1" val="0"/>
</file>

<file path=xl/ctrlProps/ctrlProp761.xml><?xml version="1.0" encoding="utf-8"?>
<formControlPr xmlns="http://schemas.microsoft.com/office/spreadsheetml/2009/9/main" objectType="Drop" dropStyle="combo" dx="26" fmlaLink="$AY$33" fmlaRange="$AI$25:$AI$33" sel="1" val="0"/>
</file>

<file path=xl/ctrlProps/ctrlProp762.xml><?xml version="1.0" encoding="utf-8"?>
<formControlPr xmlns="http://schemas.microsoft.com/office/spreadsheetml/2009/9/main" objectType="Drop" dropStyle="combo" dx="26" fmlaLink="$AY$34" fmlaRange="$AI$25:$AI$33" sel="1" val="0"/>
</file>

<file path=xl/ctrlProps/ctrlProp763.xml><?xml version="1.0" encoding="utf-8"?>
<formControlPr xmlns="http://schemas.microsoft.com/office/spreadsheetml/2009/9/main" objectType="Drop" dropStyle="combo" dx="26" fmlaLink="$AZ$31" fmlaRange="$AI$25:$AI$33" sel="1" val="0"/>
</file>

<file path=xl/ctrlProps/ctrlProp764.xml><?xml version="1.0" encoding="utf-8"?>
<formControlPr xmlns="http://schemas.microsoft.com/office/spreadsheetml/2009/9/main" objectType="Drop" dropStyle="combo" dx="26" fmlaLink="$AZ$32" fmlaRange="$AI$25:$AI$33" sel="1" val="0"/>
</file>

<file path=xl/ctrlProps/ctrlProp765.xml><?xml version="1.0" encoding="utf-8"?>
<formControlPr xmlns="http://schemas.microsoft.com/office/spreadsheetml/2009/9/main" objectType="Drop" dropStyle="combo" dx="26" fmlaLink="$AZ$33" fmlaRange="$AI$25:$AI$33" sel="1" val="0"/>
</file>

<file path=xl/ctrlProps/ctrlProp766.xml><?xml version="1.0" encoding="utf-8"?>
<formControlPr xmlns="http://schemas.microsoft.com/office/spreadsheetml/2009/9/main" objectType="Drop" dropStyle="combo" dx="26" fmlaLink="$AZ$34" fmlaRange="$AI$25:$AI$33" sel="1" val="0"/>
</file>

<file path=xl/ctrlProps/ctrlProp767.xml><?xml version="1.0" encoding="utf-8"?>
<formControlPr xmlns="http://schemas.microsoft.com/office/spreadsheetml/2009/9/main" objectType="Drop" dropStyle="combo" dx="26" fmlaLink="$AU$35" fmlaRange="$AJ$42:$AJ$49" sel="1" val="0"/>
</file>

<file path=xl/ctrlProps/ctrlProp768.xml><?xml version="1.0" encoding="utf-8"?>
<formControlPr xmlns="http://schemas.microsoft.com/office/spreadsheetml/2009/9/main" objectType="Drop" dropStyle="combo" dx="26" fmlaLink="$AV$35" fmlaRange="$AI$25:$AI$33" sel="1" val="0"/>
</file>

<file path=xl/ctrlProps/ctrlProp769.xml><?xml version="1.0" encoding="utf-8"?>
<formControlPr xmlns="http://schemas.microsoft.com/office/spreadsheetml/2009/9/main" objectType="Drop" dropStyle="combo" dx="26" fmlaLink="$AW$35" fmlaRange="$AI$25:$AI$33" sel="1" val="0"/>
</file>

<file path=xl/ctrlProps/ctrlProp770.xml><?xml version="1.0" encoding="utf-8"?>
<formControlPr xmlns="http://schemas.microsoft.com/office/spreadsheetml/2009/9/main" objectType="Drop" dropStyle="combo" dx="26" fmlaLink="$AX$35" fmlaRange="$AI$25:$AI$33" sel="1" val="0"/>
</file>

<file path=xl/ctrlProps/ctrlProp771.xml><?xml version="1.0" encoding="utf-8"?>
<formControlPr xmlns="http://schemas.microsoft.com/office/spreadsheetml/2009/9/main" objectType="Drop" dropStyle="combo" dx="26" fmlaLink="$AY$35" fmlaRange="$AI$25:$AI$33" sel="1" val="0"/>
</file>

<file path=xl/ctrlProps/ctrlProp772.xml><?xml version="1.0" encoding="utf-8"?>
<formControlPr xmlns="http://schemas.microsoft.com/office/spreadsheetml/2009/9/main" objectType="Drop" dropStyle="combo" dx="26" fmlaLink="$AZ$35" fmlaRange="$AI$25:$AI$33" sel="1" val="0"/>
</file>

<file path=xl/ctrlProps/ctrlProp773.xml><?xml version="1.0" encoding="utf-8"?>
<formControlPr xmlns="http://schemas.microsoft.com/office/spreadsheetml/2009/9/main" objectType="Drop" dropStyle="combo" dx="26" fmlaLink="$AU$36" fmlaRange="$AJ$42:$AJ$49" sel="1" val="0"/>
</file>

<file path=xl/ctrlProps/ctrlProp774.xml><?xml version="1.0" encoding="utf-8"?>
<formControlPr xmlns="http://schemas.microsoft.com/office/spreadsheetml/2009/9/main" objectType="Drop" dropStyle="combo" dx="26" fmlaLink="$AV$36" fmlaRange="$AI$25:$AI$33" sel="1" val="0"/>
</file>

<file path=xl/ctrlProps/ctrlProp775.xml><?xml version="1.0" encoding="utf-8"?>
<formControlPr xmlns="http://schemas.microsoft.com/office/spreadsheetml/2009/9/main" objectType="Drop" dropStyle="combo" dx="26" fmlaLink="$AW$36" fmlaRange="$AI$25:$AI$33" sel="1" val="0"/>
</file>

<file path=xl/ctrlProps/ctrlProp776.xml><?xml version="1.0" encoding="utf-8"?>
<formControlPr xmlns="http://schemas.microsoft.com/office/spreadsheetml/2009/9/main" objectType="Drop" dropStyle="combo" dx="26" fmlaLink="$AX$36" fmlaRange="$AI$25:$AI$33" sel="1" val="0"/>
</file>

<file path=xl/ctrlProps/ctrlProp777.xml><?xml version="1.0" encoding="utf-8"?>
<formControlPr xmlns="http://schemas.microsoft.com/office/spreadsheetml/2009/9/main" objectType="Drop" dropStyle="combo" dx="26" fmlaLink="$AY$36" fmlaRange="$AI$25:$AI$33" sel="1" val="0"/>
</file>

<file path=xl/ctrlProps/ctrlProp778.xml><?xml version="1.0" encoding="utf-8"?>
<formControlPr xmlns="http://schemas.microsoft.com/office/spreadsheetml/2009/9/main" objectType="Drop" dropStyle="combo" dx="26" fmlaLink="$AZ$36" fmlaRange="$AI$25:$AI$33" sel="1" val="0"/>
</file>

<file path=xl/ctrlProps/ctrlProp779.xml><?xml version="1.0" encoding="utf-8"?>
<formControlPr xmlns="http://schemas.microsoft.com/office/spreadsheetml/2009/9/main" objectType="Drop" dropStyle="combo" dx="26" fmlaLink="$AU$37" fmlaRange="$AJ$42:$AJ$49" sel="1" val="0"/>
</file>

<file path=xl/ctrlProps/ctrlProp780.xml><?xml version="1.0" encoding="utf-8"?>
<formControlPr xmlns="http://schemas.microsoft.com/office/spreadsheetml/2009/9/main" objectType="Drop" dropStyle="combo" dx="26" fmlaLink="$AV$37" fmlaRange="$AI$25:$AI$33" sel="1" val="0"/>
</file>

<file path=xl/ctrlProps/ctrlProp781.xml><?xml version="1.0" encoding="utf-8"?>
<formControlPr xmlns="http://schemas.microsoft.com/office/spreadsheetml/2009/9/main" objectType="Drop" dropStyle="combo" dx="26" fmlaLink="$AW$37" fmlaRange="$AI$25:$AI$33" sel="1" val="0"/>
</file>

<file path=xl/ctrlProps/ctrlProp782.xml><?xml version="1.0" encoding="utf-8"?>
<formControlPr xmlns="http://schemas.microsoft.com/office/spreadsheetml/2009/9/main" objectType="Drop" dropStyle="combo" dx="26" fmlaLink="$AX$37" fmlaRange="$AI$25:$AI$33" sel="1" val="0"/>
</file>

<file path=xl/ctrlProps/ctrlProp783.xml><?xml version="1.0" encoding="utf-8"?>
<formControlPr xmlns="http://schemas.microsoft.com/office/spreadsheetml/2009/9/main" objectType="Drop" dropStyle="combo" dx="26" fmlaLink="$AY$37" fmlaRange="$AI$25:$AI$33" sel="1" val="0"/>
</file>

<file path=xl/ctrlProps/ctrlProp784.xml><?xml version="1.0" encoding="utf-8"?>
<formControlPr xmlns="http://schemas.microsoft.com/office/spreadsheetml/2009/9/main" objectType="Drop" dropStyle="combo" dx="26" fmlaLink="$AZ$37" fmlaRange="$AI$25:$AI$33" sel="1" val="0"/>
</file>

<file path=xl/ctrlProps/ctrlProp785.xml><?xml version="1.0" encoding="utf-8"?>
<formControlPr xmlns="http://schemas.microsoft.com/office/spreadsheetml/2009/9/main" objectType="Drop" dropStyle="combo" dx="26" fmlaLink="$AU$38" fmlaRange="$AJ$42:$AJ$49" sel="1" val="0"/>
</file>

<file path=xl/ctrlProps/ctrlProp786.xml><?xml version="1.0" encoding="utf-8"?>
<formControlPr xmlns="http://schemas.microsoft.com/office/spreadsheetml/2009/9/main" objectType="Drop" dropStyle="combo" dx="26" fmlaLink="$AV$38" fmlaRange="$AI$25:$AI$33" sel="1" val="0"/>
</file>

<file path=xl/ctrlProps/ctrlProp787.xml><?xml version="1.0" encoding="utf-8"?>
<formControlPr xmlns="http://schemas.microsoft.com/office/spreadsheetml/2009/9/main" objectType="Drop" dropStyle="combo" dx="26" fmlaLink="$AW$38" fmlaRange="$AI$25:$AI$33" sel="1" val="0"/>
</file>

<file path=xl/ctrlProps/ctrlProp788.xml><?xml version="1.0" encoding="utf-8"?>
<formControlPr xmlns="http://schemas.microsoft.com/office/spreadsheetml/2009/9/main" objectType="Drop" dropStyle="combo" dx="26" fmlaLink="$AX$38" fmlaRange="$AI$25:$AI$33" sel="1" val="0"/>
</file>

<file path=xl/ctrlProps/ctrlProp789.xml><?xml version="1.0" encoding="utf-8"?>
<formControlPr xmlns="http://schemas.microsoft.com/office/spreadsheetml/2009/9/main" objectType="Drop" dropStyle="combo" dx="26" fmlaLink="$AY$38" fmlaRange="$AI$25:$AI$33" sel="1" val="0"/>
</file>

<file path=xl/ctrlProps/ctrlProp790.xml><?xml version="1.0" encoding="utf-8"?>
<formControlPr xmlns="http://schemas.microsoft.com/office/spreadsheetml/2009/9/main" objectType="Drop" dropStyle="combo" dx="26" fmlaLink="$AZ$38" fmlaRange="$AI$25:$AI$33" sel="1" val="0"/>
</file>

<file path=xl/ctrlProps/ctrlProp791.xml><?xml version="1.0" encoding="utf-8"?>
<formControlPr xmlns="http://schemas.microsoft.com/office/spreadsheetml/2009/9/main" objectType="Drop" dropStyle="combo" dx="26" fmlaLink="$AU$38" fmlaRange="$AJ$42:$AJ$49" sel="1" val="0"/>
</file>

<file path=xl/ctrlProps/ctrlProp792.xml><?xml version="1.0" encoding="utf-8"?>
<formControlPr xmlns="http://schemas.microsoft.com/office/spreadsheetml/2009/9/main" objectType="Drop" dropStyle="combo" dx="26" fmlaLink="$AV$38" fmlaRange="$AI$25:$AI$33" sel="1" val="0"/>
</file>

<file path=xl/ctrlProps/ctrlProp793.xml><?xml version="1.0" encoding="utf-8"?>
<formControlPr xmlns="http://schemas.microsoft.com/office/spreadsheetml/2009/9/main" objectType="Drop" dropStyle="combo" dx="26" fmlaLink="$AW$39" fmlaRange="$AI$25:$AI$33" sel="1" val="0"/>
</file>

<file path=xl/ctrlProps/ctrlProp794.xml><?xml version="1.0" encoding="utf-8"?>
<formControlPr xmlns="http://schemas.microsoft.com/office/spreadsheetml/2009/9/main" objectType="Drop" dropStyle="combo" dx="26" fmlaLink="$AX$39" fmlaRange="$AI$25:$AI$33" sel="1" val="0"/>
</file>

<file path=xl/ctrlProps/ctrlProp795.xml><?xml version="1.0" encoding="utf-8"?>
<formControlPr xmlns="http://schemas.microsoft.com/office/spreadsheetml/2009/9/main" objectType="Drop" dropStyle="combo" dx="26" fmlaLink="$AY$39" fmlaRange="$AI$25:$AI$33" sel="1" val="0"/>
</file>

<file path=xl/ctrlProps/ctrlProp796.xml><?xml version="1.0" encoding="utf-8"?>
<formControlPr xmlns="http://schemas.microsoft.com/office/spreadsheetml/2009/9/main" objectType="Drop" dropStyle="combo" dx="26" fmlaLink="$AZ$39" fmlaRange="$AI$25:$AI$33" sel="1" val="0"/>
</file>

<file path=xl/ctrlProps/ctrlProp797.xml><?xml version="1.0" encoding="utf-8"?>
<formControlPr xmlns="http://schemas.microsoft.com/office/spreadsheetml/2009/9/main" objectType="Drop" dropStyle="combo" dx="26" fmlaLink="$AU$39" fmlaRange="$AJ$42:$AJ$49" sel="1" val="0"/>
</file>

<file path=xl/ctrlProps/ctrlProp798.xml><?xml version="1.0" encoding="utf-8"?>
<formControlPr xmlns="http://schemas.microsoft.com/office/spreadsheetml/2009/9/main" objectType="Drop" dropStyle="combo" dx="26" fmlaLink="$AV$39" fmlaRange="$AI$25:$AI$33" sel="1" val="0"/>
</file>

<file path=xl/ctrlProps/ctrlProp799.xml><?xml version="1.0" encoding="utf-8"?>
<formControlPr xmlns="http://schemas.microsoft.com/office/spreadsheetml/2009/9/main" objectType="Drop" dropStyle="combo" dx="26" fmlaLink="$AW$39" fmlaRange="$AI$25:$AI$33" sel="1" val="0"/>
</file>

<file path=xl/ctrlProps/ctrlProp800.xml><?xml version="1.0" encoding="utf-8"?>
<formControlPr xmlns="http://schemas.microsoft.com/office/spreadsheetml/2009/9/main" objectType="Drop" dropStyle="combo" dx="26" fmlaLink="$AX$39" fmlaRange="$AI$25:$AI$33" sel="1" val="0"/>
</file>

<file path=xl/ctrlProps/ctrlProp801.xml><?xml version="1.0" encoding="utf-8"?>
<formControlPr xmlns="http://schemas.microsoft.com/office/spreadsheetml/2009/9/main" objectType="Drop" dropStyle="combo" dx="26" fmlaLink="$AY$39" fmlaRange="$AI$25:$AI$33" sel="1" val="0"/>
</file>

<file path=xl/ctrlProps/ctrlProp802.xml><?xml version="1.0" encoding="utf-8"?>
<formControlPr xmlns="http://schemas.microsoft.com/office/spreadsheetml/2009/9/main" objectType="Drop" dropStyle="combo" dx="26" fmlaLink="$AZ$39" fmlaRange="$AI$25:$AI$33" sel="1" val="0"/>
</file>

<file path=xl/ctrlProps/ctrlProp803.xml><?xml version="1.0" encoding="utf-8"?>
<formControlPr xmlns="http://schemas.microsoft.com/office/spreadsheetml/2009/9/main" objectType="Drop" dropStyle="combo" dx="26" fmlaLink="$AU$40" fmlaRange="$AJ$42:$AJ$49" sel="1" val="0"/>
</file>

<file path=xl/ctrlProps/ctrlProp804.xml><?xml version="1.0" encoding="utf-8"?>
<formControlPr xmlns="http://schemas.microsoft.com/office/spreadsheetml/2009/9/main" objectType="Drop" dropStyle="combo" dx="26" fmlaLink="$AV$40" fmlaRange="$AI$25:$AI$33" sel="1" val="0"/>
</file>

<file path=xl/ctrlProps/ctrlProp805.xml><?xml version="1.0" encoding="utf-8"?>
<formControlPr xmlns="http://schemas.microsoft.com/office/spreadsheetml/2009/9/main" objectType="Drop" dropStyle="combo" dx="26" fmlaLink="$AW$40" fmlaRange="$AI$25:$AI$33" sel="1" val="0"/>
</file>

<file path=xl/ctrlProps/ctrlProp806.xml><?xml version="1.0" encoding="utf-8"?>
<formControlPr xmlns="http://schemas.microsoft.com/office/spreadsheetml/2009/9/main" objectType="Drop" dropStyle="combo" dx="26" fmlaLink="$AX$40" fmlaRange="$AI$25:$AI$33" sel="1" val="0"/>
</file>

<file path=xl/ctrlProps/ctrlProp807.xml><?xml version="1.0" encoding="utf-8"?>
<formControlPr xmlns="http://schemas.microsoft.com/office/spreadsheetml/2009/9/main" objectType="Drop" dropStyle="combo" dx="26" fmlaLink="$AY$40" fmlaRange="$AI$25:$AI$33" sel="1" val="0"/>
</file>

<file path=xl/ctrlProps/ctrlProp808.xml><?xml version="1.0" encoding="utf-8"?>
<formControlPr xmlns="http://schemas.microsoft.com/office/spreadsheetml/2009/9/main" objectType="Drop" dropStyle="combo" dx="26" fmlaLink="$AZ$40" fmlaRange="$AI$25:$AI$33" sel="1" val="0"/>
</file>

<file path=xl/ctrlProps/ctrlProp809.xml><?xml version="1.0" encoding="utf-8"?>
<formControlPr xmlns="http://schemas.microsoft.com/office/spreadsheetml/2009/9/main" objectType="Drop" dropStyle="combo" dx="26" fmlaLink="$AR$25" fmlaRange="$AR$26:$AR$28" sel="3" val="0"/>
</file>

<file path=xl/ctrlProps/ctrlProp810.xml><?xml version="1.0" encoding="utf-8"?>
<formControlPr xmlns="http://schemas.microsoft.com/office/spreadsheetml/2009/9/main" objectType="Drop" dropStyle="combo" dx="26" fmlaLink="$AU$25" fmlaRange="$AJ$42:$AJ$49" sel="6" val="0"/>
</file>

<file path=xl/ctrlProps/ctrlProp811.xml><?xml version="1.0" encoding="utf-8"?>
<formControlPr xmlns="http://schemas.microsoft.com/office/spreadsheetml/2009/9/main" objectType="Drop" dropStyle="combo" dx="26" fmlaLink="$AV$25" fmlaRange="$AI$25:$AI$33" sel="4" val="0"/>
</file>

<file path=xl/ctrlProps/ctrlProp812.xml><?xml version="1.0" encoding="utf-8"?>
<formControlPr xmlns="http://schemas.microsoft.com/office/spreadsheetml/2009/9/main" objectType="Drop" dropStyle="combo" dx="26" fmlaLink="$AU$26" fmlaRange="$AJ$42:$AJ$49" sel="5" val="0"/>
</file>

<file path=xl/ctrlProps/ctrlProp813.xml><?xml version="1.0" encoding="utf-8"?>
<formControlPr xmlns="http://schemas.microsoft.com/office/spreadsheetml/2009/9/main" objectType="Drop" dropStyle="combo" dx="26" fmlaLink="$AV$26" fmlaRange="$AI$25:$AI$33" sel="4" val="0"/>
</file>

<file path=xl/ctrlProps/ctrlProp814.xml><?xml version="1.0" encoding="utf-8"?>
<formControlPr xmlns="http://schemas.microsoft.com/office/spreadsheetml/2009/9/main" objectType="Drop" dropStyle="combo" dx="26" fmlaLink="$AU$27" fmlaRange="$AJ$42:$AJ$49" sel="4" val="0"/>
</file>

<file path=xl/ctrlProps/ctrlProp815.xml><?xml version="1.0" encoding="utf-8"?>
<formControlPr xmlns="http://schemas.microsoft.com/office/spreadsheetml/2009/9/main" objectType="Drop" dropStyle="combo" dx="26" fmlaLink="$AV$27" fmlaRange="$AI$25:$AI$33" sel="4" val="0"/>
</file>

<file path=xl/ctrlProps/ctrlProp816.xml><?xml version="1.0" encoding="utf-8"?>
<formControlPr xmlns="http://schemas.microsoft.com/office/spreadsheetml/2009/9/main" objectType="Drop" dropStyle="combo" dx="26" fmlaLink="$AU$28" fmlaRange="$AJ$42:$AJ$49" sel="5" val="0"/>
</file>

<file path=xl/ctrlProps/ctrlProp817.xml><?xml version="1.0" encoding="utf-8"?>
<formControlPr xmlns="http://schemas.microsoft.com/office/spreadsheetml/2009/9/main" objectType="Drop" dropStyle="combo" dx="26" fmlaLink="$AV$28" fmlaRange="$AI$25:$AI$33" sel="4" val="0"/>
</file>

<file path=xl/ctrlProps/ctrlProp818.xml><?xml version="1.0" encoding="utf-8"?>
<formControlPr xmlns="http://schemas.microsoft.com/office/spreadsheetml/2009/9/main" objectType="Drop" dropStyle="combo" dx="26" fmlaLink="$AW$25" fmlaRange="$AI$25:$AI$33" sel="9" val="0"/>
</file>

<file path=xl/ctrlProps/ctrlProp819.xml><?xml version="1.0" encoding="utf-8"?>
<formControlPr xmlns="http://schemas.microsoft.com/office/spreadsheetml/2009/9/main" objectType="Drop" dropStyle="combo" dx="26" fmlaLink="$AW$26" fmlaRange="$AI$25:$AI$33" sel="6" val="0"/>
</file>

<file path=xl/ctrlProps/ctrlProp820.xml><?xml version="1.0" encoding="utf-8"?>
<formControlPr xmlns="http://schemas.microsoft.com/office/spreadsheetml/2009/9/main" objectType="Drop" dropStyle="combo" dx="26" fmlaLink="$AW$27" fmlaRange="$AI$25:$AI$33" sel="1" val="0"/>
</file>

<file path=xl/ctrlProps/ctrlProp821.xml><?xml version="1.0" encoding="utf-8"?>
<formControlPr xmlns="http://schemas.microsoft.com/office/spreadsheetml/2009/9/main" objectType="Drop" dropStyle="combo" dx="26" fmlaLink="$AW$28" fmlaRange="$AI$25:$AI$33" sel="6" val="0"/>
</file>

<file path=xl/ctrlProps/ctrlProp822.xml><?xml version="1.0" encoding="utf-8"?>
<formControlPr xmlns="http://schemas.microsoft.com/office/spreadsheetml/2009/9/main" objectType="Drop" dropStyle="combo" dx="26" fmlaLink="$AX$25" fmlaRange="$AI$25:$AI$33" sel="1" val="0"/>
</file>

<file path=xl/ctrlProps/ctrlProp823.xml><?xml version="1.0" encoding="utf-8"?>
<formControlPr xmlns="http://schemas.microsoft.com/office/spreadsheetml/2009/9/main" objectType="Drop" dropStyle="combo" dx="26" fmlaLink="$AX$26" fmlaRange="$AI$25:$AI$33" sel="1" val="0"/>
</file>

<file path=xl/ctrlProps/ctrlProp824.xml><?xml version="1.0" encoding="utf-8"?>
<formControlPr xmlns="http://schemas.microsoft.com/office/spreadsheetml/2009/9/main" objectType="Drop" dropStyle="combo" dx="26" fmlaLink="$AX$27" fmlaRange="$AI$25:$AI$33" sel="1" val="0"/>
</file>

<file path=xl/ctrlProps/ctrlProp825.xml><?xml version="1.0" encoding="utf-8"?>
<formControlPr xmlns="http://schemas.microsoft.com/office/spreadsheetml/2009/9/main" objectType="Drop" dropStyle="combo" dx="26" fmlaLink="$AX$28" fmlaRange="$AI$25:$AI$33" sel="1" val="0"/>
</file>

<file path=xl/ctrlProps/ctrlProp826.xml><?xml version="1.0" encoding="utf-8"?>
<formControlPr xmlns="http://schemas.microsoft.com/office/spreadsheetml/2009/9/main" objectType="Drop" dropStyle="combo" dx="26" fmlaLink="$AY$25" fmlaRange="$AI$25:$AI$33" sel="1" val="0"/>
</file>

<file path=xl/ctrlProps/ctrlProp827.xml><?xml version="1.0" encoding="utf-8"?>
<formControlPr xmlns="http://schemas.microsoft.com/office/spreadsheetml/2009/9/main" objectType="Drop" dropStyle="combo" dx="26" fmlaLink="$AY$26" fmlaRange="$AI$25:$AI$33" sel="1" val="0"/>
</file>

<file path=xl/ctrlProps/ctrlProp828.xml><?xml version="1.0" encoding="utf-8"?>
<formControlPr xmlns="http://schemas.microsoft.com/office/spreadsheetml/2009/9/main" objectType="Drop" dropStyle="combo" dx="26" fmlaLink="$AY$27" fmlaRange="$AI$25:$AI$33" sel="1" val="0"/>
</file>

<file path=xl/ctrlProps/ctrlProp829.xml><?xml version="1.0" encoding="utf-8"?>
<formControlPr xmlns="http://schemas.microsoft.com/office/spreadsheetml/2009/9/main" objectType="Drop" dropStyle="combo" dx="26" fmlaLink="$AY$28" fmlaRange="$AI$25:$AI$33" sel="1" val="0"/>
</file>

<file path=xl/ctrlProps/ctrlProp830.xml><?xml version="1.0" encoding="utf-8"?>
<formControlPr xmlns="http://schemas.microsoft.com/office/spreadsheetml/2009/9/main" objectType="Drop" dropStyle="combo" dx="26" fmlaLink="$AZ$25" fmlaRange="$AI$25:$AI$33" sel="1" val="0"/>
</file>

<file path=xl/ctrlProps/ctrlProp831.xml><?xml version="1.0" encoding="utf-8"?>
<formControlPr xmlns="http://schemas.microsoft.com/office/spreadsheetml/2009/9/main" objectType="Drop" dropStyle="combo" dx="26" fmlaLink="$AZ$26" fmlaRange="$AI$25:$AI$33" sel="1" val="0"/>
</file>

<file path=xl/ctrlProps/ctrlProp832.xml><?xml version="1.0" encoding="utf-8"?>
<formControlPr xmlns="http://schemas.microsoft.com/office/spreadsheetml/2009/9/main" objectType="Drop" dropStyle="combo" dx="26" fmlaLink="$AZ$27" fmlaRange="$AI$25:$AI$33" sel="1" val="0"/>
</file>

<file path=xl/ctrlProps/ctrlProp833.xml><?xml version="1.0" encoding="utf-8"?>
<formControlPr xmlns="http://schemas.microsoft.com/office/spreadsheetml/2009/9/main" objectType="Drop" dropStyle="combo" dx="26" fmlaLink="$AZ$28" fmlaRange="$AI$25:$AI$33" sel="1" val="0"/>
</file>

<file path=xl/ctrlProps/ctrlProp834.xml><?xml version="1.0" encoding="utf-8"?>
<formControlPr xmlns="http://schemas.microsoft.com/office/spreadsheetml/2009/9/main" objectType="Drop" dropStyle="combo" dx="26" fmlaLink="$AR$35" fmlaRange="$AR$36:$AR$37" sel="2" val="0"/>
</file>

<file path=xl/ctrlProps/ctrlProp835.xml><?xml version="1.0" encoding="utf-8"?>
<formControlPr xmlns="http://schemas.microsoft.com/office/spreadsheetml/2009/9/main" objectType="Drop" dropStyle="combo" dx="26" fmlaLink="$AU$29" fmlaRange="$AJ$42:$AJ$49" sel="6" val="0"/>
</file>

<file path=xl/ctrlProps/ctrlProp836.xml><?xml version="1.0" encoding="utf-8"?>
<formControlPr xmlns="http://schemas.microsoft.com/office/spreadsheetml/2009/9/main" objectType="Drop" dropStyle="combo" dx="26" fmlaLink="$AV$29" fmlaRange="$AI$25:$AI$33" sel="4" val="0"/>
</file>

<file path=xl/ctrlProps/ctrlProp837.xml><?xml version="1.0" encoding="utf-8"?>
<formControlPr xmlns="http://schemas.microsoft.com/office/spreadsheetml/2009/9/main" objectType="Drop" dropStyle="combo" dx="26" fmlaLink="$AW$29" fmlaRange="$AI$25:$AI$33" sel="6" val="0"/>
</file>

<file path=xl/ctrlProps/ctrlProp838.xml><?xml version="1.0" encoding="utf-8"?>
<formControlPr xmlns="http://schemas.microsoft.com/office/spreadsheetml/2009/9/main" objectType="Drop" dropStyle="combo" dx="26" fmlaLink="$AX$29" fmlaRange="$AI$25:$AI$33" sel="1" val="0"/>
</file>

<file path=xl/ctrlProps/ctrlProp839.xml><?xml version="1.0" encoding="utf-8"?>
<formControlPr xmlns="http://schemas.microsoft.com/office/spreadsheetml/2009/9/main" objectType="Drop" dropStyle="combo" dx="26" fmlaLink="$AY$29" fmlaRange="$AI$25:$AI$33" sel="1" val="0"/>
</file>

<file path=xl/ctrlProps/ctrlProp840.xml><?xml version="1.0" encoding="utf-8"?>
<formControlPr xmlns="http://schemas.microsoft.com/office/spreadsheetml/2009/9/main" objectType="Drop" dropStyle="combo" dx="26" fmlaLink="$AZ$29" fmlaRange="$AI$25:$AI$33" sel="1" val="0"/>
</file>

<file path=xl/ctrlProps/ctrlProp841.xml><?xml version="1.0" encoding="utf-8"?>
<formControlPr xmlns="http://schemas.microsoft.com/office/spreadsheetml/2009/9/main" objectType="Drop" dropStyle="combo" dx="26" fmlaLink="$AU$30" fmlaRange="$AJ$42:$AJ$49" sel="5" val="0"/>
</file>

<file path=xl/ctrlProps/ctrlProp842.xml><?xml version="1.0" encoding="utf-8"?>
<formControlPr xmlns="http://schemas.microsoft.com/office/spreadsheetml/2009/9/main" objectType="Drop" dropStyle="combo" dx="26" fmlaLink="$AV$30" fmlaRange="$AI$25:$AI$33" sel="4" val="0"/>
</file>

<file path=xl/ctrlProps/ctrlProp843.xml><?xml version="1.0" encoding="utf-8"?>
<formControlPr xmlns="http://schemas.microsoft.com/office/spreadsheetml/2009/9/main" objectType="Drop" dropStyle="combo" dx="26" fmlaLink="$AW$30" fmlaRange="$AI$25:$AI$33" sel="7" val="0"/>
</file>

<file path=xl/ctrlProps/ctrlProp844.xml><?xml version="1.0" encoding="utf-8"?>
<formControlPr xmlns="http://schemas.microsoft.com/office/spreadsheetml/2009/9/main" objectType="Drop" dropStyle="combo" dx="26" fmlaLink="$AX$30" fmlaRange="$AI$25:$AI$33" sel="1" val="0"/>
</file>

<file path=xl/ctrlProps/ctrlProp845.xml><?xml version="1.0" encoding="utf-8"?>
<formControlPr xmlns="http://schemas.microsoft.com/office/spreadsheetml/2009/9/main" objectType="Drop" dropStyle="combo" dx="26" fmlaLink="$AY$30" fmlaRange="$AI$25:$AI$33" sel="1" val="0"/>
</file>

<file path=xl/ctrlProps/ctrlProp846.xml><?xml version="1.0" encoding="utf-8"?>
<formControlPr xmlns="http://schemas.microsoft.com/office/spreadsheetml/2009/9/main" objectType="Drop" dropStyle="combo" dx="26" fmlaLink="$AZ$30" fmlaRange="$AI$25:$AI$33" sel="1" val="0"/>
</file>

<file path=xl/ctrlProps/ctrlProp847.xml><?xml version="1.0" encoding="utf-8"?>
<formControlPr xmlns="http://schemas.microsoft.com/office/spreadsheetml/2009/9/main" objectType="Drop" dropStyle="combo" dx="26" fmlaLink="$AU$31" fmlaRange="$AJ$42:$AJ$49" sel="5" val="0"/>
</file>

<file path=xl/ctrlProps/ctrlProp848.xml><?xml version="1.0" encoding="utf-8"?>
<formControlPr xmlns="http://schemas.microsoft.com/office/spreadsheetml/2009/9/main" objectType="Drop" dropStyle="combo" dx="26" fmlaLink="$AV$31" fmlaRange="$AI$25:$AI$33" sel="4" val="0"/>
</file>

<file path=xl/ctrlProps/ctrlProp849.xml><?xml version="1.0" encoding="utf-8"?>
<formControlPr xmlns="http://schemas.microsoft.com/office/spreadsheetml/2009/9/main" objectType="Drop" dropStyle="combo" dx="26" fmlaLink="$AU$32" fmlaRange="$AJ$42:$AJ$49" sel="2" val="0"/>
</file>

<file path=xl/ctrlProps/ctrlProp850.xml><?xml version="1.0" encoding="utf-8"?>
<formControlPr xmlns="http://schemas.microsoft.com/office/spreadsheetml/2009/9/main" objectType="Drop" dropStyle="combo" dx="26" fmlaLink="$AV$32" fmlaRange="$AI$25:$AI$33" sel="4" val="0"/>
</file>

<file path=xl/ctrlProps/ctrlProp851.xml><?xml version="1.0" encoding="utf-8"?>
<formControlPr xmlns="http://schemas.microsoft.com/office/spreadsheetml/2009/9/main" objectType="Drop" dropStyle="combo" dx="26" fmlaLink="$AU$33" fmlaRange="$AJ$42:$AJ$49" sel="3" val="0"/>
</file>

<file path=xl/ctrlProps/ctrlProp852.xml><?xml version="1.0" encoding="utf-8"?>
<formControlPr xmlns="http://schemas.microsoft.com/office/spreadsheetml/2009/9/main" objectType="Drop" dropStyle="combo" dx="26" fmlaLink="$AV$33" fmlaRange="$AI$25:$AI$33" sel="1" val="0"/>
</file>

<file path=xl/ctrlProps/ctrlProp853.xml><?xml version="1.0" encoding="utf-8"?>
<formControlPr xmlns="http://schemas.microsoft.com/office/spreadsheetml/2009/9/main" objectType="Drop" dropStyle="combo" dx="26" fmlaLink="$AU$34" fmlaRange="$AJ$42:$AJ$49" sel="4" val="0"/>
</file>

<file path=xl/ctrlProps/ctrlProp854.xml><?xml version="1.0" encoding="utf-8"?>
<formControlPr xmlns="http://schemas.microsoft.com/office/spreadsheetml/2009/9/main" objectType="Drop" dropStyle="combo" dx="26" fmlaLink="$AV$34" fmlaRange="$AI$25:$AI$33" sel="1" val="0"/>
</file>

<file path=xl/ctrlProps/ctrlProp855.xml><?xml version="1.0" encoding="utf-8"?>
<formControlPr xmlns="http://schemas.microsoft.com/office/spreadsheetml/2009/9/main" objectType="Drop" dropStyle="combo" dx="26" fmlaLink="$AW$31" fmlaRange="$AI$25:$AI$33" sel="6" val="0"/>
</file>

<file path=xl/ctrlProps/ctrlProp856.xml><?xml version="1.0" encoding="utf-8"?>
<formControlPr xmlns="http://schemas.microsoft.com/office/spreadsheetml/2009/9/main" objectType="Drop" dropStyle="combo" dx="26" fmlaLink="$AW$32" fmlaRange="$AI$25:$AI$33" sel="7" val="0"/>
</file>

<file path=xl/ctrlProps/ctrlProp857.xml><?xml version="1.0" encoding="utf-8"?>
<formControlPr xmlns="http://schemas.microsoft.com/office/spreadsheetml/2009/9/main" objectType="Drop" dropStyle="combo" dx="26" fmlaLink="$AW$33" fmlaRange="$AI$25:$AI$33" sel="1" val="0"/>
</file>

<file path=xl/ctrlProps/ctrlProp858.xml><?xml version="1.0" encoding="utf-8"?>
<formControlPr xmlns="http://schemas.microsoft.com/office/spreadsheetml/2009/9/main" objectType="Drop" dropStyle="combo" dx="26" fmlaLink="$AW$34" fmlaRange="$AI$25:$AI$33" sel="6" val="0"/>
</file>

<file path=xl/ctrlProps/ctrlProp859.xml><?xml version="1.0" encoding="utf-8"?>
<formControlPr xmlns="http://schemas.microsoft.com/office/spreadsheetml/2009/9/main" objectType="Drop" dropStyle="combo" dx="26" fmlaLink="$AX$31" fmlaRange="$AI$25:$AI$33" sel="1" val="0"/>
</file>

<file path=xl/ctrlProps/ctrlProp860.xml><?xml version="1.0" encoding="utf-8"?>
<formControlPr xmlns="http://schemas.microsoft.com/office/spreadsheetml/2009/9/main" objectType="Drop" dropStyle="combo" dx="26" fmlaLink="$AX$32" fmlaRange="$AI$25:$AI$33" sel="1" val="0"/>
</file>

<file path=xl/ctrlProps/ctrlProp861.xml><?xml version="1.0" encoding="utf-8"?>
<formControlPr xmlns="http://schemas.microsoft.com/office/spreadsheetml/2009/9/main" objectType="Drop" dropStyle="combo" dx="26" fmlaLink="$AX$33" fmlaRange="$AI$25:$AI$33" sel="1" val="0"/>
</file>

<file path=xl/ctrlProps/ctrlProp862.xml><?xml version="1.0" encoding="utf-8"?>
<formControlPr xmlns="http://schemas.microsoft.com/office/spreadsheetml/2009/9/main" objectType="Drop" dropStyle="combo" dx="26" fmlaLink="$AX$34" fmlaRange="$AI$25:$AI$33" sel="1" val="0"/>
</file>

<file path=xl/ctrlProps/ctrlProp863.xml><?xml version="1.0" encoding="utf-8"?>
<formControlPr xmlns="http://schemas.microsoft.com/office/spreadsheetml/2009/9/main" objectType="Drop" dropStyle="combo" dx="26" fmlaLink="$AY$31" fmlaRange="$AI$25:$AI$33" sel="1" val="0"/>
</file>

<file path=xl/ctrlProps/ctrlProp864.xml><?xml version="1.0" encoding="utf-8"?>
<formControlPr xmlns="http://schemas.microsoft.com/office/spreadsheetml/2009/9/main" objectType="Drop" dropStyle="combo" dx="26" fmlaLink="$AY$32" fmlaRange="$AI$25:$AI$33" sel="1" val="0"/>
</file>

<file path=xl/ctrlProps/ctrlProp865.xml><?xml version="1.0" encoding="utf-8"?>
<formControlPr xmlns="http://schemas.microsoft.com/office/spreadsheetml/2009/9/main" objectType="Drop" dropStyle="combo" dx="26" fmlaLink="$AY$33" fmlaRange="$AI$25:$AI$33" sel="1" val="0"/>
</file>

<file path=xl/ctrlProps/ctrlProp866.xml><?xml version="1.0" encoding="utf-8"?>
<formControlPr xmlns="http://schemas.microsoft.com/office/spreadsheetml/2009/9/main" objectType="Drop" dropStyle="combo" dx="26" fmlaLink="$AY$34" fmlaRange="$AI$25:$AI$33" sel="1" val="0"/>
</file>

<file path=xl/ctrlProps/ctrlProp867.xml><?xml version="1.0" encoding="utf-8"?>
<formControlPr xmlns="http://schemas.microsoft.com/office/spreadsheetml/2009/9/main" objectType="Drop" dropStyle="combo" dx="26" fmlaLink="$AZ$31" fmlaRange="$AI$25:$AI$33" sel="1" val="0"/>
</file>

<file path=xl/ctrlProps/ctrlProp868.xml><?xml version="1.0" encoding="utf-8"?>
<formControlPr xmlns="http://schemas.microsoft.com/office/spreadsheetml/2009/9/main" objectType="Drop" dropStyle="combo" dx="26" fmlaLink="$AZ$32" fmlaRange="$AI$25:$AI$33" sel="1" val="0"/>
</file>

<file path=xl/ctrlProps/ctrlProp869.xml><?xml version="1.0" encoding="utf-8"?>
<formControlPr xmlns="http://schemas.microsoft.com/office/spreadsheetml/2009/9/main" objectType="Drop" dropStyle="combo" dx="26" fmlaLink="$AZ$33" fmlaRange="$AI$25:$AI$33" sel="1" val="0"/>
</file>

<file path=xl/ctrlProps/ctrlProp870.xml><?xml version="1.0" encoding="utf-8"?>
<formControlPr xmlns="http://schemas.microsoft.com/office/spreadsheetml/2009/9/main" objectType="Drop" dropStyle="combo" dx="26" fmlaLink="$AZ$34" fmlaRange="$AI$25:$AI$33" sel="1" val="0"/>
</file>

<file path=xl/ctrlProps/ctrlProp871.xml><?xml version="1.0" encoding="utf-8"?>
<formControlPr xmlns="http://schemas.microsoft.com/office/spreadsheetml/2009/9/main" objectType="Drop" dropStyle="combo" dx="26" fmlaLink="$AU$35" fmlaRange="$AJ$42:$AJ$49" sel="4" val="0"/>
</file>

<file path=xl/ctrlProps/ctrlProp872.xml><?xml version="1.0" encoding="utf-8"?>
<formControlPr xmlns="http://schemas.microsoft.com/office/spreadsheetml/2009/9/main" objectType="Drop" dropStyle="combo" dx="26" fmlaLink="$AV$35" fmlaRange="$AI$25:$AI$33" sel="1" val="0"/>
</file>

<file path=xl/ctrlProps/ctrlProp873.xml><?xml version="1.0" encoding="utf-8"?>
<formControlPr xmlns="http://schemas.microsoft.com/office/spreadsheetml/2009/9/main" objectType="Drop" dropStyle="combo" dx="26" fmlaLink="$AW$35" fmlaRange="$AI$25:$AI$33" sel="6" val="0"/>
</file>

<file path=xl/ctrlProps/ctrlProp874.xml><?xml version="1.0" encoding="utf-8"?>
<formControlPr xmlns="http://schemas.microsoft.com/office/spreadsheetml/2009/9/main" objectType="Drop" dropStyle="combo" dx="26" fmlaLink="$AX$35" fmlaRange="$AI$25:$AI$33" sel="1" val="0"/>
</file>

<file path=xl/ctrlProps/ctrlProp875.xml><?xml version="1.0" encoding="utf-8"?>
<formControlPr xmlns="http://schemas.microsoft.com/office/spreadsheetml/2009/9/main" objectType="Drop" dropStyle="combo" dx="26" fmlaLink="$AY$35" fmlaRange="$AI$25:$AI$33" sel="1" val="0"/>
</file>

<file path=xl/ctrlProps/ctrlProp876.xml><?xml version="1.0" encoding="utf-8"?>
<formControlPr xmlns="http://schemas.microsoft.com/office/spreadsheetml/2009/9/main" objectType="Drop" dropStyle="combo" dx="26" fmlaLink="$AZ$35" fmlaRange="$AI$25:$AI$33" sel="1" val="0"/>
</file>

<file path=xl/ctrlProps/ctrlProp877.xml><?xml version="1.0" encoding="utf-8"?>
<formControlPr xmlns="http://schemas.microsoft.com/office/spreadsheetml/2009/9/main" objectType="Drop" dropStyle="combo" dx="26" fmlaLink="$AU$36" fmlaRange="$AJ$42:$AJ$49" sel="5" val="0"/>
</file>

<file path=xl/ctrlProps/ctrlProp878.xml><?xml version="1.0" encoding="utf-8"?>
<formControlPr xmlns="http://schemas.microsoft.com/office/spreadsheetml/2009/9/main" objectType="Drop" dropStyle="combo" dx="26" fmlaLink="$AV$36" fmlaRange="$AI$25:$AI$33" sel="1" val="0"/>
</file>

<file path=xl/ctrlProps/ctrlProp879.xml><?xml version="1.0" encoding="utf-8"?>
<formControlPr xmlns="http://schemas.microsoft.com/office/spreadsheetml/2009/9/main" objectType="Drop" dropStyle="combo" dx="26" fmlaLink="$AW$36" fmlaRange="$AI$25:$AI$33" sel="6" val="0"/>
</file>

<file path=xl/ctrlProps/ctrlProp880.xml><?xml version="1.0" encoding="utf-8"?>
<formControlPr xmlns="http://schemas.microsoft.com/office/spreadsheetml/2009/9/main" objectType="Drop" dropStyle="combo" dx="26" fmlaLink="$AX$36" fmlaRange="$AI$25:$AI$33" sel="1" val="0"/>
</file>

<file path=xl/ctrlProps/ctrlProp881.xml><?xml version="1.0" encoding="utf-8"?>
<formControlPr xmlns="http://schemas.microsoft.com/office/spreadsheetml/2009/9/main" objectType="Drop" dropStyle="combo" dx="26" fmlaLink="$AY$36" fmlaRange="$AI$25:$AI$33" sel="1" val="0"/>
</file>

<file path=xl/ctrlProps/ctrlProp882.xml><?xml version="1.0" encoding="utf-8"?>
<formControlPr xmlns="http://schemas.microsoft.com/office/spreadsheetml/2009/9/main" objectType="Drop" dropStyle="combo" dx="26" fmlaLink="$AZ$36" fmlaRange="$AI$25:$AI$33" sel="1" val="0"/>
</file>

<file path=xl/ctrlProps/ctrlProp883.xml><?xml version="1.0" encoding="utf-8"?>
<formControlPr xmlns="http://schemas.microsoft.com/office/spreadsheetml/2009/9/main" objectType="Drop" dropStyle="combo" dx="26" fmlaLink="$AU$37" fmlaRange="$AJ$42:$AJ$49" sel="5" val="0"/>
</file>

<file path=xl/ctrlProps/ctrlProp884.xml><?xml version="1.0" encoding="utf-8"?>
<formControlPr xmlns="http://schemas.microsoft.com/office/spreadsheetml/2009/9/main" objectType="Drop" dropStyle="combo" dx="26" fmlaLink="$AV$37" fmlaRange="$AI$25:$AI$33" sel="1" val="0"/>
</file>

<file path=xl/ctrlProps/ctrlProp885.xml><?xml version="1.0" encoding="utf-8"?>
<formControlPr xmlns="http://schemas.microsoft.com/office/spreadsheetml/2009/9/main" objectType="Drop" dropStyle="combo" dx="26" fmlaLink="$AW$37" fmlaRange="$AI$25:$AI$33" sel="6" val="0"/>
</file>

<file path=xl/ctrlProps/ctrlProp886.xml><?xml version="1.0" encoding="utf-8"?>
<formControlPr xmlns="http://schemas.microsoft.com/office/spreadsheetml/2009/9/main" objectType="Drop" dropStyle="combo" dx="26" fmlaLink="$AX$37" fmlaRange="$AI$25:$AI$33" sel="1" val="0"/>
</file>

<file path=xl/ctrlProps/ctrlProp887.xml><?xml version="1.0" encoding="utf-8"?>
<formControlPr xmlns="http://schemas.microsoft.com/office/spreadsheetml/2009/9/main" objectType="Drop" dropStyle="combo" dx="26" fmlaLink="$AY$37" fmlaRange="$AI$25:$AI$33" sel="1" val="0"/>
</file>

<file path=xl/ctrlProps/ctrlProp888.xml><?xml version="1.0" encoding="utf-8"?>
<formControlPr xmlns="http://schemas.microsoft.com/office/spreadsheetml/2009/9/main" objectType="Drop" dropStyle="combo" dx="26" fmlaLink="$AZ$37" fmlaRange="$AI$25:$AI$33" sel="1" val="0"/>
</file>

<file path=xl/ctrlProps/ctrlProp889.xml><?xml version="1.0" encoding="utf-8"?>
<formControlPr xmlns="http://schemas.microsoft.com/office/spreadsheetml/2009/9/main" objectType="Drop" dropStyle="combo" dx="26" fmlaLink="$AU$38" fmlaRange="$AJ$42:$AJ$49" sel="5" val="0"/>
</file>

<file path=xl/ctrlProps/ctrlProp890.xml><?xml version="1.0" encoding="utf-8"?>
<formControlPr xmlns="http://schemas.microsoft.com/office/spreadsheetml/2009/9/main" objectType="Drop" dropStyle="combo" dx="26" fmlaLink="$AV$38" fmlaRange="$AI$25:$AI$33" sel="4" val="0"/>
</file>

<file path=xl/ctrlProps/ctrlProp891.xml><?xml version="1.0" encoding="utf-8"?>
<formControlPr xmlns="http://schemas.microsoft.com/office/spreadsheetml/2009/9/main" objectType="Drop" dropStyle="combo" dx="26" fmlaLink="$AW$38" fmlaRange="$AI$25:$AI$33" sel="6" val="0"/>
</file>

<file path=xl/ctrlProps/ctrlProp892.xml><?xml version="1.0" encoding="utf-8"?>
<formControlPr xmlns="http://schemas.microsoft.com/office/spreadsheetml/2009/9/main" objectType="Drop" dropStyle="combo" dx="26" fmlaLink="$AX$38" fmlaRange="$AI$25:$AI$33" sel="1" val="0"/>
</file>

<file path=xl/ctrlProps/ctrlProp893.xml><?xml version="1.0" encoding="utf-8"?>
<formControlPr xmlns="http://schemas.microsoft.com/office/spreadsheetml/2009/9/main" objectType="Drop" dropStyle="combo" dx="26" fmlaLink="$AY$38" fmlaRange="$AI$25:$AI$33" sel="1" val="0"/>
</file>

<file path=xl/ctrlProps/ctrlProp894.xml><?xml version="1.0" encoding="utf-8"?>
<formControlPr xmlns="http://schemas.microsoft.com/office/spreadsheetml/2009/9/main" objectType="Drop" dropStyle="combo" dx="26" fmlaLink="$AZ$38" fmlaRange="$AI$25:$AI$33" sel="1" val="0"/>
</file>

<file path=xl/ctrlProps/ctrlProp895.xml><?xml version="1.0" encoding="utf-8"?>
<formControlPr xmlns="http://schemas.microsoft.com/office/spreadsheetml/2009/9/main" objectType="Drop" dropStyle="combo" dx="26" fmlaLink="$AU$38" fmlaRange="$AJ$42:$AJ$49" sel="5" val="0"/>
</file>

<file path=xl/ctrlProps/ctrlProp896.xml><?xml version="1.0" encoding="utf-8"?>
<formControlPr xmlns="http://schemas.microsoft.com/office/spreadsheetml/2009/9/main" objectType="Drop" dropStyle="combo" dx="26" fmlaLink="$AV$38" fmlaRange="$AI$25:$AI$33" sel="4" val="0"/>
</file>

<file path=xl/ctrlProps/ctrlProp897.xml><?xml version="1.0" encoding="utf-8"?>
<formControlPr xmlns="http://schemas.microsoft.com/office/spreadsheetml/2009/9/main" objectType="Drop" dropStyle="combo" dx="26" fmlaLink="$AW$38" fmlaRange="$AI$25:$AI$33" sel="6" val="0"/>
</file>

<file path=xl/ctrlProps/ctrlProp898.xml><?xml version="1.0" encoding="utf-8"?>
<formControlPr xmlns="http://schemas.microsoft.com/office/spreadsheetml/2009/9/main" objectType="Drop" dropStyle="combo" dx="26" fmlaLink="$AX$38" fmlaRange="$AI$25:$AI$33" sel="1" val="0"/>
</file>

<file path=xl/ctrlProps/ctrlProp899.xml><?xml version="1.0" encoding="utf-8"?>
<formControlPr xmlns="http://schemas.microsoft.com/office/spreadsheetml/2009/9/main" objectType="Drop" dropStyle="combo" dx="26" fmlaLink="$AY$38" fmlaRange="$AI$25:$AI$33" sel="1" val="0"/>
</file>

<file path=xl/ctrlProps/ctrlProp900.xml><?xml version="1.0" encoding="utf-8"?>
<formControlPr xmlns="http://schemas.microsoft.com/office/spreadsheetml/2009/9/main" objectType="Drop" dropStyle="combo" dx="26" fmlaLink="$AZ$38" fmlaRange="$AI$25:$AI$33" sel="1" val="0"/>
</file>

<file path=xl/ctrlProps/ctrlProp901.xml><?xml version="1.0" encoding="utf-8"?>
<formControlPr xmlns="http://schemas.microsoft.com/office/spreadsheetml/2009/9/main" objectType="Drop" dropStyle="combo" dx="26" fmlaLink="$AU$39" fmlaRange="$AJ$42:$AJ$49" sel="5" val="0"/>
</file>

<file path=xl/ctrlProps/ctrlProp902.xml><?xml version="1.0" encoding="utf-8"?>
<formControlPr xmlns="http://schemas.microsoft.com/office/spreadsheetml/2009/9/main" objectType="Drop" dropStyle="combo" dx="26" fmlaLink="$AV$39" fmlaRange="$AI$25:$AI$33" sel="4" val="0"/>
</file>

<file path=xl/ctrlProps/ctrlProp903.xml><?xml version="1.0" encoding="utf-8"?>
<formControlPr xmlns="http://schemas.microsoft.com/office/spreadsheetml/2009/9/main" objectType="Drop" dropStyle="combo" dx="26" fmlaLink="$AW$39" fmlaRange="$AI$25:$AI$33" sel="6" val="0"/>
</file>

<file path=xl/ctrlProps/ctrlProp904.xml><?xml version="1.0" encoding="utf-8"?>
<formControlPr xmlns="http://schemas.microsoft.com/office/spreadsheetml/2009/9/main" objectType="Drop" dropStyle="combo" dx="26" fmlaLink="$AX$39" fmlaRange="$AI$25:$AI$33" sel="1" val="0"/>
</file>

<file path=xl/ctrlProps/ctrlProp905.xml><?xml version="1.0" encoding="utf-8"?>
<formControlPr xmlns="http://schemas.microsoft.com/office/spreadsheetml/2009/9/main" objectType="Drop" dropStyle="combo" dx="26" fmlaLink="$AY$39" fmlaRange="$AI$25:$AI$33" sel="1" val="0"/>
</file>

<file path=xl/ctrlProps/ctrlProp906.xml><?xml version="1.0" encoding="utf-8"?>
<formControlPr xmlns="http://schemas.microsoft.com/office/spreadsheetml/2009/9/main" objectType="Drop" dropStyle="combo" dx="26" fmlaLink="$AZ$39" fmlaRange="$AI$25:$AI$33" sel="1" val="0"/>
</file>

<file path=xl/ctrlProps/ctrlProp907.xml><?xml version="1.0" encoding="utf-8"?>
<formControlPr xmlns="http://schemas.microsoft.com/office/spreadsheetml/2009/9/main" objectType="Drop" dropStyle="combo" dx="26" fmlaLink="$AU$40" fmlaRange="$AJ$42:$AJ$49" sel="1" val="0"/>
</file>

<file path=xl/ctrlProps/ctrlProp908.xml><?xml version="1.0" encoding="utf-8"?>
<formControlPr xmlns="http://schemas.microsoft.com/office/spreadsheetml/2009/9/main" objectType="Drop" dropStyle="combo" dx="26" fmlaLink="$AV$40" fmlaRange="$AI$25:$AI$33" sel="1" val="0"/>
</file>

<file path=xl/ctrlProps/ctrlProp909.xml><?xml version="1.0" encoding="utf-8"?>
<formControlPr xmlns="http://schemas.microsoft.com/office/spreadsheetml/2009/9/main" objectType="Drop" dropStyle="combo" dx="26" fmlaLink="$AW$40" fmlaRange="$AI$25:$AI$33" sel="1" val="0"/>
</file>

<file path=xl/ctrlProps/ctrlProp910.xml><?xml version="1.0" encoding="utf-8"?>
<formControlPr xmlns="http://schemas.microsoft.com/office/spreadsheetml/2009/9/main" objectType="Drop" dropStyle="combo" dx="26" fmlaLink="$AX$40" fmlaRange="$AI$25:$AI$33" sel="1" val="0"/>
</file>

<file path=xl/ctrlProps/ctrlProp911.xml><?xml version="1.0" encoding="utf-8"?>
<formControlPr xmlns="http://schemas.microsoft.com/office/spreadsheetml/2009/9/main" objectType="Drop" dropStyle="combo" dx="26" fmlaLink="$AY$40" fmlaRange="$AI$25:$AI$33" sel="1" val="0"/>
</file>

<file path=xl/ctrlProps/ctrlProp912.xml><?xml version="1.0" encoding="utf-8"?>
<formControlPr xmlns="http://schemas.microsoft.com/office/spreadsheetml/2009/9/main" objectType="Drop" dropStyle="combo" dx="26" fmlaLink="$AZ$40" fmlaRange="$AI$25:$AI$33" sel="1" val="0"/>
</file>

<file path=xl/ctrlProps/ctrlProp913.xml><?xml version="1.0" encoding="utf-8"?>
<formControlPr xmlns="http://schemas.microsoft.com/office/spreadsheetml/2009/9/main" objectType="CheckBox" checked="Checked" fmlaLink="$BC$25"/>
</file>

<file path=xl/ctrlProps/ctrlProp914.xml><?xml version="1.0" encoding="utf-8"?>
<formControlPr xmlns="http://schemas.microsoft.com/office/spreadsheetml/2009/9/main" objectType="CheckBox" checked="Checked" fmlaLink="$BC$26" lockText="1"/>
</file>

<file path=xl/ctrlProps/ctrlProp915.xml><?xml version="1.0" encoding="utf-8"?>
<formControlPr xmlns="http://schemas.microsoft.com/office/spreadsheetml/2009/9/main" objectType="CheckBox" checked="Checked" fmlaLink="$BC$27" lockText="1"/>
</file>

<file path=xl/ctrlProps/ctrlProp916.xml><?xml version="1.0" encoding="utf-8"?>
<formControlPr xmlns="http://schemas.microsoft.com/office/spreadsheetml/2009/9/main" objectType="CheckBox" checked="Checked" fmlaLink="$BC$28" lockText="1"/>
</file>

<file path=xl/ctrlProps/ctrlProp917.xml><?xml version="1.0" encoding="utf-8"?>
<formControlPr xmlns="http://schemas.microsoft.com/office/spreadsheetml/2009/9/main" objectType="CheckBox" checked="Checked" fmlaLink="$BC$29" lockText="1"/>
</file>

<file path=xl/ctrlProps/ctrlProp918.xml><?xml version="1.0" encoding="utf-8"?>
<formControlPr xmlns="http://schemas.microsoft.com/office/spreadsheetml/2009/9/main" objectType="CheckBox" checked="Checked" fmlaLink="$BC$30" lockText="1"/>
</file>

<file path=xl/ctrlProps/ctrlProp919.xml><?xml version="1.0" encoding="utf-8"?>
<formControlPr xmlns="http://schemas.microsoft.com/office/spreadsheetml/2009/9/main" objectType="CheckBox" checked="Checked" fmlaLink="$BC$31" lockText="1"/>
</file>

<file path=xl/ctrlProps/ctrlProp920.xml><?xml version="1.0" encoding="utf-8"?>
<formControlPr xmlns="http://schemas.microsoft.com/office/spreadsheetml/2009/9/main" objectType="CheckBox" checked="Checked" fmlaLink="$BC$32" lockText="1"/>
</file>

<file path=xl/ctrlProps/ctrlProp921.xml><?xml version="1.0" encoding="utf-8"?>
<formControlPr xmlns="http://schemas.microsoft.com/office/spreadsheetml/2009/9/main" objectType="CheckBox" checked="Checked" fmlaLink="$BC$33" lockText="1"/>
</file>

<file path=xl/ctrlProps/ctrlProp922.xml><?xml version="1.0" encoding="utf-8"?>
<formControlPr xmlns="http://schemas.microsoft.com/office/spreadsheetml/2009/9/main" objectType="CheckBox" checked="Checked" fmlaLink="$BC$34" lockText="1"/>
</file>

<file path=xl/ctrlProps/ctrlProp923.xml><?xml version="1.0" encoding="utf-8"?>
<formControlPr xmlns="http://schemas.microsoft.com/office/spreadsheetml/2009/9/main" objectType="CheckBox" checked="Checked" fmlaLink="$BC$35" lockText="1"/>
</file>

<file path=xl/ctrlProps/ctrlProp924.xml><?xml version="1.0" encoding="utf-8"?>
<formControlPr xmlns="http://schemas.microsoft.com/office/spreadsheetml/2009/9/main" objectType="CheckBox" checked="Checked" fmlaLink="$BC$36" lockText="1"/>
</file>

<file path=xl/ctrlProps/ctrlProp925.xml><?xml version="1.0" encoding="utf-8"?>
<formControlPr xmlns="http://schemas.microsoft.com/office/spreadsheetml/2009/9/main" objectType="CheckBox" checked="Checked" fmlaLink="$BC$37" lockText="1"/>
</file>

<file path=xl/ctrlProps/ctrlProp926.xml><?xml version="1.0" encoding="utf-8"?>
<formControlPr xmlns="http://schemas.microsoft.com/office/spreadsheetml/2009/9/main" objectType="CheckBox" checked="Checked" fmlaLink="$BC$38" lockText="1"/>
</file>

<file path=xl/ctrlProps/ctrlProp927.xml><?xml version="1.0" encoding="utf-8"?>
<formControlPr xmlns="http://schemas.microsoft.com/office/spreadsheetml/2009/9/main" objectType="CheckBox" checked="Checked" fmlaLink="$BC$39" lockText="1"/>
</file>

<file path=xl/ctrlProps/ctrlProp928.xml><?xml version="1.0" encoding="utf-8"?>
<formControlPr xmlns="http://schemas.microsoft.com/office/spreadsheetml/2009/9/main" objectType="CheckBox" fmlaLink="$BC$40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464820</xdr:colOff>
      <xdr:row>29</xdr:row>
      <xdr:rowOff>30480</xdr:rowOff>
    </xdr:from>
    <xdr:to>
      <xdr:col>8</xdr:col>
      <xdr:colOff>594360</xdr:colOff>
      <xdr:row>34</xdr:row>
      <xdr:rowOff>22860</xdr:rowOff>
    </xdr:to>
    <xdr:pic>
      <xdr:nvPicPr>
        <xdr:cNvPr id="31746" name="Picture 2">
          <a:extLst>
            <a:ext uri="{FF2B5EF4-FFF2-40B4-BE49-F238E27FC236}">
              <a16:creationId xmlns:a16="http://schemas.microsoft.com/office/drawing/2014/main" id="{BF0868AF-B658-011A-F508-7AB88C0FD2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9100" y="4930140"/>
          <a:ext cx="1836420" cy="830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525780</xdr:colOff>
      <xdr:row>5</xdr:row>
      <xdr:rowOff>45720</xdr:rowOff>
    </xdr:from>
    <xdr:to>
      <xdr:col>10</xdr:col>
      <xdr:colOff>297180</xdr:colOff>
      <xdr:row>7</xdr:row>
      <xdr:rowOff>106680</xdr:rowOff>
    </xdr:to>
    <xdr:pic>
      <xdr:nvPicPr>
        <xdr:cNvPr id="31758" name="Picture 14">
          <a:extLst>
            <a:ext uri="{FF2B5EF4-FFF2-40B4-BE49-F238E27FC236}">
              <a16:creationId xmlns:a16="http://schemas.microsoft.com/office/drawing/2014/main" id="{250F8169-8A34-ADDD-B99D-E9179879B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0060" y="762000"/>
          <a:ext cx="306324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38100</xdr:colOff>
      <xdr:row>0</xdr:row>
      <xdr:rowOff>45720</xdr:rowOff>
    </xdr:from>
    <xdr:to>
      <xdr:col>11</xdr:col>
      <xdr:colOff>777240</xdr:colOff>
      <xdr:row>9</xdr:row>
      <xdr:rowOff>0</xdr:rowOff>
    </xdr:to>
    <xdr:grpSp>
      <xdr:nvGrpSpPr>
        <xdr:cNvPr id="31759" name="Group 15">
          <a:extLst>
            <a:ext uri="{FF2B5EF4-FFF2-40B4-BE49-F238E27FC236}">
              <a16:creationId xmlns:a16="http://schemas.microsoft.com/office/drawing/2014/main" id="{BA2ED42C-0FEF-C671-AA25-50E3F25E02C3}"/>
            </a:ext>
          </a:extLst>
        </xdr:cNvPr>
        <xdr:cNvGrpSpPr>
          <a:grpSpLocks/>
        </xdr:cNvGrpSpPr>
      </xdr:nvGrpSpPr>
      <xdr:grpSpPr bwMode="auto">
        <a:xfrm>
          <a:off x="622300" y="45720"/>
          <a:ext cx="7676515" cy="1427480"/>
          <a:chOff x="0" y="2033"/>
          <a:chExt cx="5304" cy="975"/>
        </a:xfrm>
      </xdr:grpSpPr>
      <xdr:sp macro="" textlink="">
        <xdr:nvSpPr>
          <xdr:cNvPr id="31760" name="Freeform 16">
            <a:extLst>
              <a:ext uri="{FF2B5EF4-FFF2-40B4-BE49-F238E27FC236}">
                <a16:creationId xmlns:a16="http://schemas.microsoft.com/office/drawing/2014/main" id="{246C28AB-1E22-898F-CAAE-BAFAFA678E05}"/>
              </a:ext>
            </a:extLst>
          </xdr:cNvPr>
          <xdr:cNvSpPr>
            <a:spLocks/>
          </xdr:cNvSpPr>
        </xdr:nvSpPr>
        <xdr:spPr bwMode="auto">
          <a:xfrm>
            <a:off x="0" y="2033"/>
            <a:ext cx="509" cy="755"/>
          </a:xfrm>
          <a:custGeom>
            <a:avLst/>
            <a:gdLst>
              <a:gd name="T0" fmla="*/ 509 w 509"/>
              <a:gd name="T1" fmla="*/ 0 h 755"/>
              <a:gd name="T2" fmla="*/ 439 w 509"/>
              <a:gd name="T3" fmla="*/ 88 h 755"/>
              <a:gd name="T4" fmla="*/ 369 w 509"/>
              <a:gd name="T5" fmla="*/ 176 h 755"/>
              <a:gd name="T6" fmla="*/ 299 w 509"/>
              <a:gd name="T7" fmla="*/ 263 h 755"/>
              <a:gd name="T8" fmla="*/ 237 w 509"/>
              <a:gd name="T9" fmla="*/ 360 h 755"/>
              <a:gd name="T10" fmla="*/ 176 w 509"/>
              <a:gd name="T11" fmla="*/ 457 h 755"/>
              <a:gd name="T12" fmla="*/ 114 w 509"/>
              <a:gd name="T13" fmla="*/ 553 h 755"/>
              <a:gd name="T14" fmla="*/ 0 w 509"/>
              <a:gd name="T15" fmla="*/ 755 h 755"/>
              <a:gd name="T16" fmla="*/ 0 w 509"/>
              <a:gd name="T17" fmla="*/ 703 h 755"/>
              <a:gd name="T18" fmla="*/ 105 w 509"/>
              <a:gd name="T19" fmla="*/ 518 h 755"/>
              <a:gd name="T20" fmla="*/ 220 w 509"/>
              <a:gd name="T21" fmla="*/ 334 h 755"/>
              <a:gd name="T22" fmla="*/ 281 w 509"/>
              <a:gd name="T23" fmla="*/ 246 h 755"/>
              <a:gd name="T24" fmla="*/ 351 w 509"/>
              <a:gd name="T25" fmla="*/ 167 h 755"/>
              <a:gd name="T26" fmla="*/ 483 w 509"/>
              <a:gd name="T27" fmla="*/ 0 h 755"/>
              <a:gd name="T28" fmla="*/ 509 w 509"/>
              <a:gd name="T29" fmla="*/ 0 h 7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509" h="755">
                <a:moveTo>
                  <a:pt x="509" y="0"/>
                </a:moveTo>
                <a:lnTo>
                  <a:pt x="439" y="88"/>
                </a:lnTo>
                <a:lnTo>
                  <a:pt x="369" y="176"/>
                </a:lnTo>
                <a:lnTo>
                  <a:pt x="299" y="263"/>
                </a:lnTo>
                <a:lnTo>
                  <a:pt x="237" y="360"/>
                </a:lnTo>
                <a:lnTo>
                  <a:pt x="176" y="457"/>
                </a:lnTo>
                <a:lnTo>
                  <a:pt x="114" y="553"/>
                </a:lnTo>
                <a:lnTo>
                  <a:pt x="0" y="755"/>
                </a:lnTo>
                <a:lnTo>
                  <a:pt x="0" y="703"/>
                </a:lnTo>
                <a:lnTo>
                  <a:pt x="105" y="518"/>
                </a:lnTo>
                <a:lnTo>
                  <a:pt x="220" y="334"/>
                </a:lnTo>
                <a:lnTo>
                  <a:pt x="281" y="246"/>
                </a:lnTo>
                <a:lnTo>
                  <a:pt x="351" y="167"/>
                </a:lnTo>
                <a:lnTo>
                  <a:pt x="483" y="0"/>
                </a:lnTo>
                <a:lnTo>
                  <a:pt x="509" y="0"/>
                </a:lnTo>
                <a:close/>
              </a:path>
            </a:pathLst>
          </a:custGeom>
          <a:solidFill>
            <a:srgbClr val="CF391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1" name="Freeform 17">
            <a:extLst>
              <a:ext uri="{FF2B5EF4-FFF2-40B4-BE49-F238E27FC236}">
                <a16:creationId xmlns:a16="http://schemas.microsoft.com/office/drawing/2014/main" id="{813EB619-14BE-E737-249C-676CA294FC28}"/>
              </a:ext>
            </a:extLst>
          </xdr:cNvPr>
          <xdr:cNvSpPr>
            <a:spLocks/>
          </xdr:cNvSpPr>
        </xdr:nvSpPr>
        <xdr:spPr bwMode="auto">
          <a:xfrm>
            <a:off x="167" y="2033"/>
            <a:ext cx="852" cy="975"/>
          </a:xfrm>
          <a:custGeom>
            <a:avLst/>
            <a:gdLst>
              <a:gd name="T0" fmla="*/ 852 w 852"/>
              <a:gd name="T1" fmla="*/ 0 h 975"/>
              <a:gd name="T2" fmla="*/ 711 w 852"/>
              <a:gd name="T3" fmla="*/ 105 h 975"/>
              <a:gd name="T4" fmla="*/ 650 w 852"/>
              <a:gd name="T5" fmla="*/ 158 h 975"/>
              <a:gd name="T6" fmla="*/ 588 w 852"/>
              <a:gd name="T7" fmla="*/ 219 h 975"/>
              <a:gd name="T8" fmla="*/ 536 w 852"/>
              <a:gd name="T9" fmla="*/ 272 h 975"/>
              <a:gd name="T10" fmla="*/ 474 w 852"/>
              <a:gd name="T11" fmla="*/ 334 h 975"/>
              <a:gd name="T12" fmla="*/ 377 w 852"/>
              <a:gd name="T13" fmla="*/ 448 h 975"/>
              <a:gd name="T14" fmla="*/ 281 w 852"/>
              <a:gd name="T15" fmla="*/ 571 h 975"/>
              <a:gd name="T16" fmla="*/ 193 w 852"/>
              <a:gd name="T17" fmla="*/ 703 h 975"/>
              <a:gd name="T18" fmla="*/ 105 w 852"/>
              <a:gd name="T19" fmla="*/ 834 h 975"/>
              <a:gd name="T20" fmla="*/ 70 w 852"/>
              <a:gd name="T21" fmla="*/ 905 h 975"/>
              <a:gd name="T22" fmla="*/ 26 w 852"/>
              <a:gd name="T23" fmla="*/ 975 h 975"/>
              <a:gd name="T24" fmla="*/ 0 w 852"/>
              <a:gd name="T25" fmla="*/ 975 h 975"/>
              <a:gd name="T26" fmla="*/ 79 w 852"/>
              <a:gd name="T27" fmla="*/ 834 h 975"/>
              <a:gd name="T28" fmla="*/ 158 w 852"/>
              <a:gd name="T29" fmla="*/ 703 h 975"/>
              <a:gd name="T30" fmla="*/ 246 w 852"/>
              <a:gd name="T31" fmla="*/ 571 h 975"/>
              <a:gd name="T32" fmla="*/ 342 w 852"/>
              <a:gd name="T33" fmla="*/ 448 h 975"/>
              <a:gd name="T34" fmla="*/ 448 w 852"/>
              <a:gd name="T35" fmla="*/ 334 h 975"/>
              <a:gd name="T36" fmla="*/ 553 w 852"/>
              <a:gd name="T37" fmla="*/ 219 h 975"/>
              <a:gd name="T38" fmla="*/ 676 w 852"/>
              <a:gd name="T39" fmla="*/ 105 h 975"/>
              <a:gd name="T40" fmla="*/ 737 w 852"/>
              <a:gd name="T41" fmla="*/ 53 h 975"/>
              <a:gd name="T42" fmla="*/ 808 w 852"/>
              <a:gd name="T43" fmla="*/ 0 h 975"/>
              <a:gd name="T44" fmla="*/ 852 w 852"/>
              <a:gd name="T45" fmla="*/ 0 h 97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852" h="975">
                <a:moveTo>
                  <a:pt x="852" y="0"/>
                </a:moveTo>
                <a:lnTo>
                  <a:pt x="711" y="105"/>
                </a:lnTo>
                <a:lnTo>
                  <a:pt x="650" y="158"/>
                </a:lnTo>
                <a:lnTo>
                  <a:pt x="588" y="219"/>
                </a:lnTo>
                <a:lnTo>
                  <a:pt x="536" y="272"/>
                </a:lnTo>
                <a:lnTo>
                  <a:pt x="474" y="334"/>
                </a:lnTo>
                <a:lnTo>
                  <a:pt x="377" y="448"/>
                </a:lnTo>
                <a:lnTo>
                  <a:pt x="281" y="571"/>
                </a:lnTo>
                <a:lnTo>
                  <a:pt x="193" y="703"/>
                </a:lnTo>
                <a:lnTo>
                  <a:pt x="105" y="834"/>
                </a:lnTo>
                <a:lnTo>
                  <a:pt x="70" y="905"/>
                </a:lnTo>
                <a:lnTo>
                  <a:pt x="26" y="975"/>
                </a:lnTo>
                <a:lnTo>
                  <a:pt x="0" y="975"/>
                </a:lnTo>
                <a:lnTo>
                  <a:pt x="79" y="834"/>
                </a:lnTo>
                <a:lnTo>
                  <a:pt x="158" y="703"/>
                </a:lnTo>
                <a:lnTo>
                  <a:pt x="246" y="571"/>
                </a:lnTo>
                <a:lnTo>
                  <a:pt x="342" y="448"/>
                </a:lnTo>
                <a:lnTo>
                  <a:pt x="448" y="334"/>
                </a:lnTo>
                <a:lnTo>
                  <a:pt x="553" y="219"/>
                </a:lnTo>
                <a:lnTo>
                  <a:pt x="676" y="105"/>
                </a:lnTo>
                <a:lnTo>
                  <a:pt x="737" y="53"/>
                </a:lnTo>
                <a:lnTo>
                  <a:pt x="808" y="0"/>
                </a:lnTo>
                <a:lnTo>
                  <a:pt x="852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2" name="Freeform 18">
            <a:extLst>
              <a:ext uri="{FF2B5EF4-FFF2-40B4-BE49-F238E27FC236}">
                <a16:creationId xmlns:a16="http://schemas.microsoft.com/office/drawing/2014/main" id="{A77CEB85-3E5B-5445-5B85-128B033DE90F}"/>
              </a:ext>
            </a:extLst>
          </xdr:cNvPr>
          <xdr:cNvSpPr>
            <a:spLocks/>
          </xdr:cNvSpPr>
        </xdr:nvSpPr>
        <xdr:spPr bwMode="auto">
          <a:xfrm>
            <a:off x="4215" y="2033"/>
            <a:ext cx="1089" cy="966"/>
          </a:xfrm>
          <a:custGeom>
            <a:avLst/>
            <a:gdLst>
              <a:gd name="T0" fmla="*/ 53 w 1089"/>
              <a:gd name="T1" fmla="*/ 0 h 966"/>
              <a:gd name="T2" fmla="*/ 193 w 1089"/>
              <a:gd name="T3" fmla="*/ 79 h 966"/>
              <a:gd name="T4" fmla="*/ 255 w 1089"/>
              <a:gd name="T5" fmla="*/ 114 h 966"/>
              <a:gd name="T6" fmla="*/ 316 w 1089"/>
              <a:gd name="T7" fmla="*/ 158 h 966"/>
              <a:gd name="T8" fmla="*/ 378 w 1089"/>
              <a:gd name="T9" fmla="*/ 202 h 966"/>
              <a:gd name="T10" fmla="*/ 430 w 1089"/>
              <a:gd name="T11" fmla="*/ 255 h 966"/>
              <a:gd name="T12" fmla="*/ 483 w 1089"/>
              <a:gd name="T13" fmla="*/ 299 h 966"/>
              <a:gd name="T14" fmla="*/ 536 w 1089"/>
              <a:gd name="T15" fmla="*/ 351 h 966"/>
              <a:gd name="T16" fmla="*/ 641 w 1089"/>
              <a:gd name="T17" fmla="*/ 465 h 966"/>
              <a:gd name="T18" fmla="*/ 746 w 1089"/>
              <a:gd name="T19" fmla="*/ 571 h 966"/>
              <a:gd name="T20" fmla="*/ 852 w 1089"/>
              <a:gd name="T21" fmla="*/ 694 h 966"/>
              <a:gd name="T22" fmla="*/ 975 w 1089"/>
              <a:gd name="T23" fmla="*/ 808 h 966"/>
              <a:gd name="T24" fmla="*/ 1089 w 1089"/>
              <a:gd name="T25" fmla="*/ 931 h 966"/>
              <a:gd name="T26" fmla="*/ 1089 w 1089"/>
              <a:gd name="T27" fmla="*/ 966 h 966"/>
              <a:gd name="T28" fmla="*/ 1027 w 1089"/>
              <a:gd name="T29" fmla="*/ 896 h 966"/>
              <a:gd name="T30" fmla="*/ 957 w 1089"/>
              <a:gd name="T31" fmla="*/ 826 h 966"/>
              <a:gd name="T32" fmla="*/ 834 w 1089"/>
              <a:gd name="T33" fmla="*/ 703 h 966"/>
              <a:gd name="T34" fmla="*/ 720 w 1089"/>
              <a:gd name="T35" fmla="*/ 588 h 966"/>
              <a:gd name="T36" fmla="*/ 615 w 1089"/>
              <a:gd name="T37" fmla="*/ 465 h 966"/>
              <a:gd name="T38" fmla="*/ 509 w 1089"/>
              <a:gd name="T39" fmla="*/ 360 h 966"/>
              <a:gd name="T40" fmla="*/ 395 w 1089"/>
              <a:gd name="T41" fmla="*/ 255 h 966"/>
              <a:gd name="T42" fmla="*/ 334 w 1089"/>
              <a:gd name="T43" fmla="*/ 202 h 966"/>
              <a:gd name="T44" fmla="*/ 272 w 1089"/>
              <a:gd name="T45" fmla="*/ 158 h 966"/>
              <a:gd name="T46" fmla="*/ 211 w 1089"/>
              <a:gd name="T47" fmla="*/ 114 h 966"/>
              <a:gd name="T48" fmla="*/ 149 w 1089"/>
              <a:gd name="T49" fmla="*/ 70 h 966"/>
              <a:gd name="T50" fmla="*/ 70 w 1089"/>
              <a:gd name="T51" fmla="*/ 35 h 966"/>
              <a:gd name="T52" fmla="*/ 0 w 1089"/>
              <a:gd name="T53" fmla="*/ 0 h 966"/>
              <a:gd name="T54" fmla="*/ 53 w 1089"/>
              <a:gd name="T55" fmla="*/ 0 h 96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</a:cxnLst>
            <a:rect l="0" t="0" r="r" b="b"/>
            <a:pathLst>
              <a:path w="1089" h="966">
                <a:moveTo>
                  <a:pt x="53" y="0"/>
                </a:moveTo>
                <a:lnTo>
                  <a:pt x="193" y="79"/>
                </a:lnTo>
                <a:lnTo>
                  <a:pt x="255" y="114"/>
                </a:lnTo>
                <a:lnTo>
                  <a:pt x="316" y="158"/>
                </a:lnTo>
                <a:lnTo>
                  <a:pt x="378" y="202"/>
                </a:lnTo>
                <a:lnTo>
                  <a:pt x="430" y="255"/>
                </a:lnTo>
                <a:lnTo>
                  <a:pt x="483" y="299"/>
                </a:lnTo>
                <a:lnTo>
                  <a:pt x="536" y="351"/>
                </a:lnTo>
                <a:lnTo>
                  <a:pt x="641" y="465"/>
                </a:lnTo>
                <a:lnTo>
                  <a:pt x="746" y="571"/>
                </a:lnTo>
                <a:lnTo>
                  <a:pt x="852" y="694"/>
                </a:lnTo>
                <a:lnTo>
                  <a:pt x="975" y="808"/>
                </a:lnTo>
                <a:lnTo>
                  <a:pt x="1089" y="931"/>
                </a:lnTo>
                <a:lnTo>
                  <a:pt x="1089" y="966"/>
                </a:lnTo>
                <a:lnTo>
                  <a:pt x="1027" y="896"/>
                </a:lnTo>
                <a:lnTo>
                  <a:pt x="957" y="826"/>
                </a:lnTo>
                <a:lnTo>
                  <a:pt x="834" y="703"/>
                </a:lnTo>
                <a:lnTo>
                  <a:pt x="720" y="588"/>
                </a:lnTo>
                <a:lnTo>
                  <a:pt x="615" y="465"/>
                </a:lnTo>
                <a:lnTo>
                  <a:pt x="509" y="360"/>
                </a:lnTo>
                <a:lnTo>
                  <a:pt x="395" y="255"/>
                </a:lnTo>
                <a:lnTo>
                  <a:pt x="334" y="202"/>
                </a:lnTo>
                <a:lnTo>
                  <a:pt x="272" y="158"/>
                </a:lnTo>
                <a:lnTo>
                  <a:pt x="211" y="114"/>
                </a:lnTo>
                <a:lnTo>
                  <a:pt x="149" y="70"/>
                </a:lnTo>
                <a:lnTo>
                  <a:pt x="70" y="35"/>
                </a:lnTo>
                <a:lnTo>
                  <a:pt x="0" y="0"/>
                </a:lnTo>
                <a:lnTo>
                  <a:pt x="53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3" name="Freeform 19">
            <a:extLst>
              <a:ext uri="{FF2B5EF4-FFF2-40B4-BE49-F238E27FC236}">
                <a16:creationId xmlns:a16="http://schemas.microsoft.com/office/drawing/2014/main" id="{A654E83C-1ECD-4730-8963-23E304DFE225}"/>
              </a:ext>
            </a:extLst>
          </xdr:cNvPr>
          <xdr:cNvSpPr>
            <a:spLocks/>
          </xdr:cNvSpPr>
        </xdr:nvSpPr>
        <xdr:spPr bwMode="auto">
          <a:xfrm>
            <a:off x="1361" y="2156"/>
            <a:ext cx="3741" cy="852"/>
          </a:xfrm>
          <a:custGeom>
            <a:avLst/>
            <a:gdLst>
              <a:gd name="T0" fmla="*/ 2889 w 3741"/>
              <a:gd name="T1" fmla="*/ 272 h 852"/>
              <a:gd name="T2" fmla="*/ 2828 w 3741"/>
              <a:gd name="T3" fmla="*/ 255 h 852"/>
              <a:gd name="T4" fmla="*/ 2643 w 3741"/>
              <a:gd name="T5" fmla="*/ 202 h 852"/>
              <a:gd name="T6" fmla="*/ 2204 w 3741"/>
              <a:gd name="T7" fmla="*/ 132 h 852"/>
              <a:gd name="T8" fmla="*/ 1669 w 3741"/>
              <a:gd name="T9" fmla="*/ 53 h 852"/>
              <a:gd name="T10" fmla="*/ 1379 w 3741"/>
              <a:gd name="T11" fmla="*/ 26 h 852"/>
              <a:gd name="T12" fmla="*/ 1238 w 3741"/>
              <a:gd name="T13" fmla="*/ 26 h 852"/>
              <a:gd name="T14" fmla="*/ 1098 w 3741"/>
              <a:gd name="T15" fmla="*/ 44 h 852"/>
              <a:gd name="T16" fmla="*/ 948 w 3741"/>
              <a:gd name="T17" fmla="*/ 88 h 852"/>
              <a:gd name="T18" fmla="*/ 808 w 3741"/>
              <a:gd name="T19" fmla="*/ 149 h 852"/>
              <a:gd name="T20" fmla="*/ 562 w 3741"/>
              <a:gd name="T21" fmla="*/ 307 h 852"/>
              <a:gd name="T22" fmla="*/ 351 w 3741"/>
              <a:gd name="T23" fmla="*/ 474 h 852"/>
              <a:gd name="T24" fmla="*/ 176 w 3741"/>
              <a:gd name="T25" fmla="*/ 659 h 852"/>
              <a:gd name="T26" fmla="*/ 26 w 3741"/>
              <a:gd name="T27" fmla="*/ 852 h 852"/>
              <a:gd name="T28" fmla="*/ 70 w 3741"/>
              <a:gd name="T29" fmla="*/ 747 h 852"/>
              <a:gd name="T30" fmla="*/ 193 w 3741"/>
              <a:gd name="T31" fmla="*/ 606 h 852"/>
              <a:gd name="T32" fmla="*/ 325 w 3741"/>
              <a:gd name="T33" fmla="*/ 465 h 852"/>
              <a:gd name="T34" fmla="*/ 545 w 3741"/>
              <a:gd name="T35" fmla="*/ 290 h 852"/>
              <a:gd name="T36" fmla="*/ 799 w 3741"/>
              <a:gd name="T37" fmla="*/ 132 h 852"/>
              <a:gd name="T38" fmla="*/ 940 w 3741"/>
              <a:gd name="T39" fmla="*/ 61 h 852"/>
              <a:gd name="T40" fmla="*/ 1089 w 3741"/>
              <a:gd name="T41" fmla="*/ 26 h 852"/>
              <a:gd name="T42" fmla="*/ 1300 w 3741"/>
              <a:gd name="T43" fmla="*/ 0 h 852"/>
              <a:gd name="T44" fmla="*/ 1449 w 3741"/>
              <a:gd name="T45" fmla="*/ 9 h 852"/>
              <a:gd name="T46" fmla="*/ 1669 w 3741"/>
              <a:gd name="T47" fmla="*/ 35 h 852"/>
              <a:gd name="T48" fmla="*/ 2204 w 3741"/>
              <a:gd name="T49" fmla="*/ 105 h 852"/>
              <a:gd name="T50" fmla="*/ 2520 w 3741"/>
              <a:gd name="T51" fmla="*/ 158 h 852"/>
              <a:gd name="T52" fmla="*/ 2775 w 3741"/>
              <a:gd name="T53" fmla="*/ 211 h 852"/>
              <a:gd name="T54" fmla="*/ 2872 w 3741"/>
              <a:gd name="T55" fmla="*/ 246 h 852"/>
              <a:gd name="T56" fmla="*/ 2915 w 3741"/>
              <a:gd name="T57" fmla="*/ 246 h 852"/>
              <a:gd name="T58" fmla="*/ 3056 w 3741"/>
              <a:gd name="T59" fmla="*/ 299 h 852"/>
              <a:gd name="T60" fmla="*/ 3179 w 3741"/>
              <a:gd name="T61" fmla="*/ 351 h 852"/>
              <a:gd name="T62" fmla="*/ 3284 w 3741"/>
              <a:gd name="T63" fmla="*/ 422 h 852"/>
              <a:gd name="T64" fmla="*/ 3477 w 3741"/>
              <a:gd name="T65" fmla="*/ 580 h 852"/>
              <a:gd name="T66" fmla="*/ 3741 w 3741"/>
              <a:gd name="T67" fmla="*/ 852 h 852"/>
              <a:gd name="T68" fmla="*/ 3539 w 3741"/>
              <a:gd name="T69" fmla="*/ 668 h 852"/>
              <a:gd name="T70" fmla="*/ 3363 w 3741"/>
              <a:gd name="T71" fmla="*/ 509 h 852"/>
              <a:gd name="T72" fmla="*/ 3161 w 3741"/>
              <a:gd name="T73" fmla="*/ 369 h 852"/>
              <a:gd name="T74" fmla="*/ 2977 w 3741"/>
              <a:gd name="T75" fmla="*/ 290 h 8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</a:cxnLst>
            <a:rect l="0" t="0" r="r" b="b"/>
            <a:pathLst>
              <a:path w="3741" h="852">
                <a:moveTo>
                  <a:pt x="2907" y="272"/>
                </a:moveTo>
                <a:lnTo>
                  <a:pt x="2889" y="272"/>
                </a:lnTo>
                <a:lnTo>
                  <a:pt x="2863" y="272"/>
                </a:lnTo>
                <a:lnTo>
                  <a:pt x="2828" y="255"/>
                </a:lnTo>
                <a:lnTo>
                  <a:pt x="2775" y="237"/>
                </a:lnTo>
                <a:lnTo>
                  <a:pt x="2643" y="202"/>
                </a:lnTo>
                <a:lnTo>
                  <a:pt x="2415" y="158"/>
                </a:lnTo>
                <a:lnTo>
                  <a:pt x="2204" y="132"/>
                </a:lnTo>
                <a:lnTo>
                  <a:pt x="1967" y="105"/>
                </a:lnTo>
                <a:lnTo>
                  <a:pt x="1669" y="53"/>
                </a:lnTo>
                <a:lnTo>
                  <a:pt x="1528" y="35"/>
                </a:lnTo>
                <a:lnTo>
                  <a:pt x="1379" y="26"/>
                </a:lnTo>
                <a:lnTo>
                  <a:pt x="1309" y="26"/>
                </a:lnTo>
                <a:lnTo>
                  <a:pt x="1238" y="26"/>
                </a:lnTo>
                <a:lnTo>
                  <a:pt x="1168" y="35"/>
                </a:lnTo>
                <a:lnTo>
                  <a:pt x="1098" y="44"/>
                </a:lnTo>
                <a:lnTo>
                  <a:pt x="1019" y="61"/>
                </a:lnTo>
                <a:lnTo>
                  <a:pt x="948" y="88"/>
                </a:lnTo>
                <a:lnTo>
                  <a:pt x="878" y="114"/>
                </a:lnTo>
                <a:lnTo>
                  <a:pt x="808" y="149"/>
                </a:lnTo>
                <a:lnTo>
                  <a:pt x="676" y="228"/>
                </a:lnTo>
                <a:lnTo>
                  <a:pt x="562" y="307"/>
                </a:lnTo>
                <a:lnTo>
                  <a:pt x="448" y="386"/>
                </a:lnTo>
                <a:lnTo>
                  <a:pt x="351" y="474"/>
                </a:lnTo>
                <a:lnTo>
                  <a:pt x="255" y="562"/>
                </a:lnTo>
                <a:lnTo>
                  <a:pt x="176" y="659"/>
                </a:lnTo>
                <a:lnTo>
                  <a:pt x="97" y="755"/>
                </a:lnTo>
                <a:lnTo>
                  <a:pt x="26" y="852"/>
                </a:lnTo>
                <a:lnTo>
                  <a:pt x="0" y="852"/>
                </a:lnTo>
                <a:lnTo>
                  <a:pt x="70" y="747"/>
                </a:lnTo>
                <a:lnTo>
                  <a:pt x="149" y="650"/>
                </a:lnTo>
                <a:lnTo>
                  <a:pt x="193" y="606"/>
                </a:lnTo>
                <a:lnTo>
                  <a:pt x="237" y="553"/>
                </a:lnTo>
                <a:lnTo>
                  <a:pt x="325" y="465"/>
                </a:lnTo>
                <a:lnTo>
                  <a:pt x="430" y="378"/>
                </a:lnTo>
                <a:lnTo>
                  <a:pt x="545" y="290"/>
                </a:lnTo>
                <a:lnTo>
                  <a:pt x="667" y="211"/>
                </a:lnTo>
                <a:lnTo>
                  <a:pt x="799" y="132"/>
                </a:lnTo>
                <a:lnTo>
                  <a:pt x="869" y="96"/>
                </a:lnTo>
                <a:lnTo>
                  <a:pt x="940" y="61"/>
                </a:lnTo>
                <a:lnTo>
                  <a:pt x="1019" y="44"/>
                </a:lnTo>
                <a:lnTo>
                  <a:pt x="1089" y="26"/>
                </a:lnTo>
                <a:lnTo>
                  <a:pt x="1229" y="9"/>
                </a:lnTo>
                <a:lnTo>
                  <a:pt x="1300" y="0"/>
                </a:lnTo>
                <a:lnTo>
                  <a:pt x="1379" y="0"/>
                </a:lnTo>
                <a:lnTo>
                  <a:pt x="1449" y="9"/>
                </a:lnTo>
                <a:lnTo>
                  <a:pt x="1519" y="17"/>
                </a:lnTo>
                <a:lnTo>
                  <a:pt x="1669" y="35"/>
                </a:lnTo>
                <a:lnTo>
                  <a:pt x="1967" y="79"/>
                </a:lnTo>
                <a:lnTo>
                  <a:pt x="2204" y="105"/>
                </a:lnTo>
                <a:lnTo>
                  <a:pt x="2415" y="140"/>
                </a:lnTo>
                <a:lnTo>
                  <a:pt x="2520" y="158"/>
                </a:lnTo>
                <a:lnTo>
                  <a:pt x="2652" y="184"/>
                </a:lnTo>
                <a:lnTo>
                  <a:pt x="2775" y="211"/>
                </a:lnTo>
                <a:lnTo>
                  <a:pt x="2828" y="228"/>
                </a:lnTo>
                <a:lnTo>
                  <a:pt x="2872" y="246"/>
                </a:lnTo>
                <a:lnTo>
                  <a:pt x="2889" y="246"/>
                </a:lnTo>
                <a:lnTo>
                  <a:pt x="2915" y="246"/>
                </a:lnTo>
                <a:lnTo>
                  <a:pt x="2986" y="272"/>
                </a:lnTo>
                <a:lnTo>
                  <a:pt x="3056" y="299"/>
                </a:lnTo>
                <a:lnTo>
                  <a:pt x="3117" y="325"/>
                </a:lnTo>
                <a:lnTo>
                  <a:pt x="3179" y="351"/>
                </a:lnTo>
                <a:lnTo>
                  <a:pt x="3232" y="386"/>
                </a:lnTo>
                <a:lnTo>
                  <a:pt x="3284" y="422"/>
                </a:lnTo>
                <a:lnTo>
                  <a:pt x="3381" y="492"/>
                </a:lnTo>
                <a:lnTo>
                  <a:pt x="3477" y="580"/>
                </a:lnTo>
                <a:lnTo>
                  <a:pt x="3565" y="668"/>
                </a:lnTo>
                <a:lnTo>
                  <a:pt x="3741" y="852"/>
                </a:lnTo>
                <a:lnTo>
                  <a:pt x="3706" y="852"/>
                </a:lnTo>
                <a:lnTo>
                  <a:pt x="3539" y="668"/>
                </a:lnTo>
                <a:lnTo>
                  <a:pt x="3451" y="588"/>
                </a:lnTo>
                <a:lnTo>
                  <a:pt x="3363" y="509"/>
                </a:lnTo>
                <a:lnTo>
                  <a:pt x="3267" y="439"/>
                </a:lnTo>
                <a:lnTo>
                  <a:pt x="3161" y="369"/>
                </a:lnTo>
                <a:lnTo>
                  <a:pt x="3047" y="316"/>
                </a:lnTo>
                <a:lnTo>
                  <a:pt x="2977" y="290"/>
                </a:lnTo>
                <a:lnTo>
                  <a:pt x="2907" y="272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30480</xdr:colOff>
      <xdr:row>28</xdr:row>
      <xdr:rowOff>0</xdr:rowOff>
    </xdr:from>
    <xdr:to>
      <xdr:col>12</xdr:col>
      <xdr:colOff>0</xdr:colOff>
      <xdr:row>36</xdr:row>
      <xdr:rowOff>0</xdr:rowOff>
    </xdr:to>
    <xdr:grpSp>
      <xdr:nvGrpSpPr>
        <xdr:cNvPr id="31764" name="Group 20">
          <a:extLst>
            <a:ext uri="{FF2B5EF4-FFF2-40B4-BE49-F238E27FC236}">
              <a16:creationId xmlns:a16="http://schemas.microsoft.com/office/drawing/2014/main" id="{69A3EA3D-48D5-7907-57EA-07B36B76CE3C}"/>
            </a:ext>
          </a:extLst>
        </xdr:cNvPr>
        <xdr:cNvGrpSpPr>
          <a:grpSpLocks/>
        </xdr:cNvGrpSpPr>
      </xdr:nvGrpSpPr>
      <xdr:grpSpPr bwMode="auto">
        <a:xfrm>
          <a:off x="614680" y="4737100"/>
          <a:ext cx="7691120" cy="1333500"/>
          <a:chOff x="542" y="1761"/>
          <a:chExt cx="4675" cy="801"/>
        </a:xfrm>
      </xdr:grpSpPr>
      <xdr:sp macro="" textlink="">
        <xdr:nvSpPr>
          <xdr:cNvPr id="31765" name="Freeform 21">
            <a:extLst>
              <a:ext uri="{FF2B5EF4-FFF2-40B4-BE49-F238E27FC236}">
                <a16:creationId xmlns:a16="http://schemas.microsoft.com/office/drawing/2014/main" id="{23561B3B-9679-B521-46AC-A99A2A1FFF01}"/>
              </a:ext>
            </a:extLst>
          </xdr:cNvPr>
          <xdr:cNvSpPr>
            <a:spLocks/>
          </xdr:cNvSpPr>
        </xdr:nvSpPr>
        <xdr:spPr bwMode="auto">
          <a:xfrm>
            <a:off x="542" y="2313"/>
            <a:ext cx="196" cy="249"/>
          </a:xfrm>
          <a:custGeom>
            <a:avLst/>
            <a:gdLst>
              <a:gd name="T0" fmla="*/ 0 w 196"/>
              <a:gd name="T1" fmla="*/ 0 h 249"/>
              <a:gd name="T2" fmla="*/ 23 w 196"/>
              <a:gd name="T3" fmla="*/ 31 h 249"/>
              <a:gd name="T4" fmla="*/ 46 w 196"/>
              <a:gd name="T5" fmla="*/ 63 h 249"/>
              <a:gd name="T6" fmla="*/ 94 w 196"/>
              <a:gd name="T7" fmla="*/ 125 h 249"/>
              <a:gd name="T8" fmla="*/ 119 w 196"/>
              <a:gd name="T9" fmla="*/ 157 h 249"/>
              <a:gd name="T10" fmla="*/ 144 w 196"/>
              <a:gd name="T11" fmla="*/ 188 h 249"/>
              <a:gd name="T12" fmla="*/ 170 w 196"/>
              <a:gd name="T13" fmla="*/ 218 h 249"/>
              <a:gd name="T14" fmla="*/ 196 w 196"/>
              <a:gd name="T15" fmla="*/ 249 h 249"/>
              <a:gd name="T16" fmla="*/ 168 w 196"/>
              <a:gd name="T17" fmla="*/ 249 h 249"/>
              <a:gd name="T18" fmla="*/ 124 w 196"/>
              <a:gd name="T19" fmla="*/ 196 h 249"/>
              <a:gd name="T20" fmla="*/ 82 w 196"/>
              <a:gd name="T21" fmla="*/ 143 h 249"/>
              <a:gd name="T22" fmla="*/ 40 w 196"/>
              <a:gd name="T23" fmla="*/ 90 h 249"/>
              <a:gd name="T24" fmla="*/ 0 w 196"/>
              <a:gd name="T25" fmla="*/ 36 h 249"/>
              <a:gd name="T26" fmla="*/ 0 w 196"/>
              <a:gd name="T27" fmla="*/ 0 h 24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96" h="249">
                <a:moveTo>
                  <a:pt x="0" y="0"/>
                </a:moveTo>
                <a:lnTo>
                  <a:pt x="23" y="31"/>
                </a:lnTo>
                <a:lnTo>
                  <a:pt x="46" y="63"/>
                </a:lnTo>
                <a:lnTo>
                  <a:pt x="94" y="125"/>
                </a:lnTo>
                <a:lnTo>
                  <a:pt x="119" y="157"/>
                </a:lnTo>
                <a:lnTo>
                  <a:pt x="144" y="188"/>
                </a:lnTo>
                <a:lnTo>
                  <a:pt x="170" y="218"/>
                </a:lnTo>
                <a:lnTo>
                  <a:pt x="196" y="249"/>
                </a:lnTo>
                <a:lnTo>
                  <a:pt x="168" y="249"/>
                </a:lnTo>
                <a:lnTo>
                  <a:pt x="124" y="196"/>
                </a:lnTo>
                <a:lnTo>
                  <a:pt x="82" y="143"/>
                </a:lnTo>
                <a:lnTo>
                  <a:pt x="40" y="90"/>
                </a:lnTo>
                <a:lnTo>
                  <a:pt x="0" y="36"/>
                </a:lnTo>
                <a:lnTo>
                  <a:pt x="0" y="0"/>
                </a:lnTo>
                <a:close/>
              </a:path>
            </a:pathLst>
          </a:custGeom>
          <a:solidFill>
            <a:srgbClr val="CF391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6" name="Freeform 22">
            <a:extLst>
              <a:ext uri="{FF2B5EF4-FFF2-40B4-BE49-F238E27FC236}">
                <a16:creationId xmlns:a16="http://schemas.microsoft.com/office/drawing/2014/main" id="{95979BF0-99BD-75F9-E4C5-9054B22F929E}"/>
              </a:ext>
            </a:extLst>
          </xdr:cNvPr>
          <xdr:cNvSpPr>
            <a:spLocks/>
          </xdr:cNvSpPr>
        </xdr:nvSpPr>
        <xdr:spPr bwMode="auto">
          <a:xfrm>
            <a:off x="542" y="1761"/>
            <a:ext cx="657" cy="801"/>
          </a:xfrm>
          <a:custGeom>
            <a:avLst/>
            <a:gdLst>
              <a:gd name="T0" fmla="*/ 4 w 657"/>
              <a:gd name="T1" fmla="*/ 0 h 801"/>
              <a:gd name="T2" fmla="*/ 35 w 657"/>
              <a:gd name="T3" fmla="*/ 53 h 801"/>
              <a:gd name="T4" fmla="*/ 68 w 657"/>
              <a:gd name="T5" fmla="*/ 106 h 801"/>
              <a:gd name="T6" fmla="*/ 101 w 657"/>
              <a:gd name="T7" fmla="*/ 158 h 801"/>
              <a:gd name="T8" fmla="*/ 137 w 657"/>
              <a:gd name="T9" fmla="*/ 210 h 801"/>
              <a:gd name="T10" fmla="*/ 155 w 657"/>
              <a:gd name="T11" fmla="*/ 235 h 801"/>
              <a:gd name="T12" fmla="*/ 173 w 657"/>
              <a:gd name="T13" fmla="*/ 261 h 801"/>
              <a:gd name="T14" fmla="*/ 211 w 657"/>
              <a:gd name="T15" fmla="*/ 312 h 801"/>
              <a:gd name="T16" fmla="*/ 250 w 657"/>
              <a:gd name="T17" fmla="*/ 363 h 801"/>
              <a:gd name="T18" fmla="*/ 290 w 657"/>
              <a:gd name="T19" fmla="*/ 414 h 801"/>
              <a:gd name="T20" fmla="*/ 331 w 657"/>
              <a:gd name="T21" fmla="*/ 464 h 801"/>
              <a:gd name="T22" fmla="*/ 374 w 657"/>
              <a:gd name="T23" fmla="*/ 514 h 801"/>
              <a:gd name="T24" fmla="*/ 418 w 657"/>
              <a:gd name="T25" fmla="*/ 563 h 801"/>
              <a:gd name="T26" fmla="*/ 464 w 657"/>
              <a:gd name="T27" fmla="*/ 611 h 801"/>
              <a:gd name="T28" fmla="*/ 487 w 657"/>
              <a:gd name="T29" fmla="*/ 635 h 801"/>
              <a:gd name="T30" fmla="*/ 510 w 657"/>
              <a:gd name="T31" fmla="*/ 659 h 801"/>
              <a:gd name="T32" fmla="*/ 558 w 657"/>
              <a:gd name="T33" fmla="*/ 707 h 801"/>
              <a:gd name="T34" fmla="*/ 607 w 657"/>
              <a:gd name="T35" fmla="*/ 754 h 801"/>
              <a:gd name="T36" fmla="*/ 632 w 657"/>
              <a:gd name="T37" fmla="*/ 778 h 801"/>
              <a:gd name="T38" fmla="*/ 657 w 657"/>
              <a:gd name="T39" fmla="*/ 801 h 801"/>
              <a:gd name="T40" fmla="*/ 626 w 657"/>
              <a:gd name="T41" fmla="*/ 801 h 801"/>
              <a:gd name="T42" fmla="*/ 579 w 657"/>
              <a:gd name="T43" fmla="*/ 756 h 801"/>
              <a:gd name="T44" fmla="*/ 555 w 657"/>
              <a:gd name="T45" fmla="*/ 734 h 801"/>
              <a:gd name="T46" fmla="*/ 532 w 657"/>
              <a:gd name="T47" fmla="*/ 711 h 801"/>
              <a:gd name="T48" fmla="*/ 486 w 657"/>
              <a:gd name="T49" fmla="*/ 665 h 801"/>
              <a:gd name="T50" fmla="*/ 442 w 657"/>
              <a:gd name="T51" fmla="*/ 619 h 801"/>
              <a:gd name="T52" fmla="*/ 399 w 657"/>
              <a:gd name="T53" fmla="*/ 573 h 801"/>
              <a:gd name="T54" fmla="*/ 378 w 657"/>
              <a:gd name="T55" fmla="*/ 549 h 801"/>
              <a:gd name="T56" fmla="*/ 357 w 657"/>
              <a:gd name="T57" fmla="*/ 526 h 801"/>
              <a:gd name="T58" fmla="*/ 316 w 657"/>
              <a:gd name="T59" fmla="*/ 478 h 801"/>
              <a:gd name="T60" fmla="*/ 296 w 657"/>
              <a:gd name="T61" fmla="*/ 455 h 801"/>
              <a:gd name="T62" fmla="*/ 276 w 657"/>
              <a:gd name="T63" fmla="*/ 431 h 801"/>
              <a:gd name="T64" fmla="*/ 238 w 657"/>
              <a:gd name="T65" fmla="*/ 382 h 801"/>
              <a:gd name="T66" fmla="*/ 219 w 657"/>
              <a:gd name="T67" fmla="*/ 358 h 801"/>
              <a:gd name="T68" fmla="*/ 200 w 657"/>
              <a:gd name="T69" fmla="*/ 333 h 801"/>
              <a:gd name="T70" fmla="*/ 164 w 657"/>
              <a:gd name="T71" fmla="*/ 285 h 801"/>
              <a:gd name="T72" fmla="*/ 146 w 657"/>
              <a:gd name="T73" fmla="*/ 260 h 801"/>
              <a:gd name="T74" fmla="*/ 129 w 657"/>
              <a:gd name="T75" fmla="*/ 235 h 801"/>
              <a:gd name="T76" fmla="*/ 95 w 657"/>
              <a:gd name="T77" fmla="*/ 186 h 801"/>
              <a:gd name="T78" fmla="*/ 62 w 657"/>
              <a:gd name="T79" fmla="*/ 136 h 801"/>
              <a:gd name="T80" fmla="*/ 31 w 657"/>
              <a:gd name="T81" fmla="*/ 86 h 801"/>
              <a:gd name="T82" fmla="*/ 0 w 657"/>
              <a:gd name="T83" fmla="*/ 35 h 801"/>
              <a:gd name="T84" fmla="*/ 0 w 657"/>
              <a:gd name="T85" fmla="*/ 0 h 801"/>
              <a:gd name="T86" fmla="*/ 4 w 657"/>
              <a:gd name="T87" fmla="*/ 0 h 8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657" h="801">
                <a:moveTo>
                  <a:pt x="4" y="0"/>
                </a:moveTo>
                <a:lnTo>
                  <a:pt x="35" y="53"/>
                </a:lnTo>
                <a:lnTo>
                  <a:pt x="68" y="106"/>
                </a:lnTo>
                <a:lnTo>
                  <a:pt x="101" y="158"/>
                </a:lnTo>
                <a:lnTo>
                  <a:pt x="137" y="210"/>
                </a:lnTo>
                <a:lnTo>
                  <a:pt x="155" y="235"/>
                </a:lnTo>
                <a:lnTo>
                  <a:pt x="173" y="261"/>
                </a:lnTo>
                <a:lnTo>
                  <a:pt x="211" y="312"/>
                </a:lnTo>
                <a:lnTo>
                  <a:pt x="250" y="363"/>
                </a:lnTo>
                <a:lnTo>
                  <a:pt x="290" y="414"/>
                </a:lnTo>
                <a:lnTo>
                  <a:pt x="331" y="464"/>
                </a:lnTo>
                <a:lnTo>
                  <a:pt x="374" y="514"/>
                </a:lnTo>
                <a:lnTo>
                  <a:pt x="418" y="563"/>
                </a:lnTo>
                <a:lnTo>
                  <a:pt x="464" y="611"/>
                </a:lnTo>
                <a:lnTo>
                  <a:pt x="487" y="635"/>
                </a:lnTo>
                <a:lnTo>
                  <a:pt x="510" y="659"/>
                </a:lnTo>
                <a:lnTo>
                  <a:pt x="558" y="707"/>
                </a:lnTo>
                <a:lnTo>
                  <a:pt x="607" y="754"/>
                </a:lnTo>
                <a:lnTo>
                  <a:pt x="632" y="778"/>
                </a:lnTo>
                <a:lnTo>
                  <a:pt x="657" y="801"/>
                </a:lnTo>
                <a:lnTo>
                  <a:pt x="626" y="801"/>
                </a:lnTo>
                <a:lnTo>
                  <a:pt x="579" y="756"/>
                </a:lnTo>
                <a:lnTo>
                  <a:pt x="555" y="734"/>
                </a:lnTo>
                <a:lnTo>
                  <a:pt x="532" y="711"/>
                </a:lnTo>
                <a:lnTo>
                  <a:pt x="486" y="665"/>
                </a:lnTo>
                <a:lnTo>
                  <a:pt x="442" y="619"/>
                </a:lnTo>
                <a:lnTo>
                  <a:pt x="399" y="573"/>
                </a:lnTo>
                <a:lnTo>
                  <a:pt x="378" y="549"/>
                </a:lnTo>
                <a:lnTo>
                  <a:pt x="357" y="526"/>
                </a:lnTo>
                <a:lnTo>
                  <a:pt x="316" y="478"/>
                </a:lnTo>
                <a:lnTo>
                  <a:pt x="296" y="455"/>
                </a:lnTo>
                <a:lnTo>
                  <a:pt x="276" y="431"/>
                </a:lnTo>
                <a:lnTo>
                  <a:pt x="238" y="382"/>
                </a:lnTo>
                <a:lnTo>
                  <a:pt x="219" y="358"/>
                </a:lnTo>
                <a:lnTo>
                  <a:pt x="200" y="333"/>
                </a:lnTo>
                <a:lnTo>
                  <a:pt x="164" y="285"/>
                </a:lnTo>
                <a:lnTo>
                  <a:pt x="146" y="260"/>
                </a:lnTo>
                <a:lnTo>
                  <a:pt x="129" y="235"/>
                </a:lnTo>
                <a:lnTo>
                  <a:pt x="95" y="186"/>
                </a:lnTo>
                <a:lnTo>
                  <a:pt x="62" y="136"/>
                </a:lnTo>
                <a:lnTo>
                  <a:pt x="31" y="86"/>
                </a:lnTo>
                <a:lnTo>
                  <a:pt x="0" y="35"/>
                </a:lnTo>
                <a:lnTo>
                  <a:pt x="0" y="0"/>
                </a:lnTo>
                <a:lnTo>
                  <a:pt x="4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7" name="Freeform 23">
            <a:extLst>
              <a:ext uri="{FF2B5EF4-FFF2-40B4-BE49-F238E27FC236}">
                <a16:creationId xmlns:a16="http://schemas.microsoft.com/office/drawing/2014/main" id="{F81A0D73-CB06-F065-E0AF-E74A21B7B3B7}"/>
              </a:ext>
            </a:extLst>
          </xdr:cNvPr>
          <xdr:cNvSpPr>
            <a:spLocks/>
          </xdr:cNvSpPr>
        </xdr:nvSpPr>
        <xdr:spPr bwMode="auto">
          <a:xfrm>
            <a:off x="1769" y="1761"/>
            <a:ext cx="1036" cy="801"/>
          </a:xfrm>
          <a:custGeom>
            <a:avLst/>
            <a:gdLst>
              <a:gd name="T0" fmla="*/ 50 w 1036"/>
              <a:gd name="T1" fmla="*/ 25 h 801"/>
              <a:gd name="T2" fmla="*/ 95 w 1036"/>
              <a:gd name="T3" fmla="*/ 75 h 801"/>
              <a:gd name="T4" fmla="*/ 166 w 1036"/>
              <a:gd name="T5" fmla="*/ 148 h 801"/>
              <a:gd name="T6" fmla="*/ 215 w 1036"/>
              <a:gd name="T7" fmla="*/ 196 h 801"/>
              <a:gd name="T8" fmla="*/ 267 w 1036"/>
              <a:gd name="T9" fmla="*/ 244 h 801"/>
              <a:gd name="T10" fmla="*/ 319 w 1036"/>
              <a:gd name="T11" fmla="*/ 291 h 801"/>
              <a:gd name="T12" fmla="*/ 374 w 1036"/>
              <a:gd name="T13" fmla="*/ 337 h 801"/>
              <a:gd name="T14" fmla="*/ 509 w 1036"/>
              <a:gd name="T15" fmla="*/ 447 h 801"/>
              <a:gd name="T16" fmla="*/ 624 w 1036"/>
              <a:gd name="T17" fmla="*/ 537 h 801"/>
              <a:gd name="T18" fmla="*/ 698 w 1036"/>
              <a:gd name="T19" fmla="*/ 592 h 801"/>
              <a:gd name="T20" fmla="*/ 772 w 1036"/>
              <a:gd name="T21" fmla="*/ 645 h 801"/>
              <a:gd name="T22" fmla="*/ 827 w 1036"/>
              <a:gd name="T23" fmla="*/ 682 h 801"/>
              <a:gd name="T24" fmla="*/ 864 w 1036"/>
              <a:gd name="T25" fmla="*/ 706 h 801"/>
              <a:gd name="T26" fmla="*/ 920 w 1036"/>
              <a:gd name="T27" fmla="*/ 740 h 801"/>
              <a:gd name="T28" fmla="*/ 997 w 1036"/>
              <a:gd name="T29" fmla="*/ 782 h 801"/>
              <a:gd name="T30" fmla="*/ 1036 w 1036"/>
              <a:gd name="T31" fmla="*/ 801 h 801"/>
              <a:gd name="T32" fmla="*/ 952 w 1036"/>
              <a:gd name="T33" fmla="*/ 782 h 801"/>
              <a:gd name="T34" fmla="*/ 899 w 1036"/>
              <a:gd name="T35" fmla="*/ 751 h 801"/>
              <a:gd name="T36" fmla="*/ 846 w 1036"/>
              <a:gd name="T37" fmla="*/ 719 h 801"/>
              <a:gd name="T38" fmla="*/ 776 w 1036"/>
              <a:gd name="T39" fmla="*/ 673 h 801"/>
              <a:gd name="T40" fmla="*/ 706 w 1036"/>
              <a:gd name="T41" fmla="*/ 624 h 801"/>
              <a:gd name="T42" fmla="*/ 636 w 1036"/>
              <a:gd name="T43" fmla="*/ 572 h 801"/>
              <a:gd name="T44" fmla="*/ 492 w 1036"/>
              <a:gd name="T45" fmla="*/ 460 h 801"/>
              <a:gd name="T46" fmla="*/ 387 w 1036"/>
              <a:gd name="T47" fmla="*/ 375 h 801"/>
              <a:gd name="T48" fmla="*/ 330 w 1036"/>
              <a:gd name="T49" fmla="*/ 327 h 801"/>
              <a:gd name="T50" fmla="*/ 274 w 1036"/>
              <a:gd name="T51" fmla="*/ 279 h 801"/>
              <a:gd name="T52" fmla="*/ 194 w 1036"/>
              <a:gd name="T53" fmla="*/ 205 h 801"/>
              <a:gd name="T54" fmla="*/ 143 w 1036"/>
              <a:gd name="T55" fmla="*/ 155 h 801"/>
              <a:gd name="T56" fmla="*/ 93 w 1036"/>
              <a:gd name="T57" fmla="*/ 104 h 801"/>
              <a:gd name="T58" fmla="*/ 69 w 1036"/>
              <a:gd name="T59" fmla="*/ 78 h 801"/>
              <a:gd name="T60" fmla="*/ 22 w 1036"/>
              <a:gd name="T61" fmla="*/ 26 h 801"/>
              <a:gd name="T62" fmla="*/ 27 w 1036"/>
              <a:gd name="T63" fmla="*/ 0 h 8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1036" h="801">
                <a:moveTo>
                  <a:pt x="27" y="0"/>
                </a:moveTo>
                <a:lnTo>
                  <a:pt x="50" y="25"/>
                </a:lnTo>
                <a:lnTo>
                  <a:pt x="72" y="50"/>
                </a:lnTo>
                <a:lnTo>
                  <a:pt x="95" y="75"/>
                </a:lnTo>
                <a:lnTo>
                  <a:pt x="118" y="99"/>
                </a:lnTo>
                <a:lnTo>
                  <a:pt x="166" y="148"/>
                </a:lnTo>
                <a:lnTo>
                  <a:pt x="191" y="172"/>
                </a:lnTo>
                <a:lnTo>
                  <a:pt x="215" y="196"/>
                </a:lnTo>
                <a:lnTo>
                  <a:pt x="241" y="220"/>
                </a:lnTo>
                <a:lnTo>
                  <a:pt x="267" y="244"/>
                </a:lnTo>
                <a:lnTo>
                  <a:pt x="293" y="267"/>
                </a:lnTo>
                <a:lnTo>
                  <a:pt x="319" y="291"/>
                </a:lnTo>
                <a:lnTo>
                  <a:pt x="346" y="314"/>
                </a:lnTo>
                <a:lnTo>
                  <a:pt x="374" y="337"/>
                </a:lnTo>
                <a:lnTo>
                  <a:pt x="429" y="382"/>
                </a:lnTo>
                <a:lnTo>
                  <a:pt x="509" y="447"/>
                </a:lnTo>
                <a:lnTo>
                  <a:pt x="586" y="508"/>
                </a:lnTo>
                <a:lnTo>
                  <a:pt x="624" y="537"/>
                </a:lnTo>
                <a:lnTo>
                  <a:pt x="661" y="565"/>
                </a:lnTo>
                <a:lnTo>
                  <a:pt x="698" y="592"/>
                </a:lnTo>
                <a:lnTo>
                  <a:pt x="735" y="619"/>
                </a:lnTo>
                <a:lnTo>
                  <a:pt x="772" y="645"/>
                </a:lnTo>
                <a:lnTo>
                  <a:pt x="809" y="670"/>
                </a:lnTo>
                <a:lnTo>
                  <a:pt x="827" y="682"/>
                </a:lnTo>
                <a:lnTo>
                  <a:pt x="846" y="694"/>
                </a:lnTo>
                <a:lnTo>
                  <a:pt x="864" y="706"/>
                </a:lnTo>
                <a:lnTo>
                  <a:pt x="883" y="717"/>
                </a:lnTo>
                <a:lnTo>
                  <a:pt x="920" y="740"/>
                </a:lnTo>
                <a:lnTo>
                  <a:pt x="958" y="761"/>
                </a:lnTo>
                <a:lnTo>
                  <a:pt x="997" y="782"/>
                </a:lnTo>
                <a:lnTo>
                  <a:pt x="1016" y="791"/>
                </a:lnTo>
                <a:lnTo>
                  <a:pt x="1036" y="801"/>
                </a:lnTo>
                <a:lnTo>
                  <a:pt x="989" y="801"/>
                </a:lnTo>
                <a:lnTo>
                  <a:pt x="952" y="782"/>
                </a:lnTo>
                <a:lnTo>
                  <a:pt x="916" y="762"/>
                </a:lnTo>
                <a:lnTo>
                  <a:pt x="899" y="751"/>
                </a:lnTo>
                <a:lnTo>
                  <a:pt x="881" y="741"/>
                </a:lnTo>
                <a:lnTo>
                  <a:pt x="846" y="719"/>
                </a:lnTo>
                <a:lnTo>
                  <a:pt x="811" y="696"/>
                </a:lnTo>
                <a:lnTo>
                  <a:pt x="776" y="673"/>
                </a:lnTo>
                <a:lnTo>
                  <a:pt x="741" y="649"/>
                </a:lnTo>
                <a:lnTo>
                  <a:pt x="706" y="624"/>
                </a:lnTo>
                <a:lnTo>
                  <a:pt x="671" y="599"/>
                </a:lnTo>
                <a:lnTo>
                  <a:pt x="636" y="572"/>
                </a:lnTo>
                <a:lnTo>
                  <a:pt x="565" y="518"/>
                </a:lnTo>
                <a:lnTo>
                  <a:pt x="492" y="460"/>
                </a:lnTo>
                <a:lnTo>
                  <a:pt x="416" y="399"/>
                </a:lnTo>
                <a:lnTo>
                  <a:pt x="387" y="375"/>
                </a:lnTo>
                <a:lnTo>
                  <a:pt x="358" y="351"/>
                </a:lnTo>
                <a:lnTo>
                  <a:pt x="330" y="327"/>
                </a:lnTo>
                <a:lnTo>
                  <a:pt x="302" y="303"/>
                </a:lnTo>
                <a:lnTo>
                  <a:pt x="274" y="279"/>
                </a:lnTo>
                <a:lnTo>
                  <a:pt x="247" y="254"/>
                </a:lnTo>
                <a:lnTo>
                  <a:pt x="194" y="205"/>
                </a:lnTo>
                <a:lnTo>
                  <a:pt x="168" y="180"/>
                </a:lnTo>
                <a:lnTo>
                  <a:pt x="143" y="155"/>
                </a:lnTo>
                <a:lnTo>
                  <a:pt x="118" y="129"/>
                </a:lnTo>
                <a:lnTo>
                  <a:pt x="93" y="104"/>
                </a:lnTo>
                <a:lnTo>
                  <a:pt x="81" y="91"/>
                </a:lnTo>
                <a:lnTo>
                  <a:pt x="69" y="78"/>
                </a:lnTo>
                <a:lnTo>
                  <a:pt x="46" y="52"/>
                </a:lnTo>
                <a:lnTo>
                  <a:pt x="22" y="26"/>
                </a:lnTo>
                <a:lnTo>
                  <a:pt x="0" y="0"/>
                </a:lnTo>
                <a:lnTo>
                  <a:pt x="27" y="0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8" name="Freeform 24">
            <a:extLst>
              <a:ext uri="{FF2B5EF4-FFF2-40B4-BE49-F238E27FC236}">
                <a16:creationId xmlns:a16="http://schemas.microsoft.com/office/drawing/2014/main" id="{F7FFACA9-6A96-8EB1-802E-533F341B893C}"/>
              </a:ext>
            </a:extLst>
          </xdr:cNvPr>
          <xdr:cNvSpPr>
            <a:spLocks/>
          </xdr:cNvSpPr>
        </xdr:nvSpPr>
        <xdr:spPr bwMode="auto">
          <a:xfrm>
            <a:off x="4868" y="2310"/>
            <a:ext cx="349" cy="252"/>
          </a:xfrm>
          <a:custGeom>
            <a:avLst/>
            <a:gdLst>
              <a:gd name="T0" fmla="*/ 0 w 349"/>
              <a:gd name="T1" fmla="*/ 252 h 252"/>
              <a:gd name="T2" fmla="*/ 32 w 349"/>
              <a:gd name="T3" fmla="*/ 233 h 252"/>
              <a:gd name="T4" fmla="*/ 65 w 349"/>
              <a:gd name="T5" fmla="*/ 213 h 252"/>
              <a:gd name="T6" fmla="*/ 105 w 349"/>
              <a:gd name="T7" fmla="*/ 188 h 252"/>
              <a:gd name="T8" fmla="*/ 144 w 349"/>
              <a:gd name="T9" fmla="*/ 162 h 252"/>
              <a:gd name="T10" fmla="*/ 163 w 349"/>
              <a:gd name="T11" fmla="*/ 149 h 252"/>
              <a:gd name="T12" fmla="*/ 181 w 349"/>
              <a:gd name="T13" fmla="*/ 136 h 252"/>
              <a:gd name="T14" fmla="*/ 199 w 349"/>
              <a:gd name="T15" fmla="*/ 123 h 252"/>
              <a:gd name="T16" fmla="*/ 217 w 349"/>
              <a:gd name="T17" fmla="*/ 109 h 252"/>
              <a:gd name="T18" fmla="*/ 252 w 349"/>
              <a:gd name="T19" fmla="*/ 83 h 252"/>
              <a:gd name="T20" fmla="*/ 269 w 349"/>
              <a:gd name="T21" fmla="*/ 69 h 252"/>
              <a:gd name="T22" fmla="*/ 277 w 349"/>
              <a:gd name="T23" fmla="*/ 62 h 252"/>
              <a:gd name="T24" fmla="*/ 286 w 349"/>
              <a:gd name="T25" fmla="*/ 55 h 252"/>
              <a:gd name="T26" fmla="*/ 302 w 349"/>
              <a:gd name="T27" fmla="*/ 42 h 252"/>
              <a:gd name="T28" fmla="*/ 318 w 349"/>
              <a:gd name="T29" fmla="*/ 28 h 252"/>
              <a:gd name="T30" fmla="*/ 349 w 349"/>
              <a:gd name="T31" fmla="*/ 0 h 252"/>
              <a:gd name="T32" fmla="*/ 349 w 349"/>
              <a:gd name="T33" fmla="*/ 28 h 252"/>
              <a:gd name="T34" fmla="*/ 319 w 349"/>
              <a:gd name="T35" fmla="*/ 55 h 252"/>
              <a:gd name="T36" fmla="*/ 288 w 349"/>
              <a:gd name="T37" fmla="*/ 81 h 252"/>
              <a:gd name="T38" fmla="*/ 272 w 349"/>
              <a:gd name="T39" fmla="*/ 94 h 252"/>
              <a:gd name="T40" fmla="*/ 255 w 349"/>
              <a:gd name="T41" fmla="*/ 107 h 252"/>
              <a:gd name="T42" fmla="*/ 222 w 349"/>
              <a:gd name="T43" fmla="*/ 132 h 252"/>
              <a:gd name="T44" fmla="*/ 187 w 349"/>
              <a:gd name="T45" fmla="*/ 158 h 252"/>
              <a:gd name="T46" fmla="*/ 152 w 349"/>
              <a:gd name="T47" fmla="*/ 182 h 252"/>
              <a:gd name="T48" fmla="*/ 115 w 349"/>
              <a:gd name="T49" fmla="*/ 207 h 252"/>
              <a:gd name="T50" fmla="*/ 77 w 349"/>
              <a:gd name="T51" fmla="*/ 231 h 252"/>
              <a:gd name="T52" fmla="*/ 59 w 349"/>
              <a:gd name="T53" fmla="*/ 242 h 252"/>
              <a:gd name="T54" fmla="*/ 42 w 349"/>
              <a:gd name="T55" fmla="*/ 252 h 252"/>
              <a:gd name="T56" fmla="*/ 0 w 349"/>
              <a:gd name="T57" fmla="*/ 252 h 2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</a:cxnLst>
            <a:rect l="0" t="0" r="r" b="b"/>
            <a:pathLst>
              <a:path w="349" h="252">
                <a:moveTo>
                  <a:pt x="0" y="252"/>
                </a:moveTo>
                <a:lnTo>
                  <a:pt x="32" y="233"/>
                </a:lnTo>
                <a:lnTo>
                  <a:pt x="65" y="213"/>
                </a:lnTo>
                <a:lnTo>
                  <a:pt x="105" y="188"/>
                </a:lnTo>
                <a:lnTo>
                  <a:pt x="144" y="162"/>
                </a:lnTo>
                <a:lnTo>
                  <a:pt x="163" y="149"/>
                </a:lnTo>
                <a:lnTo>
                  <a:pt x="181" y="136"/>
                </a:lnTo>
                <a:lnTo>
                  <a:pt x="199" y="123"/>
                </a:lnTo>
                <a:lnTo>
                  <a:pt x="217" y="109"/>
                </a:lnTo>
                <a:lnTo>
                  <a:pt x="252" y="83"/>
                </a:lnTo>
                <a:lnTo>
                  <a:pt x="269" y="69"/>
                </a:lnTo>
                <a:lnTo>
                  <a:pt x="277" y="62"/>
                </a:lnTo>
                <a:lnTo>
                  <a:pt x="286" y="55"/>
                </a:lnTo>
                <a:lnTo>
                  <a:pt x="302" y="42"/>
                </a:lnTo>
                <a:lnTo>
                  <a:pt x="318" y="28"/>
                </a:lnTo>
                <a:lnTo>
                  <a:pt x="349" y="0"/>
                </a:lnTo>
                <a:lnTo>
                  <a:pt x="349" y="28"/>
                </a:lnTo>
                <a:lnTo>
                  <a:pt x="319" y="55"/>
                </a:lnTo>
                <a:lnTo>
                  <a:pt x="288" y="81"/>
                </a:lnTo>
                <a:lnTo>
                  <a:pt x="272" y="94"/>
                </a:lnTo>
                <a:lnTo>
                  <a:pt x="255" y="107"/>
                </a:lnTo>
                <a:lnTo>
                  <a:pt x="222" y="132"/>
                </a:lnTo>
                <a:lnTo>
                  <a:pt x="187" y="158"/>
                </a:lnTo>
                <a:lnTo>
                  <a:pt x="152" y="182"/>
                </a:lnTo>
                <a:lnTo>
                  <a:pt x="115" y="207"/>
                </a:lnTo>
                <a:lnTo>
                  <a:pt x="77" y="231"/>
                </a:lnTo>
                <a:lnTo>
                  <a:pt x="59" y="242"/>
                </a:lnTo>
                <a:lnTo>
                  <a:pt x="42" y="252"/>
                </a:lnTo>
                <a:lnTo>
                  <a:pt x="0" y="252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622935</xdr:colOff>
      <xdr:row>45</xdr:row>
      <xdr:rowOff>180975</xdr:rowOff>
    </xdr:from>
    <xdr:to>
      <xdr:col>9</xdr:col>
      <xdr:colOff>447675</xdr:colOff>
      <xdr:row>46</xdr:row>
      <xdr:rowOff>180975</xdr:rowOff>
    </xdr:to>
    <xdr:sp macro="" textlink="">
      <xdr:nvSpPr>
        <xdr:cNvPr id="27675" name="Rectangle 27">
          <a:extLst>
            <a:ext uri="{FF2B5EF4-FFF2-40B4-BE49-F238E27FC236}">
              <a16:creationId xmlns:a16="http://schemas.microsoft.com/office/drawing/2014/main" id="{F98A4D00-ABDD-B7C3-480F-4A90940D7248}"/>
            </a:ext>
          </a:extLst>
        </xdr:cNvPr>
        <xdr:cNvSpPr>
          <a:spLocks noChangeArrowheads="1"/>
        </xdr:cNvSpPr>
      </xdr:nvSpPr>
      <xdr:spPr bwMode="auto">
        <a:xfrm>
          <a:off x="3890010" y="8886825"/>
          <a:ext cx="3749040" cy="1905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38</xdr:row>
          <xdr:rowOff>200025</xdr:rowOff>
        </xdr:from>
        <xdr:to>
          <xdr:col>9</xdr:col>
          <xdr:colOff>1924050</xdr:colOff>
          <xdr:row>40</xdr:row>
          <xdr:rowOff>95250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captadores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51</xdr:row>
          <xdr:rowOff>171450</xdr:rowOff>
        </xdr:from>
        <xdr:to>
          <xdr:col>9</xdr:col>
          <xdr:colOff>1028700</xdr:colOff>
          <xdr:row>53</xdr:row>
          <xdr:rowOff>104775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superficie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381000</xdr:colOff>
      <xdr:row>74</xdr:row>
      <xdr:rowOff>114300</xdr:rowOff>
    </xdr:from>
    <xdr:to>
      <xdr:col>11</xdr:col>
      <xdr:colOff>22860</xdr:colOff>
      <xdr:row>90</xdr:row>
      <xdr:rowOff>0</xdr:rowOff>
    </xdr:to>
    <xdr:graphicFrame macro="">
      <xdr:nvGraphicFramePr>
        <xdr:cNvPr id="27659" name="Gráfico 11">
          <a:extLst>
            <a:ext uri="{FF2B5EF4-FFF2-40B4-BE49-F238E27FC236}">
              <a16:creationId xmlns:a16="http://schemas.microsoft.com/office/drawing/2014/main" id="{D5BD7B8F-A45A-B021-3BFB-2D2D5A0ECF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41</xdr:row>
          <xdr:rowOff>114300</xdr:rowOff>
        </xdr:from>
        <xdr:to>
          <xdr:col>9</xdr:col>
          <xdr:colOff>1924050</xdr:colOff>
          <xdr:row>43</xdr:row>
          <xdr:rowOff>38100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1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Editar tabla captadores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3</xdr:row>
          <xdr:rowOff>142875</xdr:rowOff>
        </xdr:from>
        <xdr:to>
          <xdr:col>9</xdr:col>
          <xdr:colOff>371475</xdr:colOff>
          <xdr:row>5</xdr:row>
          <xdr:rowOff>19050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provincia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6</xdr:row>
          <xdr:rowOff>142875</xdr:rowOff>
        </xdr:from>
        <xdr:to>
          <xdr:col>9</xdr:col>
          <xdr:colOff>371475</xdr:colOff>
          <xdr:row>7</xdr:row>
          <xdr:rowOff>180975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inclinación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46</xdr:row>
          <xdr:rowOff>180975</xdr:rowOff>
        </xdr:from>
        <xdr:to>
          <xdr:col>7</xdr:col>
          <xdr:colOff>542925</xdr:colOff>
          <xdr:row>47</xdr:row>
          <xdr:rowOff>190500</xdr:rowOff>
        </xdr:to>
        <xdr:sp macro="" textlink="">
          <xdr:nvSpPr>
            <xdr:cNvPr id="26695" name="Drop Dow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2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38913" name="Check Box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38914" name="Check Box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47625</xdr:rowOff>
        </xdr:from>
        <xdr:to>
          <xdr:col>8</xdr:col>
          <xdr:colOff>66675</xdr:colOff>
          <xdr:row>10</xdr:row>
          <xdr:rowOff>9525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3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6</xdr:col>
          <xdr:colOff>0</xdr:colOff>
          <xdr:row>23</xdr:row>
          <xdr:rowOff>219075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3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38917" name="Drop Dow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3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6</xdr:col>
          <xdr:colOff>0</xdr:colOff>
          <xdr:row>24</xdr:row>
          <xdr:rowOff>219075</xdr:rowOff>
        </xdr:to>
        <xdr:sp macro="" textlink="">
          <xdr:nvSpPr>
            <xdr:cNvPr id="38918" name="Drop Dow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38919" name="Drop Dow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6</xdr:col>
          <xdr:colOff>0</xdr:colOff>
          <xdr:row>25</xdr:row>
          <xdr:rowOff>219075</xdr:rowOff>
        </xdr:to>
        <xdr:sp macro="" textlink="">
          <xdr:nvSpPr>
            <xdr:cNvPr id="38920" name="Drop Dow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3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38921" name="Drop Dow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3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6</xdr:col>
          <xdr:colOff>0</xdr:colOff>
          <xdr:row>26</xdr:row>
          <xdr:rowOff>219075</xdr:rowOff>
        </xdr:to>
        <xdr:sp macro="" textlink="">
          <xdr:nvSpPr>
            <xdr:cNvPr id="38922" name="Drop Dow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3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38923" name="Drop Dow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3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38924" name="Drop Dow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3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38925" name="Drop Dow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3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38926" name="Drop Dow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3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38927" name="Drop Dow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3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38928" name="Drop Dow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3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38929" name="Drop Dow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3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38930" name="Drop Dow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3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38931" name="Drop Dow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3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38932" name="Drop Dow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3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38933" name="Drop Dow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3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38934" name="Drop Dow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3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38935" name="Drop Dow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3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38936" name="Drop Dow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3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38937" name="Drop Dow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3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38938" name="Drop Dow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3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38939" name="Drop Dow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3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8</xdr:row>
          <xdr:rowOff>47625</xdr:rowOff>
        </xdr:from>
        <xdr:to>
          <xdr:col>8</xdr:col>
          <xdr:colOff>66675</xdr:colOff>
          <xdr:row>9</xdr:row>
          <xdr:rowOff>9525</xdr:rowOff>
        </xdr:to>
        <xdr:sp macro="" textlink="">
          <xdr:nvSpPr>
            <xdr:cNvPr id="38940" name="Drop Dow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3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38941" name="Line 29">
          <a:extLst>
            <a:ext uri="{FF2B5EF4-FFF2-40B4-BE49-F238E27FC236}">
              <a16:creationId xmlns:a16="http://schemas.microsoft.com/office/drawing/2014/main" id="{39BDB084-548D-0461-5CFF-0600FEFE0E25}"/>
            </a:ext>
          </a:extLst>
        </xdr:cNvPr>
        <xdr:cNvSpPr>
          <a:spLocks noChangeShapeType="1"/>
        </xdr:cNvSpPr>
      </xdr:nvSpPr>
      <xdr:spPr bwMode="auto">
        <a:xfrm flipH="1">
          <a:off x="24993600" y="95326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6</xdr:col>
          <xdr:colOff>0</xdr:colOff>
          <xdr:row>27</xdr:row>
          <xdr:rowOff>219075</xdr:rowOff>
        </xdr:to>
        <xdr:sp macro="" textlink="">
          <xdr:nvSpPr>
            <xdr:cNvPr id="38942" name="Drop Dow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3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38943" name="Drop Dow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3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38944" name="Drop Dow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3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38945" name="Drop Dow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3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38946" name="Drop Dow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3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38947" name="Drop Dow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3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6</xdr:col>
          <xdr:colOff>0</xdr:colOff>
          <xdr:row>28</xdr:row>
          <xdr:rowOff>219075</xdr:rowOff>
        </xdr:to>
        <xdr:sp macro="" textlink="">
          <xdr:nvSpPr>
            <xdr:cNvPr id="38948" name="Drop Dow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3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38949" name="Drop Dow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3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38950" name="Drop Dow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3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38951" name="Drop Dow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3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38952" name="Drop Dow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3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38953" name="Drop Dow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3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6</xdr:col>
          <xdr:colOff>0</xdr:colOff>
          <xdr:row>29</xdr:row>
          <xdr:rowOff>219075</xdr:rowOff>
        </xdr:to>
        <xdr:sp macro="" textlink="">
          <xdr:nvSpPr>
            <xdr:cNvPr id="38954" name="Drop Dow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3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38955" name="Drop Dow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3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6</xdr:col>
          <xdr:colOff>0</xdr:colOff>
          <xdr:row>30</xdr:row>
          <xdr:rowOff>219075</xdr:rowOff>
        </xdr:to>
        <xdr:sp macro="" textlink="">
          <xdr:nvSpPr>
            <xdr:cNvPr id="38956" name="Drop Dow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3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38957" name="Drop Dow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3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38958" name="Drop Dow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3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38959" name="Drop Dow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3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6</xdr:col>
          <xdr:colOff>0</xdr:colOff>
          <xdr:row>32</xdr:row>
          <xdr:rowOff>219075</xdr:rowOff>
        </xdr:to>
        <xdr:sp macro="" textlink="">
          <xdr:nvSpPr>
            <xdr:cNvPr id="38960" name="Drop Dow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3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38961" name="Drop Dow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3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38962" name="Drop Dow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3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38963" name="Drop Dow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3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38964" name="Drop Dow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3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38965" name="Drop Dow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3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38966" name="Drop Dow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3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38967" name="Drop Dow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3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38968" name="Drop Dow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3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38969" name="Drop Dow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3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38970" name="Drop Dow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3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38971" name="Drop Dow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3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38972" name="Drop Dow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3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38973" name="Drop Dow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3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38974" name="Drop Dow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3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38975" name="Drop Dow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3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38976" name="Drop Dow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3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38977" name="Drop Dow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3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6</xdr:col>
          <xdr:colOff>0</xdr:colOff>
          <xdr:row>33</xdr:row>
          <xdr:rowOff>219075</xdr:rowOff>
        </xdr:to>
        <xdr:sp macro="" textlink="">
          <xdr:nvSpPr>
            <xdr:cNvPr id="38978" name="Drop Dow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3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38979" name="Drop Dow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3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38980" name="Drop Dow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3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38981" name="Drop Dow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3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38982" name="Drop Dow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3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38983" name="Drop Dow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3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38984" name="Drop Dow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3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38985" name="Drop Dow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3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38986" name="Drop Dow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3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38987" name="Drop Dow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3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38988" name="Drop Dow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3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38989" name="Drop Dow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3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6</xdr:col>
          <xdr:colOff>0</xdr:colOff>
          <xdr:row>35</xdr:row>
          <xdr:rowOff>219075</xdr:rowOff>
        </xdr:to>
        <xdr:sp macro="" textlink="">
          <xdr:nvSpPr>
            <xdr:cNvPr id="38990" name="Drop Dow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3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38991" name="Drop Dow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3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38992" name="Drop Dow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3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38993" name="Drop Dow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3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38994" name="Drop Dow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3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38995" name="Drop Dow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3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6</xdr:col>
          <xdr:colOff>0</xdr:colOff>
          <xdr:row>36</xdr:row>
          <xdr:rowOff>219075</xdr:rowOff>
        </xdr:to>
        <xdr:sp macro="" textlink="">
          <xdr:nvSpPr>
            <xdr:cNvPr id="38996" name="Drop Dow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3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8997" name="Drop Dow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3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8998" name="Drop Dow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3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8999" name="Drop Dow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3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9000" name="Drop Dow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3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9001" name="Drop Dow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3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6</xdr:col>
          <xdr:colOff>0</xdr:colOff>
          <xdr:row>36</xdr:row>
          <xdr:rowOff>219075</xdr:rowOff>
        </xdr:to>
        <xdr:sp macro="" textlink="">
          <xdr:nvSpPr>
            <xdr:cNvPr id="39002" name="Drop Dow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3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9003" name="Drop Dow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3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9004" name="Drop Dow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3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9005" name="Drop Dow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3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9006" name="Drop Dow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3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9007" name="Drop Dow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3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39008" name="Drop Dow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3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39009" name="Drop Dow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3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39010" name="Drop Dow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3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39011" name="Drop Dow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3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39012" name="Drop Dow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3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39013" name="Drop Dow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3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6</xdr:col>
          <xdr:colOff>0</xdr:colOff>
          <xdr:row>38</xdr:row>
          <xdr:rowOff>219075</xdr:rowOff>
        </xdr:to>
        <xdr:sp macro="" textlink="">
          <xdr:nvSpPr>
            <xdr:cNvPr id="39014" name="Drop Dow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3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39015" name="Drop Dow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3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39016" name="Drop Dow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3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39017" name="Drop Dow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3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39018" name="Drop Dow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3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39019" name="Drop Dow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3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39020" name="Check Box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3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39021" name="Check Box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3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742950</xdr:colOff>
          <xdr:row>25</xdr:row>
          <xdr:rowOff>219075</xdr:rowOff>
        </xdr:to>
        <xdr:sp macro="" textlink="">
          <xdr:nvSpPr>
            <xdr:cNvPr id="39022" name="Check Box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3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39023" name="Check Box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3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742950</xdr:colOff>
          <xdr:row>27</xdr:row>
          <xdr:rowOff>219075</xdr:rowOff>
        </xdr:to>
        <xdr:sp macro="" textlink="">
          <xdr:nvSpPr>
            <xdr:cNvPr id="39024" name="Check Box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3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39025" name="Check Box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3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742950</xdr:colOff>
          <xdr:row>29</xdr:row>
          <xdr:rowOff>219075</xdr:rowOff>
        </xdr:to>
        <xdr:sp macro="" textlink="">
          <xdr:nvSpPr>
            <xdr:cNvPr id="39026" name="Check Box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3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742950</xdr:colOff>
          <xdr:row>31</xdr:row>
          <xdr:rowOff>0</xdr:rowOff>
        </xdr:to>
        <xdr:sp macro="" textlink="">
          <xdr:nvSpPr>
            <xdr:cNvPr id="39027" name="Check Box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3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742950</xdr:colOff>
          <xdr:row>31</xdr:row>
          <xdr:rowOff>219075</xdr:rowOff>
        </xdr:to>
        <xdr:sp macro="" textlink="">
          <xdr:nvSpPr>
            <xdr:cNvPr id="39028" name="Check Box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3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742950</xdr:colOff>
          <xdr:row>33</xdr:row>
          <xdr:rowOff>0</xdr:rowOff>
        </xdr:to>
        <xdr:sp macro="" textlink="">
          <xdr:nvSpPr>
            <xdr:cNvPr id="39029" name="Check Box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3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742950</xdr:colOff>
          <xdr:row>33</xdr:row>
          <xdr:rowOff>219075</xdr:rowOff>
        </xdr:to>
        <xdr:sp macro="" textlink="">
          <xdr:nvSpPr>
            <xdr:cNvPr id="39030" name="Check Box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3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39031" name="Check Box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3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742950</xdr:colOff>
          <xdr:row>35</xdr:row>
          <xdr:rowOff>219075</xdr:rowOff>
        </xdr:to>
        <xdr:sp macro="" textlink="">
          <xdr:nvSpPr>
            <xdr:cNvPr id="39032" name="Check Box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3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742950</xdr:colOff>
          <xdr:row>36</xdr:row>
          <xdr:rowOff>219075</xdr:rowOff>
        </xdr:to>
        <xdr:sp macro="" textlink="">
          <xdr:nvSpPr>
            <xdr:cNvPr id="39033" name="Check Box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3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742950</xdr:colOff>
          <xdr:row>37</xdr:row>
          <xdr:rowOff>219075</xdr:rowOff>
        </xdr:to>
        <xdr:sp macro="" textlink="">
          <xdr:nvSpPr>
            <xdr:cNvPr id="39034" name="Check Box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3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742950</xdr:colOff>
          <xdr:row>38</xdr:row>
          <xdr:rowOff>200025</xdr:rowOff>
        </xdr:to>
        <xdr:sp macro="" textlink="">
          <xdr:nvSpPr>
            <xdr:cNvPr id="39035" name="Check Box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3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39036" name="Check Box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3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39037" name="Check Box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3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39038" name="Check Box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3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200025</xdr:rowOff>
        </xdr:from>
        <xdr:to>
          <xdr:col>3</xdr:col>
          <xdr:colOff>742950</xdr:colOff>
          <xdr:row>27</xdr:row>
          <xdr:rowOff>200025</xdr:rowOff>
        </xdr:to>
        <xdr:sp macro="" textlink="">
          <xdr:nvSpPr>
            <xdr:cNvPr id="39039" name="Check Box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3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39040" name="Check Box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3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200025</xdr:rowOff>
        </xdr:from>
        <xdr:to>
          <xdr:col>3</xdr:col>
          <xdr:colOff>742950</xdr:colOff>
          <xdr:row>29</xdr:row>
          <xdr:rowOff>200025</xdr:rowOff>
        </xdr:to>
        <xdr:sp macro="" textlink="">
          <xdr:nvSpPr>
            <xdr:cNvPr id="39041" name="Check Box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3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200025</xdr:rowOff>
        </xdr:from>
        <xdr:to>
          <xdr:col>3</xdr:col>
          <xdr:colOff>742950</xdr:colOff>
          <xdr:row>30</xdr:row>
          <xdr:rowOff>200025</xdr:rowOff>
        </xdr:to>
        <xdr:sp macro="" textlink="">
          <xdr:nvSpPr>
            <xdr:cNvPr id="39042" name="Check Box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3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39043" name="Check Box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3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200025</xdr:rowOff>
        </xdr:from>
        <xdr:to>
          <xdr:col>3</xdr:col>
          <xdr:colOff>742950</xdr:colOff>
          <xdr:row>32</xdr:row>
          <xdr:rowOff>200025</xdr:rowOff>
        </xdr:to>
        <xdr:sp macro="" textlink="">
          <xdr:nvSpPr>
            <xdr:cNvPr id="39044" name="Check Box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3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200025</xdr:rowOff>
        </xdr:from>
        <xdr:to>
          <xdr:col>3</xdr:col>
          <xdr:colOff>742950</xdr:colOff>
          <xdr:row>33</xdr:row>
          <xdr:rowOff>200025</xdr:rowOff>
        </xdr:to>
        <xdr:sp macro="" textlink="">
          <xdr:nvSpPr>
            <xdr:cNvPr id="39045" name="Check Box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3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39046" name="Check Box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3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200025</xdr:rowOff>
        </xdr:from>
        <xdr:to>
          <xdr:col>3</xdr:col>
          <xdr:colOff>742950</xdr:colOff>
          <xdr:row>35</xdr:row>
          <xdr:rowOff>200025</xdr:rowOff>
        </xdr:to>
        <xdr:sp macro="" textlink="">
          <xdr:nvSpPr>
            <xdr:cNvPr id="39047" name="Check Box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3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200025</xdr:rowOff>
        </xdr:from>
        <xdr:to>
          <xdr:col>3</xdr:col>
          <xdr:colOff>742950</xdr:colOff>
          <xdr:row>36</xdr:row>
          <xdr:rowOff>200025</xdr:rowOff>
        </xdr:to>
        <xdr:sp macro="" textlink="">
          <xdr:nvSpPr>
            <xdr:cNvPr id="39048" name="Check Box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3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200025</xdr:rowOff>
        </xdr:from>
        <xdr:to>
          <xdr:col>3</xdr:col>
          <xdr:colOff>742950</xdr:colOff>
          <xdr:row>37</xdr:row>
          <xdr:rowOff>200025</xdr:rowOff>
        </xdr:to>
        <xdr:sp macro="" textlink="">
          <xdr:nvSpPr>
            <xdr:cNvPr id="39049" name="Check Box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3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39</xdr:row>
          <xdr:rowOff>219075</xdr:rowOff>
        </xdr:from>
        <xdr:to>
          <xdr:col>10</xdr:col>
          <xdr:colOff>104775</xdr:colOff>
          <xdr:row>41</xdr:row>
          <xdr:rowOff>28575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3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</xdr:row>
          <xdr:rowOff>47625</xdr:rowOff>
        </xdr:from>
        <xdr:to>
          <xdr:col>8</xdr:col>
          <xdr:colOff>200025</xdr:colOff>
          <xdr:row>10</xdr:row>
          <xdr:rowOff>9525</xdr:rowOff>
        </xdr:to>
        <xdr:sp macro="" textlink="">
          <xdr:nvSpPr>
            <xdr:cNvPr id="40961" name="Drop Dow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23</xdr:row>
          <xdr:rowOff>9525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40962" name="Drop Dow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23</xdr:row>
          <xdr:rowOff>0</xdr:rowOff>
        </xdr:from>
        <xdr:to>
          <xdr:col>11</xdr:col>
          <xdr:colOff>200025</xdr:colOff>
          <xdr:row>24</xdr:row>
          <xdr:rowOff>0</xdr:rowOff>
        </xdr:to>
        <xdr:sp macro="" textlink="">
          <xdr:nvSpPr>
            <xdr:cNvPr id="40963" name="Drop Dow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4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40964" name="Drop Dow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4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24</xdr:row>
          <xdr:rowOff>0</xdr:rowOff>
        </xdr:from>
        <xdr:to>
          <xdr:col>11</xdr:col>
          <xdr:colOff>200025</xdr:colOff>
          <xdr:row>25</xdr:row>
          <xdr:rowOff>0</xdr:rowOff>
        </xdr:to>
        <xdr:sp macro="" textlink="">
          <xdr:nvSpPr>
            <xdr:cNvPr id="40965" name="Drop Dow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4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25</xdr:row>
          <xdr:rowOff>9525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40966" name="Drop Dow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4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25</xdr:row>
          <xdr:rowOff>0</xdr:rowOff>
        </xdr:from>
        <xdr:to>
          <xdr:col>11</xdr:col>
          <xdr:colOff>200025</xdr:colOff>
          <xdr:row>26</xdr:row>
          <xdr:rowOff>0</xdr:rowOff>
        </xdr:to>
        <xdr:sp macro="" textlink="">
          <xdr:nvSpPr>
            <xdr:cNvPr id="40967" name="Drop Dow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4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26</xdr:row>
          <xdr:rowOff>9525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40968" name="Drop Dow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4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26</xdr:row>
          <xdr:rowOff>0</xdr:rowOff>
        </xdr:from>
        <xdr:to>
          <xdr:col>11</xdr:col>
          <xdr:colOff>200025</xdr:colOff>
          <xdr:row>27</xdr:row>
          <xdr:rowOff>0</xdr:rowOff>
        </xdr:to>
        <xdr:sp macro="" textlink="">
          <xdr:nvSpPr>
            <xdr:cNvPr id="40969" name="Drop Dow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4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23</xdr:row>
          <xdr:rowOff>0</xdr:rowOff>
        </xdr:from>
        <xdr:to>
          <xdr:col>13</xdr:col>
          <xdr:colOff>361950</xdr:colOff>
          <xdr:row>24</xdr:row>
          <xdr:rowOff>0</xdr:rowOff>
        </xdr:to>
        <xdr:sp macro="" textlink="">
          <xdr:nvSpPr>
            <xdr:cNvPr id="40970" name="Drop Dow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4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24</xdr:row>
          <xdr:rowOff>0</xdr:rowOff>
        </xdr:from>
        <xdr:to>
          <xdr:col>13</xdr:col>
          <xdr:colOff>361950</xdr:colOff>
          <xdr:row>25</xdr:row>
          <xdr:rowOff>0</xdr:rowOff>
        </xdr:to>
        <xdr:sp macro="" textlink="">
          <xdr:nvSpPr>
            <xdr:cNvPr id="40971" name="Drop Dow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4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25</xdr:row>
          <xdr:rowOff>0</xdr:rowOff>
        </xdr:from>
        <xdr:to>
          <xdr:col>13</xdr:col>
          <xdr:colOff>361950</xdr:colOff>
          <xdr:row>26</xdr:row>
          <xdr:rowOff>0</xdr:rowOff>
        </xdr:to>
        <xdr:sp macro="" textlink="">
          <xdr:nvSpPr>
            <xdr:cNvPr id="40972" name="Drop Dow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4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26</xdr:row>
          <xdr:rowOff>0</xdr:rowOff>
        </xdr:from>
        <xdr:to>
          <xdr:col>13</xdr:col>
          <xdr:colOff>361950</xdr:colOff>
          <xdr:row>27</xdr:row>
          <xdr:rowOff>0</xdr:rowOff>
        </xdr:to>
        <xdr:sp macro="" textlink="">
          <xdr:nvSpPr>
            <xdr:cNvPr id="40973" name="Drop Dow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4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23</xdr:row>
          <xdr:rowOff>0</xdr:rowOff>
        </xdr:from>
        <xdr:to>
          <xdr:col>15</xdr:col>
          <xdr:colOff>200025</xdr:colOff>
          <xdr:row>24</xdr:row>
          <xdr:rowOff>0</xdr:rowOff>
        </xdr:to>
        <xdr:sp macro="" textlink="">
          <xdr:nvSpPr>
            <xdr:cNvPr id="40974" name="Drop Dow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4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24</xdr:row>
          <xdr:rowOff>0</xdr:rowOff>
        </xdr:from>
        <xdr:to>
          <xdr:col>15</xdr:col>
          <xdr:colOff>200025</xdr:colOff>
          <xdr:row>25</xdr:row>
          <xdr:rowOff>0</xdr:rowOff>
        </xdr:to>
        <xdr:sp macro="" textlink="">
          <xdr:nvSpPr>
            <xdr:cNvPr id="40975" name="Drop Dow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4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25</xdr:row>
          <xdr:rowOff>0</xdr:rowOff>
        </xdr:from>
        <xdr:to>
          <xdr:col>15</xdr:col>
          <xdr:colOff>200025</xdr:colOff>
          <xdr:row>26</xdr:row>
          <xdr:rowOff>0</xdr:rowOff>
        </xdr:to>
        <xdr:sp macro="" textlink="">
          <xdr:nvSpPr>
            <xdr:cNvPr id="40976" name="Drop Dow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4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26</xdr:row>
          <xdr:rowOff>0</xdr:rowOff>
        </xdr:from>
        <xdr:to>
          <xdr:col>15</xdr:col>
          <xdr:colOff>200025</xdr:colOff>
          <xdr:row>27</xdr:row>
          <xdr:rowOff>0</xdr:rowOff>
        </xdr:to>
        <xdr:sp macro="" textlink="">
          <xdr:nvSpPr>
            <xdr:cNvPr id="40977" name="Drop Dow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4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23</xdr:row>
          <xdr:rowOff>0</xdr:rowOff>
        </xdr:from>
        <xdr:to>
          <xdr:col>17</xdr:col>
          <xdr:colOff>209550</xdr:colOff>
          <xdr:row>24</xdr:row>
          <xdr:rowOff>0</xdr:rowOff>
        </xdr:to>
        <xdr:sp macro="" textlink="">
          <xdr:nvSpPr>
            <xdr:cNvPr id="40978" name="Drop Dow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4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24</xdr:row>
          <xdr:rowOff>0</xdr:rowOff>
        </xdr:from>
        <xdr:to>
          <xdr:col>17</xdr:col>
          <xdr:colOff>209550</xdr:colOff>
          <xdr:row>25</xdr:row>
          <xdr:rowOff>0</xdr:rowOff>
        </xdr:to>
        <xdr:sp macro="" textlink="">
          <xdr:nvSpPr>
            <xdr:cNvPr id="40979" name="Drop Dow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4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25</xdr:row>
          <xdr:rowOff>0</xdr:rowOff>
        </xdr:from>
        <xdr:to>
          <xdr:col>17</xdr:col>
          <xdr:colOff>209550</xdr:colOff>
          <xdr:row>26</xdr:row>
          <xdr:rowOff>0</xdr:rowOff>
        </xdr:to>
        <xdr:sp macro="" textlink="">
          <xdr:nvSpPr>
            <xdr:cNvPr id="40980" name="Drop Dow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4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26</xdr:row>
          <xdr:rowOff>0</xdr:rowOff>
        </xdr:from>
        <xdr:to>
          <xdr:col>17</xdr:col>
          <xdr:colOff>209550</xdr:colOff>
          <xdr:row>27</xdr:row>
          <xdr:rowOff>0</xdr:rowOff>
        </xdr:to>
        <xdr:sp macro="" textlink="">
          <xdr:nvSpPr>
            <xdr:cNvPr id="40981" name="Drop Dow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4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23</xdr:row>
          <xdr:rowOff>0</xdr:rowOff>
        </xdr:from>
        <xdr:to>
          <xdr:col>19</xdr:col>
          <xdr:colOff>209550</xdr:colOff>
          <xdr:row>24</xdr:row>
          <xdr:rowOff>0</xdr:rowOff>
        </xdr:to>
        <xdr:sp macro="" textlink="">
          <xdr:nvSpPr>
            <xdr:cNvPr id="40982" name="Drop Dow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4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24</xdr:row>
          <xdr:rowOff>0</xdr:rowOff>
        </xdr:from>
        <xdr:to>
          <xdr:col>19</xdr:col>
          <xdr:colOff>209550</xdr:colOff>
          <xdr:row>25</xdr:row>
          <xdr:rowOff>0</xdr:rowOff>
        </xdr:to>
        <xdr:sp macro="" textlink="">
          <xdr:nvSpPr>
            <xdr:cNvPr id="40983" name="Drop Dow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4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25</xdr:row>
          <xdr:rowOff>0</xdr:rowOff>
        </xdr:from>
        <xdr:to>
          <xdr:col>19</xdr:col>
          <xdr:colOff>209550</xdr:colOff>
          <xdr:row>26</xdr:row>
          <xdr:rowOff>0</xdr:rowOff>
        </xdr:to>
        <xdr:sp macro="" textlink="">
          <xdr:nvSpPr>
            <xdr:cNvPr id="40984" name="Drop Dow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4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26</xdr:row>
          <xdr:rowOff>0</xdr:rowOff>
        </xdr:from>
        <xdr:to>
          <xdr:col>19</xdr:col>
          <xdr:colOff>209550</xdr:colOff>
          <xdr:row>27</xdr:row>
          <xdr:rowOff>0</xdr:rowOff>
        </xdr:to>
        <xdr:sp macro="" textlink="">
          <xdr:nvSpPr>
            <xdr:cNvPr id="40985" name="Drop Dow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4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40986" name="Line 26">
          <a:extLst>
            <a:ext uri="{FF2B5EF4-FFF2-40B4-BE49-F238E27FC236}">
              <a16:creationId xmlns:a16="http://schemas.microsoft.com/office/drawing/2014/main" id="{370C61EE-CA4D-4FFC-97A6-77DB46E14C75}"/>
            </a:ext>
          </a:extLst>
        </xdr:cNvPr>
        <xdr:cNvSpPr>
          <a:spLocks noChangeShapeType="1"/>
        </xdr:cNvSpPr>
      </xdr:nvSpPr>
      <xdr:spPr bwMode="auto">
        <a:xfrm flipH="1">
          <a:off x="25031700" y="931164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27</xdr:row>
          <xdr:rowOff>9525</xdr:rowOff>
        </xdr:from>
        <xdr:to>
          <xdr:col>5</xdr:col>
          <xdr:colOff>0</xdr:colOff>
          <xdr:row>27</xdr:row>
          <xdr:rowOff>219075</xdr:rowOff>
        </xdr:to>
        <xdr:sp macro="" textlink="">
          <xdr:nvSpPr>
            <xdr:cNvPr id="40987" name="Drop Dow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4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27</xdr:row>
          <xdr:rowOff>0</xdr:rowOff>
        </xdr:from>
        <xdr:to>
          <xdr:col>11</xdr:col>
          <xdr:colOff>200025</xdr:colOff>
          <xdr:row>27</xdr:row>
          <xdr:rowOff>219075</xdr:rowOff>
        </xdr:to>
        <xdr:sp macro="" textlink="">
          <xdr:nvSpPr>
            <xdr:cNvPr id="40988" name="Drop Dow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4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27</xdr:row>
          <xdr:rowOff>0</xdr:rowOff>
        </xdr:from>
        <xdr:to>
          <xdr:col>13</xdr:col>
          <xdr:colOff>361950</xdr:colOff>
          <xdr:row>27</xdr:row>
          <xdr:rowOff>219075</xdr:rowOff>
        </xdr:to>
        <xdr:sp macro="" textlink="">
          <xdr:nvSpPr>
            <xdr:cNvPr id="40989" name="Drop Dow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4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27</xdr:row>
          <xdr:rowOff>0</xdr:rowOff>
        </xdr:from>
        <xdr:to>
          <xdr:col>15</xdr:col>
          <xdr:colOff>200025</xdr:colOff>
          <xdr:row>27</xdr:row>
          <xdr:rowOff>219075</xdr:rowOff>
        </xdr:to>
        <xdr:sp macro="" textlink="">
          <xdr:nvSpPr>
            <xdr:cNvPr id="40990" name="Drop Dow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4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27</xdr:row>
          <xdr:rowOff>0</xdr:rowOff>
        </xdr:from>
        <xdr:to>
          <xdr:col>17</xdr:col>
          <xdr:colOff>209550</xdr:colOff>
          <xdr:row>27</xdr:row>
          <xdr:rowOff>219075</xdr:rowOff>
        </xdr:to>
        <xdr:sp macro="" textlink="">
          <xdr:nvSpPr>
            <xdr:cNvPr id="40991" name="Drop Dow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4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27</xdr:row>
          <xdr:rowOff>0</xdr:rowOff>
        </xdr:from>
        <xdr:to>
          <xdr:col>19</xdr:col>
          <xdr:colOff>209550</xdr:colOff>
          <xdr:row>27</xdr:row>
          <xdr:rowOff>219075</xdr:rowOff>
        </xdr:to>
        <xdr:sp macro="" textlink="">
          <xdr:nvSpPr>
            <xdr:cNvPr id="40992" name="Drop Dow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4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28</xdr:row>
          <xdr:rowOff>9525</xdr:rowOff>
        </xdr:from>
        <xdr:to>
          <xdr:col>5</xdr:col>
          <xdr:colOff>0</xdr:colOff>
          <xdr:row>28</xdr:row>
          <xdr:rowOff>219075</xdr:rowOff>
        </xdr:to>
        <xdr:sp macro="" textlink="">
          <xdr:nvSpPr>
            <xdr:cNvPr id="40993" name="Drop Dow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4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200025</xdr:colOff>
          <xdr:row>29</xdr:row>
          <xdr:rowOff>0</xdr:rowOff>
        </xdr:to>
        <xdr:sp macro="" textlink="">
          <xdr:nvSpPr>
            <xdr:cNvPr id="40994" name="Drop Dow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4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28</xdr:row>
          <xdr:rowOff>0</xdr:rowOff>
        </xdr:from>
        <xdr:to>
          <xdr:col>13</xdr:col>
          <xdr:colOff>361950</xdr:colOff>
          <xdr:row>28</xdr:row>
          <xdr:rowOff>219075</xdr:rowOff>
        </xdr:to>
        <xdr:sp macro="" textlink="">
          <xdr:nvSpPr>
            <xdr:cNvPr id="40995" name="Drop Dow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4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28</xdr:row>
          <xdr:rowOff>0</xdr:rowOff>
        </xdr:from>
        <xdr:to>
          <xdr:col>15</xdr:col>
          <xdr:colOff>200025</xdr:colOff>
          <xdr:row>28</xdr:row>
          <xdr:rowOff>219075</xdr:rowOff>
        </xdr:to>
        <xdr:sp macro="" textlink="">
          <xdr:nvSpPr>
            <xdr:cNvPr id="40996" name="Drop Dow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4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28</xdr:row>
          <xdr:rowOff>0</xdr:rowOff>
        </xdr:from>
        <xdr:to>
          <xdr:col>17</xdr:col>
          <xdr:colOff>209550</xdr:colOff>
          <xdr:row>28</xdr:row>
          <xdr:rowOff>219075</xdr:rowOff>
        </xdr:to>
        <xdr:sp macro="" textlink="">
          <xdr:nvSpPr>
            <xdr:cNvPr id="40997" name="Drop Dow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4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28</xdr:row>
          <xdr:rowOff>0</xdr:rowOff>
        </xdr:from>
        <xdr:to>
          <xdr:col>19</xdr:col>
          <xdr:colOff>209550</xdr:colOff>
          <xdr:row>28</xdr:row>
          <xdr:rowOff>219075</xdr:rowOff>
        </xdr:to>
        <xdr:sp macro="" textlink="">
          <xdr:nvSpPr>
            <xdr:cNvPr id="40998" name="Drop Dow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4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29</xdr:row>
          <xdr:rowOff>9525</xdr:rowOff>
        </xdr:from>
        <xdr:to>
          <xdr:col>5</xdr:col>
          <xdr:colOff>0</xdr:colOff>
          <xdr:row>29</xdr:row>
          <xdr:rowOff>219075</xdr:rowOff>
        </xdr:to>
        <xdr:sp macro="" textlink="">
          <xdr:nvSpPr>
            <xdr:cNvPr id="40999" name="Drop Dow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4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200025</xdr:colOff>
          <xdr:row>29</xdr:row>
          <xdr:rowOff>219075</xdr:rowOff>
        </xdr:to>
        <xdr:sp macro="" textlink="">
          <xdr:nvSpPr>
            <xdr:cNvPr id="41000" name="Drop Dow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4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30</xdr:row>
          <xdr:rowOff>9525</xdr:rowOff>
        </xdr:from>
        <xdr:to>
          <xdr:col>5</xdr:col>
          <xdr:colOff>0</xdr:colOff>
          <xdr:row>30</xdr:row>
          <xdr:rowOff>219075</xdr:rowOff>
        </xdr:to>
        <xdr:sp macro="" textlink="">
          <xdr:nvSpPr>
            <xdr:cNvPr id="41001" name="Drop Dow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4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200025</xdr:colOff>
          <xdr:row>30</xdr:row>
          <xdr:rowOff>219075</xdr:rowOff>
        </xdr:to>
        <xdr:sp macro="" textlink="">
          <xdr:nvSpPr>
            <xdr:cNvPr id="41002" name="Drop Dow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4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31</xdr:row>
          <xdr:rowOff>9525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41003" name="Drop Dow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4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41004" name="Drop Dow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4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32</xdr:row>
          <xdr:rowOff>9525</xdr:rowOff>
        </xdr:from>
        <xdr:to>
          <xdr:col>5</xdr:col>
          <xdr:colOff>0</xdr:colOff>
          <xdr:row>32</xdr:row>
          <xdr:rowOff>219075</xdr:rowOff>
        </xdr:to>
        <xdr:sp macro="" textlink="">
          <xdr:nvSpPr>
            <xdr:cNvPr id="41005" name="Drop Dow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4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200025</xdr:colOff>
          <xdr:row>32</xdr:row>
          <xdr:rowOff>219075</xdr:rowOff>
        </xdr:to>
        <xdr:sp macro="" textlink="">
          <xdr:nvSpPr>
            <xdr:cNvPr id="41006" name="Drop Dow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4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29</xdr:row>
          <xdr:rowOff>0</xdr:rowOff>
        </xdr:from>
        <xdr:to>
          <xdr:col>13</xdr:col>
          <xdr:colOff>361950</xdr:colOff>
          <xdr:row>29</xdr:row>
          <xdr:rowOff>219075</xdr:rowOff>
        </xdr:to>
        <xdr:sp macro="" textlink="">
          <xdr:nvSpPr>
            <xdr:cNvPr id="41007" name="Drop Dow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4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30</xdr:row>
          <xdr:rowOff>0</xdr:rowOff>
        </xdr:from>
        <xdr:to>
          <xdr:col>13</xdr:col>
          <xdr:colOff>361950</xdr:colOff>
          <xdr:row>30</xdr:row>
          <xdr:rowOff>219075</xdr:rowOff>
        </xdr:to>
        <xdr:sp macro="" textlink="">
          <xdr:nvSpPr>
            <xdr:cNvPr id="41008" name="Drop Dow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4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31</xdr:row>
          <xdr:rowOff>0</xdr:rowOff>
        </xdr:from>
        <xdr:to>
          <xdr:col>13</xdr:col>
          <xdr:colOff>361950</xdr:colOff>
          <xdr:row>32</xdr:row>
          <xdr:rowOff>0</xdr:rowOff>
        </xdr:to>
        <xdr:sp macro="" textlink="">
          <xdr:nvSpPr>
            <xdr:cNvPr id="41009" name="Drop Dow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4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32</xdr:row>
          <xdr:rowOff>0</xdr:rowOff>
        </xdr:from>
        <xdr:to>
          <xdr:col>13</xdr:col>
          <xdr:colOff>361950</xdr:colOff>
          <xdr:row>32</xdr:row>
          <xdr:rowOff>219075</xdr:rowOff>
        </xdr:to>
        <xdr:sp macro="" textlink="">
          <xdr:nvSpPr>
            <xdr:cNvPr id="41010" name="Drop Dow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4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29</xdr:row>
          <xdr:rowOff>0</xdr:rowOff>
        </xdr:from>
        <xdr:to>
          <xdr:col>15</xdr:col>
          <xdr:colOff>200025</xdr:colOff>
          <xdr:row>29</xdr:row>
          <xdr:rowOff>219075</xdr:rowOff>
        </xdr:to>
        <xdr:sp macro="" textlink="">
          <xdr:nvSpPr>
            <xdr:cNvPr id="41011" name="Drop Dow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4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30</xdr:row>
          <xdr:rowOff>0</xdr:rowOff>
        </xdr:from>
        <xdr:to>
          <xdr:col>15</xdr:col>
          <xdr:colOff>200025</xdr:colOff>
          <xdr:row>30</xdr:row>
          <xdr:rowOff>219075</xdr:rowOff>
        </xdr:to>
        <xdr:sp macro="" textlink="">
          <xdr:nvSpPr>
            <xdr:cNvPr id="41012" name="Drop Dow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4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31</xdr:row>
          <xdr:rowOff>0</xdr:rowOff>
        </xdr:from>
        <xdr:to>
          <xdr:col>15</xdr:col>
          <xdr:colOff>200025</xdr:colOff>
          <xdr:row>32</xdr:row>
          <xdr:rowOff>0</xdr:rowOff>
        </xdr:to>
        <xdr:sp macro="" textlink="">
          <xdr:nvSpPr>
            <xdr:cNvPr id="41013" name="Drop Dow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4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32</xdr:row>
          <xdr:rowOff>0</xdr:rowOff>
        </xdr:from>
        <xdr:to>
          <xdr:col>15</xdr:col>
          <xdr:colOff>200025</xdr:colOff>
          <xdr:row>32</xdr:row>
          <xdr:rowOff>219075</xdr:rowOff>
        </xdr:to>
        <xdr:sp macro="" textlink="">
          <xdr:nvSpPr>
            <xdr:cNvPr id="41014" name="Drop Dow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4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29</xdr:row>
          <xdr:rowOff>0</xdr:rowOff>
        </xdr:from>
        <xdr:to>
          <xdr:col>17</xdr:col>
          <xdr:colOff>209550</xdr:colOff>
          <xdr:row>29</xdr:row>
          <xdr:rowOff>219075</xdr:rowOff>
        </xdr:to>
        <xdr:sp macro="" textlink="">
          <xdr:nvSpPr>
            <xdr:cNvPr id="41015" name="Drop Dow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4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30</xdr:row>
          <xdr:rowOff>0</xdr:rowOff>
        </xdr:from>
        <xdr:to>
          <xdr:col>17</xdr:col>
          <xdr:colOff>209550</xdr:colOff>
          <xdr:row>30</xdr:row>
          <xdr:rowOff>219075</xdr:rowOff>
        </xdr:to>
        <xdr:sp macro="" textlink="">
          <xdr:nvSpPr>
            <xdr:cNvPr id="41016" name="Drop Dow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4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31</xdr:row>
          <xdr:rowOff>0</xdr:rowOff>
        </xdr:from>
        <xdr:to>
          <xdr:col>17</xdr:col>
          <xdr:colOff>209550</xdr:colOff>
          <xdr:row>32</xdr:row>
          <xdr:rowOff>0</xdr:rowOff>
        </xdr:to>
        <xdr:sp macro="" textlink="">
          <xdr:nvSpPr>
            <xdr:cNvPr id="41017" name="Drop Dow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4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32</xdr:row>
          <xdr:rowOff>0</xdr:rowOff>
        </xdr:from>
        <xdr:to>
          <xdr:col>17</xdr:col>
          <xdr:colOff>209550</xdr:colOff>
          <xdr:row>32</xdr:row>
          <xdr:rowOff>219075</xdr:rowOff>
        </xdr:to>
        <xdr:sp macro="" textlink="">
          <xdr:nvSpPr>
            <xdr:cNvPr id="41018" name="Drop Dow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4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29</xdr:row>
          <xdr:rowOff>0</xdr:rowOff>
        </xdr:from>
        <xdr:to>
          <xdr:col>19</xdr:col>
          <xdr:colOff>209550</xdr:colOff>
          <xdr:row>29</xdr:row>
          <xdr:rowOff>219075</xdr:rowOff>
        </xdr:to>
        <xdr:sp macro="" textlink="">
          <xdr:nvSpPr>
            <xdr:cNvPr id="41019" name="Drop Dow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4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30</xdr:row>
          <xdr:rowOff>0</xdr:rowOff>
        </xdr:from>
        <xdr:to>
          <xdr:col>19</xdr:col>
          <xdr:colOff>209550</xdr:colOff>
          <xdr:row>30</xdr:row>
          <xdr:rowOff>219075</xdr:rowOff>
        </xdr:to>
        <xdr:sp macro="" textlink="">
          <xdr:nvSpPr>
            <xdr:cNvPr id="41020" name="Drop Dow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4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31</xdr:row>
          <xdr:rowOff>0</xdr:rowOff>
        </xdr:from>
        <xdr:to>
          <xdr:col>19</xdr:col>
          <xdr:colOff>209550</xdr:colOff>
          <xdr:row>32</xdr:row>
          <xdr:rowOff>0</xdr:rowOff>
        </xdr:to>
        <xdr:sp macro="" textlink="">
          <xdr:nvSpPr>
            <xdr:cNvPr id="41021" name="Drop Dow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4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32</xdr:row>
          <xdr:rowOff>0</xdr:rowOff>
        </xdr:from>
        <xdr:to>
          <xdr:col>19</xdr:col>
          <xdr:colOff>209550</xdr:colOff>
          <xdr:row>32</xdr:row>
          <xdr:rowOff>219075</xdr:rowOff>
        </xdr:to>
        <xdr:sp macro="" textlink="">
          <xdr:nvSpPr>
            <xdr:cNvPr id="41022" name="Drop Dow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4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33</xdr:row>
          <xdr:rowOff>9525</xdr:rowOff>
        </xdr:from>
        <xdr:to>
          <xdr:col>5</xdr:col>
          <xdr:colOff>0</xdr:colOff>
          <xdr:row>33</xdr:row>
          <xdr:rowOff>219075</xdr:rowOff>
        </xdr:to>
        <xdr:sp macro="" textlink="">
          <xdr:nvSpPr>
            <xdr:cNvPr id="41023" name="Drop Dow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4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200025</xdr:colOff>
          <xdr:row>33</xdr:row>
          <xdr:rowOff>219075</xdr:rowOff>
        </xdr:to>
        <xdr:sp macro="" textlink="">
          <xdr:nvSpPr>
            <xdr:cNvPr id="41024" name="Drop Dow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4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33</xdr:row>
          <xdr:rowOff>0</xdr:rowOff>
        </xdr:from>
        <xdr:to>
          <xdr:col>13</xdr:col>
          <xdr:colOff>361950</xdr:colOff>
          <xdr:row>33</xdr:row>
          <xdr:rowOff>219075</xdr:rowOff>
        </xdr:to>
        <xdr:sp macro="" textlink="">
          <xdr:nvSpPr>
            <xdr:cNvPr id="41025" name="Drop Dow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4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33</xdr:row>
          <xdr:rowOff>0</xdr:rowOff>
        </xdr:from>
        <xdr:to>
          <xdr:col>15</xdr:col>
          <xdr:colOff>200025</xdr:colOff>
          <xdr:row>33</xdr:row>
          <xdr:rowOff>219075</xdr:rowOff>
        </xdr:to>
        <xdr:sp macro="" textlink="">
          <xdr:nvSpPr>
            <xdr:cNvPr id="41026" name="Drop Dow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4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33</xdr:row>
          <xdr:rowOff>0</xdr:rowOff>
        </xdr:from>
        <xdr:to>
          <xdr:col>17</xdr:col>
          <xdr:colOff>209550</xdr:colOff>
          <xdr:row>33</xdr:row>
          <xdr:rowOff>219075</xdr:rowOff>
        </xdr:to>
        <xdr:sp macro="" textlink="">
          <xdr:nvSpPr>
            <xdr:cNvPr id="41027" name="Drop Dow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4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33</xdr:row>
          <xdr:rowOff>0</xdr:rowOff>
        </xdr:from>
        <xdr:to>
          <xdr:col>19</xdr:col>
          <xdr:colOff>209550</xdr:colOff>
          <xdr:row>33</xdr:row>
          <xdr:rowOff>219075</xdr:rowOff>
        </xdr:to>
        <xdr:sp macro="" textlink="">
          <xdr:nvSpPr>
            <xdr:cNvPr id="41028" name="Drop Dow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4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41029" name="Drop Dow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4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34</xdr:row>
          <xdr:rowOff>0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41030" name="Drop Dow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4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34</xdr:row>
          <xdr:rowOff>0</xdr:rowOff>
        </xdr:from>
        <xdr:to>
          <xdr:col>13</xdr:col>
          <xdr:colOff>361950</xdr:colOff>
          <xdr:row>35</xdr:row>
          <xdr:rowOff>0</xdr:rowOff>
        </xdr:to>
        <xdr:sp macro="" textlink="">
          <xdr:nvSpPr>
            <xdr:cNvPr id="41031" name="Drop Dow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4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34</xdr:row>
          <xdr:rowOff>0</xdr:rowOff>
        </xdr:from>
        <xdr:to>
          <xdr:col>15</xdr:col>
          <xdr:colOff>200025</xdr:colOff>
          <xdr:row>35</xdr:row>
          <xdr:rowOff>0</xdr:rowOff>
        </xdr:to>
        <xdr:sp macro="" textlink="">
          <xdr:nvSpPr>
            <xdr:cNvPr id="41032" name="Drop Dow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4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34</xdr:row>
          <xdr:rowOff>0</xdr:rowOff>
        </xdr:from>
        <xdr:to>
          <xdr:col>17</xdr:col>
          <xdr:colOff>209550</xdr:colOff>
          <xdr:row>35</xdr:row>
          <xdr:rowOff>0</xdr:rowOff>
        </xdr:to>
        <xdr:sp macro="" textlink="">
          <xdr:nvSpPr>
            <xdr:cNvPr id="41033" name="Drop Dow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4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34</xdr:row>
          <xdr:rowOff>0</xdr:rowOff>
        </xdr:from>
        <xdr:to>
          <xdr:col>19</xdr:col>
          <xdr:colOff>209550</xdr:colOff>
          <xdr:row>35</xdr:row>
          <xdr:rowOff>0</xdr:rowOff>
        </xdr:to>
        <xdr:sp macro="" textlink="">
          <xdr:nvSpPr>
            <xdr:cNvPr id="41034" name="Drop Dow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4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35</xdr:row>
          <xdr:rowOff>9525</xdr:rowOff>
        </xdr:from>
        <xdr:to>
          <xdr:col>5</xdr:col>
          <xdr:colOff>0</xdr:colOff>
          <xdr:row>35</xdr:row>
          <xdr:rowOff>219075</xdr:rowOff>
        </xdr:to>
        <xdr:sp macro="" textlink="">
          <xdr:nvSpPr>
            <xdr:cNvPr id="41035" name="Drop Dow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4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35</xdr:row>
          <xdr:rowOff>0</xdr:rowOff>
        </xdr:from>
        <xdr:to>
          <xdr:col>11</xdr:col>
          <xdr:colOff>200025</xdr:colOff>
          <xdr:row>35</xdr:row>
          <xdr:rowOff>219075</xdr:rowOff>
        </xdr:to>
        <xdr:sp macro="" textlink="">
          <xdr:nvSpPr>
            <xdr:cNvPr id="41036" name="Drop Dow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4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35</xdr:row>
          <xdr:rowOff>0</xdr:rowOff>
        </xdr:from>
        <xdr:to>
          <xdr:col>13</xdr:col>
          <xdr:colOff>361950</xdr:colOff>
          <xdr:row>35</xdr:row>
          <xdr:rowOff>219075</xdr:rowOff>
        </xdr:to>
        <xdr:sp macro="" textlink="">
          <xdr:nvSpPr>
            <xdr:cNvPr id="41037" name="Drop Dow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4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35</xdr:row>
          <xdr:rowOff>0</xdr:rowOff>
        </xdr:from>
        <xdr:to>
          <xdr:col>15</xdr:col>
          <xdr:colOff>200025</xdr:colOff>
          <xdr:row>35</xdr:row>
          <xdr:rowOff>219075</xdr:rowOff>
        </xdr:to>
        <xdr:sp macro="" textlink="">
          <xdr:nvSpPr>
            <xdr:cNvPr id="41038" name="Drop Dow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4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35</xdr:row>
          <xdr:rowOff>0</xdr:rowOff>
        </xdr:from>
        <xdr:to>
          <xdr:col>17</xdr:col>
          <xdr:colOff>209550</xdr:colOff>
          <xdr:row>35</xdr:row>
          <xdr:rowOff>219075</xdr:rowOff>
        </xdr:to>
        <xdr:sp macro="" textlink="">
          <xdr:nvSpPr>
            <xdr:cNvPr id="41039" name="Drop Dow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4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35</xdr:row>
          <xdr:rowOff>0</xdr:rowOff>
        </xdr:from>
        <xdr:to>
          <xdr:col>19</xdr:col>
          <xdr:colOff>209550</xdr:colOff>
          <xdr:row>35</xdr:row>
          <xdr:rowOff>219075</xdr:rowOff>
        </xdr:to>
        <xdr:sp macro="" textlink="">
          <xdr:nvSpPr>
            <xdr:cNvPr id="41040" name="Drop Dow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4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41041" name="Drop Dow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4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41042" name="Drop Dow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4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41043" name="Drop Dow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4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41044" name="Drop Dow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4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41045" name="Drop Dow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4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41046" name="Drop Dow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4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41047" name="Drop Dow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4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41048" name="Drop Dow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4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41049" name="Drop Dow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4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41050" name="Drop Dow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4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41051" name="Drop Dow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4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41052" name="Drop Dow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4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37</xdr:row>
          <xdr:rowOff>9525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41053" name="Drop Dow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4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37</xdr:row>
          <xdr:rowOff>0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41054" name="Drop Dow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4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37</xdr:row>
          <xdr:rowOff>0</xdr:rowOff>
        </xdr:from>
        <xdr:to>
          <xdr:col>13</xdr:col>
          <xdr:colOff>361950</xdr:colOff>
          <xdr:row>38</xdr:row>
          <xdr:rowOff>0</xdr:rowOff>
        </xdr:to>
        <xdr:sp macro="" textlink="">
          <xdr:nvSpPr>
            <xdr:cNvPr id="41055" name="Drop Dow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4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37</xdr:row>
          <xdr:rowOff>0</xdr:rowOff>
        </xdr:from>
        <xdr:to>
          <xdr:col>15</xdr:col>
          <xdr:colOff>200025</xdr:colOff>
          <xdr:row>38</xdr:row>
          <xdr:rowOff>0</xdr:rowOff>
        </xdr:to>
        <xdr:sp macro="" textlink="">
          <xdr:nvSpPr>
            <xdr:cNvPr id="41056" name="Drop Dow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4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37</xdr:row>
          <xdr:rowOff>0</xdr:rowOff>
        </xdr:from>
        <xdr:to>
          <xdr:col>17</xdr:col>
          <xdr:colOff>209550</xdr:colOff>
          <xdr:row>38</xdr:row>
          <xdr:rowOff>0</xdr:rowOff>
        </xdr:to>
        <xdr:sp macro="" textlink="">
          <xdr:nvSpPr>
            <xdr:cNvPr id="41057" name="Drop Dow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4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37</xdr:row>
          <xdr:rowOff>0</xdr:rowOff>
        </xdr:from>
        <xdr:to>
          <xdr:col>19</xdr:col>
          <xdr:colOff>209550</xdr:colOff>
          <xdr:row>38</xdr:row>
          <xdr:rowOff>0</xdr:rowOff>
        </xdr:to>
        <xdr:sp macro="" textlink="">
          <xdr:nvSpPr>
            <xdr:cNvPr id="41058" name="Drop Dow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4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38</xdr:row>
          <xdr:rowOff>9525</xdr:rowOff>
        </xdr:from>
        <xdr:to>
          <xdr:col>5</xdr:col>
          <xdr:colOff>0</xdr:colOff>
          <xdr:row>38</xdr:row>
          <xdr:rowOff>219075</xdr:rowOff>
        </xdr:to>
        <xdr:sp macro="" textlink="">
          <xdr:nvSpPr>
            <xdr:cNvPr id="41059" name="Drop Dow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4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38</xdr:row>
          <xdr:rowOff>0</xdr:rowOff>
        </xdr:from>
        <xdr:to>
          <xdr:col>11</xdr:col>
          <xdr:colOff>200025</xdr:colOff>
          <xdr:row>38</xdr:row>
          <xdr:rowOff>219075</xdr:rowOff>
        </xdr:to>
        <xdr:sp macro="" textlink="">
          <xdr:nvSpPr>
            <xdr:cNvPr id="41060" name="Drop Dow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4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38</xdr:row>
          <xdr:rowOff>0</xdr:rowOff>
        </xdr:from>
        <xdr:to>
          <xdr:col>13</xdr:col>
          <xdr:colOff>361950</xdr:colOff>
          <xdr:row>38</xdr:row>
          <xdr:rowOff>219075</xdr:rowOff>
        </xdr:to>
        <xdr:sp macro="" textlink="">
          <xdr:nvSpPr>
            <xdr:cNvPr id="41061" name="Drop Dow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4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38</xdr:row>
          <xdr:rowOff>0</xdr:rowOff>
        </xdr:from>
        <xdr:to>
          <xdr:col>15</xdr:col>
          <xdr:colOff>200025</xdr:colOff>
          <xdr:row>38</xdr:row>
          <xdr:rowOff>219075</xdr:rowOff>
        </xdr:to>
        <xdr:sp macro="" textlink="">
          <xdr:nvSpPr>
            <xdr:cNvPr id="41062" name="Drop Dow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4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38</xdr:row>
          <xdr:rowOff>0</xdr:rowOff>
        </xdr:from>
        <xdr:to>
          <xdr:col>17</xdr:col>
          <xdr:colOff>209550</xdr:colOff>
          <xdr:row>38</xdr:row>
          <xdr:rowOff>219075</xdr:rowOff>
        </xdr:to>
        <xdr:sp macro="" textlink="">
          <xdr:nvSpPr>
            <xdr:cNvPr id="41063" name="Drop Dow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4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38</xdr:row>
          <xdr:rowOff>0</xdr:rowOff>
        </xdr:from>
        <xdr:to>
          <xdr:col>19</xdr:col>
          <xdr:colOff>209550</xdr:colOff>
          <xdr:row>38</xdr:row>
          <xdr:rowOff>219075</xdr:rowOff>
        </xdr:to>
        <xdr:sp macro="" textlink="">
          <xdr:nvSpPr>
            <xdr:cNvPr id="41064" name="Drop Dow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4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942975</xdr:colOff>
          <xdr:row>53</xdr:row>
          <xdr:rowOff>9525</xdr:rowOff>
        </xdr:from>
        <xdr:to>
          <xdr:col>8</xdr:col>
          <xdr:colOff>200025</xdr:colOff>
          <xdr:row>54</xdr:row>
          <xdr:rowOff>9525</xdr:rowOff>
        </xdr:to>
        <xdr:sp macro="" textlink="">
          <xdr:nvSpPr>
            <xdr:cNvPr id="41065" name="Drop Dow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4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39</xdr:row>
          <xdr:rowOff>219075</xdr:rowOff>
        </xdr:from>
        <xdr:to>
          <xdr:col>9</xdr:col>
          <xdr:colOff>657225</xdr:colOff>
          <xdr:row>41</xdr:row>
          <xdr:rowOff>28575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4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733425</xdr:colOff>
          <xdr:row>23</xdr:row>
          <xdr:rowOff>219075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9</xdr:row>
          <xdr:rowOff>47625</xdr:rowOff>
        </xdr:from>
        <xdr:to>
          <xdr:col>8</xdr:col>
          <xdr:colOff>180975</xdr:colOff>
          <xdr:row>10</xdr:row>
          <xdr:rowOff>9525</xdr:rowOff>
        </xdr:to>
        <xdr:sp macro="" textlink="">
          <xdr:nvSpPr>
            <xdr:cNvPr id="39938" name="Drop Dow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39939" name="Drop Dow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39940" name="Drop Dow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39941" name="Drop Dow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39942" name="Drop Dow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39943" name="Drop Dow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39944" name="Drop Dow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39945" name="Drop Dow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5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39946" name="Drop Dow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5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39947" name="Drop Dow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5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39948" name="Drop Dow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5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39949" name="Drop Dow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5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39950" name="Drop Dow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5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39951" name="Drop Dow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5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39952" name="Drop Dow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39953" name="Drop Dow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5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39954" name="Drop Dow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5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39955" name="Drop Dow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5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39956" name="Drop Dow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5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39957" name="Drop Dow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5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39958" name="Drop Dow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5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39959" name="Drop Dow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5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39960" name="Drop Dow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5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39961" name="Drop Dow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39962" name="Drop Dow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5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8</xdr:row>
          <xdr:rowOff>47625</xdr:rowOff>
        </xdr:from>
        <xdr:to>
          <xdr:col>8</xdr:col>
          <xdr:colOff>180975</xdr:colOff>
          <xdr:row>9</xdr:row>
          <xdr:rowOff>9525</xdr:rowOff>
        </xdr:to>
        <xdr:sp macro="" textlink="">
          <xdr:nvSpPr>
            <xdr:cNvPr id="39963" name="Drop Dow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5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39964" name="Line 28">
          <a:extLst>
            <a:ext uri="{FF2B5EF4-FFF2-40B4-BE49-F238E27FC236}">
              <a16:creationId xmlns:a16="http://schemas.microsoft.com/office/drawing/2014/main" id="{E8F33FB2-B638-4A52-2386-82383ED7FEC9}"/>
            </a:ext>
          </a:extLst>
        </xdr:cNvPr>
        <xdr:cNvSpPr>
          <a:spLocks noChangeShapeType="1"/>
        </xdr:cNvSpPr>
      </xdr:nvSpPr>
      <xdr:spPr bwMode="auto">
        <a:xfrm flipH="1">
          <a:off x="25001220" y="96393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39965" name="Drop Dow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5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39966" name="Drop Dow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5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39967" name="Drop Dow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5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39968" name="Drop Dow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5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39969" name="Drop Dow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5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39970" name="Drop Dow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5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39971" name="Drop Dow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5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39972" name="Drop Dow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5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39973" name="Drop Dow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5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39974" name="Drop Dow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5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39975" name="Drop Dow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5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39976" name="Drop Dow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5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39977" name="Drop Dow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5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39978" name="Drop Dow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5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39979" name="Drop Dow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5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39980" name="Drop Dow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5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39981" name="Drop Dow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5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39982" name="Drop Dow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5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39983" name="Drop Dow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5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39984" name="Drop Dow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5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39985" name="Drop Dow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5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39986" name="Drop Dow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5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39987" name="Drop Dow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5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39988" name="Drop Dow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5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39989" name="Drop Dow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5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39990" name="Drop Dow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5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39991" name="Drop Dow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5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39992" name="Drop Dow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5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39993" name="Drop Dow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5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39994" name="Drop Dow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5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39995" name="Drop Dow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5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39996" name="Drop Dow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5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39997" name="Drop Dow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5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39998" name="Drop Dow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5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39999" name="Drop Dow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5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40000" name="Drop Dow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5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40001" name="Drop Dow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5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40002" name="Drop Dow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5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40003" name="Drop Dow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5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40004" name="Drop Dow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5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40005" name="Drop Dow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5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40006" name="Drop Dow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5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40007" name="Drop Dow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5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40008" name="Drop Dow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5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40009" name="Drop Dow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5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40010" name="Drop Dow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5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40011" name="Drop Dow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5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40012" name="Drop Dow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5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40013" name="Drop Dow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5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40014" name="Drop Dow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5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40015" name="Drop Dow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5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40016" name="Drop Dow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5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40017" name="Drop Dow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5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40018" name="Drop Dow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5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0019" name="Drop Dow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5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0020" name="Drop Dow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5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0021" name="Drop Dow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5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0022" name="Drop Dow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5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0023" name="Drop Dow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5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0024" name="Drop Dow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5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0025" name="Drop Dow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5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0026" name="Drop Dow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5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0027" name="Drop Dow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5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0028" name="Drop Dow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5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0029" name="Drop Dow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5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0030" name="Drop Dow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5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40031" name="Drop Dow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5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40032" name="Drop Dow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5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40033" name="Drop Dow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5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40034" name="Drop Dow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5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40035" name="Drop Dow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5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40036" name="Drop Dow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5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40037" name="Drop Dow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5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40038" name="Drop Dow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5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40039" name="Drop Dow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5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40040" name="Drop Dow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5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40041" name="Drop Dow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5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40042" name="Drop Dow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5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733425</xdr:colOff>
          <xdr:row>23</xdr:row>
          <xdr:rowOff>219075</xdr:rowOff>
        </xdr:to>
        <xdr:sp macro="" textlink="">
          <xdr:nvSpPr>
            <xdr:cNvPr id="40043" name="Check Box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5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733425</xdr:colOff>
          <xdr:row>24</xdr:row>
          <xdr:rowOff>190500</xdr:rowOff>
        </xdr:to>
        <xdr:sp macro="" textlink="">
          <xdr:nvSpPr>
            <xdr:cNvPr id="40044" name="Check Box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5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733425</xdr:colOff>
          <xdr:row>25</xdr:row>
          <xdr:rowOff>200025</xdr:rowOff>
        </xdr:to>
        <xdr:sp macro="" textlink="">
          <xdr:nvSpPr>
            <xdr:cNvPr id="40045" name="Check Box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5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733425</xdr:colOff>
          <xdr:row>26</xdr:row>
          <xdr:rowOff>190500</xdr:rowOff>
        </xdr:to>
        <xdr:sp macro="" textlink="">
          <xdr:nvSpPr>
            <xdr:cNvPr id="40046" name="Check Box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5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733425</xdr:colOff>
          <xdr:row>27</xdr:row>
          <xdr:rowOff>200025</xdr:rowOff>
        </xdr:to>
        <xdr:sp macro="" textlink="">
          <xdr:nvSpPr>
            <xdr:cNvPr id="40047" name="Check Box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5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733425</xdr:colOff>
          <xdr:row>28</xdr:row>
          <xdr:rowOff>190500</xdr:rowOff>
        </xdr:to>
        <xdr:sp macro="" textlink="">
          <xdr:nvSpPr>
            <xdr:cNvPr id="40048" name="Check Box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5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733425</xdr:colOff>
          <xdr:row>29</xdr:row>
          <xdr:rowOff>200025</xdr:rowOff>
        </xdr:to>
        <xdr:sp macro="" textlink="">
          <xdr:nvSpPr>
            <xdr:cNvPr id="40049" name="Check Box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5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733425</xdr:colOff>
          <xdr:row>30</xdr:row>
          <xdr:rowOff>219075</xdr:rowOff>
        </xdr:to>
        <xdr:sp macro="" textlink="">
          <xdr:nvSpPr>
            <xdr:cNvPr id="40050" name="Check Box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5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733425</xdr:colOff>
          <xdr:row>31</xdr:row>
          <xdr:rowOff>219075</xdr:rowOff>
        </xdr:to>
        <xdr:sp macro="" textlink="">
          <xdr:nvSpPr>
            <xdr:cNvPr id="40051" name="Check Box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5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733425</xdr:colOff>
          <xdr:row>32</xdr:row>
          <xdr:rowOff>219075</xdr:rowOff>
        </xdr:to>
        <xdr:sp macro="" textlink="">
          <xdr:nvSpPr>
            <xdr:cNvPr id="40052" name="Check Box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5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733425</xdr:colOff>
          <xdr:row>33</xdr:row>
          <xdr:rowOff>200025</xdr:rowOff>
        </xdr:to>
        <xdr:sp macro="" textlink="">
          <xdr:nvSpPr>
            <xdr:cNvPr id="40053" name="Check Box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5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733425</xdr:colOff>
          <xdr:row>34</xdr:row>
          <xdr:rowOff>190500</xdr:rowOff>
        </xdr:to>
        <xdr:sp macro="" textlink="">
          <xdr:nvSpPr>
            <xdr:cNvPr id="40054" name="Check Box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5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733425</xdr:colOff>
          <xdr:row>35</xdr:row>
          <xdr:rowOff>200025</xdr:rowOff>
        </xdr:to>
        <xdr:sp macro="" textlink="">
          <xdr:nvSpPr>
            <xdr:cNvPr id="40055" name="Check Box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5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733425</xdr:colOff>
          <xdr:row>36</xdr:row>
          <xdr:rowOff>219075</xdr:rowOff>
        </xdr:to>
        <xdr:sp macro="" textlink="">
          <xdr:nvSpPr>
            <xdr:cNvPr id="40056" name="Check Box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5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733425</xdr:colOff>
          <xdr:row>37</xdr:row>
          <xdr:rowOff>200025</xdr:rowOff>
        </xdr:to>
        <xdr:sp macro="" textlink="">
          <xdr:nvSpPr>
            <xdr:cNvPr id="40057" name="Check Box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5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733425</xdr:colOff>
          <xdr:row>38</xdr:row>
          <xdr:rowOff>190500</xdr:rowOff>
        </xdr:to>
        <xdr:sp macro="" textlink="">
          <xdr:nvSpPr>
            <xdr:cNvPr id="40058" name="Check Box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5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39</xdr:row>
          <xdr:rowOff>219075</xdr:rowOff>
        </xdr:from>
        <xdr:to>
          <xdr:col>10</xdr:col>
          <xdr:colOff>209550</xdr:colOff>
          <xdr:row>41</xdr:row>
          <xdr:rowOff>28575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5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47625</xdr:rowOff>
        </xdr:from>
        <xdr:to>
          <xdr:col>8</xdr:col>
          <xdr:colOff>66675</xdr:colOff>
          <xdr:row>10</xdr:row>
          <xdr:rowOff>9525</xdr:rowOff>
        </xdr:to>
        <xdr:sp macro="" textlink="">
          <xdr:nvSpPr>
            <xdr:cNvPr id="29698" name="Drop Dow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7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29699" name="Drop Dow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7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29700" name="Drop Dow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7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29701" name="Drop Dow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7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29702" name="Drop Dow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7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29703" name="Drop Dow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7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29704" name="Drop Dow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7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29705" name="Drop Dow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7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29706" name="Drop Dow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7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29707" name="Drop Dow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7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29708" name="Drop Dow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7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29709" name="Drop Dow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7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29710" name="Drop Dow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7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29711" name="Drop Dow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7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29712" name="Drop Dow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7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29713" name="Drop Dow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7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29714" name="Drop Dow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7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29715" name="Drop Dow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7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29716" name="Drop Dow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7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29717" name="Drop Dow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7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29718" name="Drop Dow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7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29719" name="Drop Dow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7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29720" name="Drop Dow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7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29721" name="Drop Dow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7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29722" name="Drop Dow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7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8</xdr:row>
          <xdr:rowOff>47625</xdr:rowOff>
        </xdr:from>
        <xdr:to>
          <xdr:col>8</xdr:col>
          <xdr:colOff>66675</xdr:colOff>
          <xdr:row>9</xdr:row>
          <xdr:rowOff>9525</xdr:rowOff>
        </xdr:to>
        <xdr:sp macro="" textlink="">
          <xdr:nvSpPr>
            <xdr:cNvPr id="29731" name="Drop Dow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7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29734" name="Line 38">
          <a:extLst>
            <a:ext uri="{FF2B5EF4-FFF2-40B4-BE49-F238E27FC236}">
              <a16:creationId xmlns:a16="http://schemas.microsoft.com/office/drawing/2014/main" id="{E6C4B870-A292-EC5E-1937-456D759CD1BA}"/>
            </a:ext>
          </a:extLst>
        </xdr:cNvPr>
        <xdr:cNvSpPr>
          <a:spLocks noChangeShapeType="1"/>
        </xdr:cNvSpPr>
      </xdr:nvSpPr>
      <xdr:spPr bwMode="auto">
        <a:xfrm flipH="1">
          <a:off x="25961340" y="95326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29735" name="Drop Down 39" hidden="1">
              <a:extLst>
                <a:ext uri="{63B3BB69-23CF-44E3-9099-C40C66FF867C}">
                  <a14:compatExt spid="_x0000_s29735"/>
                </a:ext>
                <a:ext uri="{FF2B5EF4-FFF2-40B4-BE49-F238E27FC236}">
                  <a16:creationId xmlns:a16="http://schemas.microsoft.com/office/drawing/2014/main" id="{00000000-0008-0000-0700-00002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29736" name="Drop Down 40" hidden="1">
              <a:extLst>
                <a:ext uri="{63B3BB69-23CF-44E3-9099-C40C66FF867C}">
                  <a14:compatExt spid="_x0000_s29736"/>
                </a:ext>
                <a:ext uri="{FF2B5EF4-FFF2-40B4-BE49-F238E27FC236}">
                  <a16:creationId xmlns:a16="http://schemas.microsoft.com/office/drawing/2014/main" id="{00000000-0008-0000-0700-00002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29737" name="Drop Down 41" hidden="1">
              <a:extLst>
                <a:ext uri="{63B3BB69-23CF-44E3-9099-C40C66FF867C}">
                  <a14:compatExt spid="_x0000_s29737"/>
                </a:ext>
                <a:ext uri="{FF2B5EF4-FFF2-40B4-BE49-F238E27FC236}">
                  <a16:creationId xmlns:a16="http://schemas.microsoft.com/office/drawing/2014/main" id="{00000000-0008-0000-0700-00002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29738" name="Drop Down 42" hidden="1">
              <a:extLst>
                <a:ext uri="{63B3BB69-23CF-44E3-9099-C40C66FF867C}">
                  <a14:compatExt spid="_x0000_s29738"/>
                </a:ext>
                <a:ext uri="{FF2B5EF4-FFF2-40B4-BE49-F238E27FC236}">
                  <a16:creationId xmlns:a16="http://schemas.microsoft.com/office/drawing/2014/main" id="{00000000-0008-0000-0700-00002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29739" name="Drop Down 43" hidden="1">
              <a:extLst>
                <a:ext uri="{63B3BB69-23CF-44E3-9099-C40C66FF867C}">
                  <a14:compatExt spid="_x0000_s29739"/>
                </a:ext>
                <a:ext uri="{FF2B5EF4-FFF2-40B4-BE49-F238E27FC236}">
                  <a16:creationId xmlns:a16="http://schemas.microsoft.com/office/drawing/2014/main" id="{00000000-0008-0000-0700-00002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29740" name="Drop Down 44" hidden="1">
              <a:extLst>
                <a:ext uri="{63B3BB69-23CF-44E3-9099-C40C66FF867C}">
                  <a14:compatExt spid="_x0000_s29740"/>
                </a:ext>
                <a:ext uri="{FF2B5EF4-FFF2-40B4-BE49-F238E27FC236}">
                  <a16:creationId xmlns:a16="http://schemas.microsoft.com/office/drawing/2014/main" id="{00000000-0008-0000-0700-00002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29743" name="Drop Down 47" hidden="1">
              <a:extLst>
                <a:ext uri="{63B3BB69-23CF-44E3-9099-C40C66FF867C}">
                  <a14:compatExt spid="_x0000_s29743"/>
                </a:ext>
                <a:ext uri="{FF2B5EF4-FFF2-40B4-BE49-F238E27FC236}">
                  <a16:creationId xmlns:a16="http://schemas.microsoft.com/office/drawing/2014/main" id="{00000000-0008-0000-0700-00002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29744" name="Drop Down 48" hidden="1">
              <a:extLst>
                <a:ext uri="{63B3BB69-23CF-44E3-9099-C40C66FF867C}">
                  <a14:compatExt spid="_x0000_s29744"/>
                </a:ext>
                <a:ext uri="{FF2B5EF4-FFF2-40B4-BE49-F238E27FC236}">
                  <a16:creationId xmlns:a16="http://schemas.microsoft.com/office/drawing/2014/main" id="{00000000-0008-0000-0700-00003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29745" name="Drop Down 49" hidden="1">
              <a:extLst>
                <a:ext uri="{63B3BB69-23CF-44E3-9099-C40C66FF867C}">
                  <a14:compatExt spid="_x0000_s29745"/>
                </a:ext>
                <a:ext uri="{FF2B5EF4-FFF2-40B4-BE49-F238E27FC236}">
                  <a16:creationId xmlns:a16="http://schemas.microsoft.com/office/drawing/2014/main" id="{00000000-0008-0000-0700-00003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29746" name="Drop Down 50" hidden="1">
              <a:extLst>
                <a:ext uri="{63B3BB69-23CF-44E3-9099-C40C66FF867C}">
                  <a14:compatExt spid="_x0000_s29746"/>
                </a:ext>
                <a:ext uri="{FF2B5EF4-FFF2-40B4-BE49-F238E27FC236}">
                  <a16:creationId xmlns:a16="http://schemas.microsoft.com/office/drawing/2014/main" id="{00000000-0008-0000-0700-00003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29747" name="Drop Down 51" hidden="1">
              <a:extLst>
                <a:ext uri="{63B3BB69-23CF-44E3-9099-C40C66FF867C}">
                  <a14:compatExt spid="_x0000_s29747"/>
                </a:ext>
                <a:ext uri="{FF2B5EF4-FFF2-40B4-BE49-F238E27FC236}">
                  <a16:creationId xmlns:a16="http://schemas.microsoft.com/office/drawing/2014/main" id="{00000000-0008-0000-0700-00003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29748" name="Drop Down 52" hidden="1">
              <a:extLst>
                <a:ext uri="{63B3BB69-23CF-44E3-9099-C40C66FF867C}">
                  <a14:compatExt spid="_x0000_s29748"/>
                </a:ext>
                <a:ext uri="{FF2B5EF4-FFF2-40B4-BE49-F238E27FC236}">
                  <a16:creationId xmlns:a16="http://schemas.microsoft.com/office/drawing/2014/main" id="{00000000-0008-0000-0700-00003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29751" name="Drop Down 55" hidden="1">
              <a:extLst>
                <a:ext uri="{63B3BB69-23CF-44E3-9099-C40C66FF867C}">
                  <a14:compatExt spid="_x0000_s29751"/>
                </a:ext>
                <a:ext uri="{FF2B5EF4-FFF2-40B4-BE49-F238E27FC236}">
                  <a16:creationId xmlns:a16="http://schemas.microsoft.com/office/drawing/2014/main" id="{00000000-0008-0000-0700-00003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29752" name="Drop Down 56" hidden="1">
              <a:extLst>
                <a:ext uri="{63B3BB69-23CF-44E3-9099-C40C66FF867C}">
                  <a14:compatExt spid="_x0000_s29752"/>
                </a:ext>
                <a:ext uri="{FF2B5EF4-FFF2-40B4-BE49-F238E27FC236}">
                  <a16:creationId xmlns:a16="http://schemas.microsoft.com/office/drawing/2014/main" id="{00000000-0008-0000-0700-00003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29753" name="Drop Down 57" hidden="1">
              <a:extLst>
                <a:ext uri="{63B3BB69-23CF-44E3-9099-C40C66FF867C}">
                  <a14:compatExt spid="_x0000_s29753"/>
                </a:ext>
                <a:ext uri="{FF2B5EF4-FFF2-40B4-BE49-F238E27FC236}">
                  <a16:creationId xmlns:a16="http://schemas.microsoft.com/office/drawing/2014/main" id="{00000000-0008-0000-0700-00003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29754" name="Drop Down 58" hidden="1">
              <a:extLst>
                <a:ext uri="{63B3BB69-23CF-44E3-9099-C40C66FF867C}">
                  <a14:compatExt spid="_x0000_s29754"/>
                </a:ext>
                <a:ext uri="{FF2B5EF4-FFF2-40B4-BE49-F238E27FC236}">
                  <a16:creationId xmlns:a16="http://schemas.microsoft.com/office/drawing/2014/main" id="{00000000-0008-0000-0700-00003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29755" name="Drop Down 59" hidden="1">
              <a:extLst>
                <a:ext uri="{63B3BB69-23CF-44E3-9099-C40C66FF867C}">
                  <a14:compatExt spid="_x0000_s29755"/>
                </a:ext>
                <a:ext uri="{FF2B5EF4-FFF2-40B4-BE49-F238E27FC236}">
                  <a16:creationId xmlns:a16="http://schemas.microsoft.com/office/drawing/2014/main" id="{00000000-0008-0000-0700-00003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29756" name="Drop Down 60" hidden="1">
              <a:extLst>
                <a:ext uri="{63B3BB69-23CF-44E3-9099-C40C66FF867C}">
                  <a14:compatExt spid="_x0000_s29756"/>
                </a:ext>
                <a:ext uri="{FF2B5EF4-FFF2-40B4-BE49-F238E27FC236}">
                  <a16:creationId xmlns:a16="http://schemas.microsoft.com/office/drawing/2014/main" id="{00000000-0008-0000-0700-00003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29757" name="Drop Down 61" hidden="1">
              <a:extLst>
                <a:ext uri="{63B3BB69-23CF-44E3-9099-C40C66FF867C}">
                  <a14:compatExt spid="_x0000_s29757"/>
                </a:ext>
                <a:ext uri="{FF2B5EF4-FFF2-40B4-BE49-F238E27FC236}">
                  <a16:creationId xmlns:a16="http://schemas.microsoft.com/office/drawing/2014/main" id="{00000000-0008-0000-0700-00003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29758" name="Drop Down 62" hidden="1">
              <a:extLst>
                <a:ext uri="{63B3BB69-23CF-44E3-9099-C40C66FF867C}">
                  <a14:compatExt spid="_x0000_s29758"/>
                </a:ext>
                <a:ext uri="{FF2B5EF4-FFF2-40B4-BE49-F238E27FC236}">
                  <a16:creationId xmlns:a16="http://schemas.microsoft.com/office/drawing/2014/main" id="{00000000-0008-0000-0700-00003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29759" name="Drop Down 63" hidden="1">
              <a:extLst>
                <a:ext uri="{63B3BB69-23CF-44E3-9099-C40C66FF867C}">
                  <a14:compatExt spid="_x0000_s29759"/>
                </a:ext>
                <a:ext uri="{FF2B5EF4-FFF2-40B4-BE49-F238E27FC236}">
                  <a16:creationId xmlns:a16="http://schemas.microsoft.com/office/drawing/2014/main" id="{00000000-0008-0000-0700-00003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29760" name="Drop Down 64" hidden="1">
              <a:extLst>
                <a:ext uri="{63B3BB69-23CF-44E3-9099-C40C66FF867C}">
                  <a14:compatExt spid="_x0000_s29760"/>
                </a:ext>
                <a:ext uri="{FF2B5EF4-FFF2-40B4-BE49-F238E27FC236}">
                  <a16:creationId xmlns:a16="http://schemas.microsoft.com/office/drawing/2014/main" id="{00000000-0008-0000-0700-00004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29761" name="Drop Down 65" hidden="1">
              <a:extLst>
                <a:ext uri="{63B3BB69-23CF-44E3-9099-C40C66FF867C}">
                  <a14:compatExt spid="_x0000_s29761"/>
                </a:ext>
                <a:ext uri="{FF2B5EF4-FFF2-40B4-BE49-F238E27FC236}">
                  <a16:creationId xmlns:a16="http://schemas.microsoft.com/office/drawing/2014/main" id="{00000000-0008-0000-0700-00004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29762" name="Drop Down 66" hidden="1">
              <a:extLst>
                <a:ext uri="{63B3BB69-23CF-44E3-9099-C40C66FF867C}">
                  <a14:compatExt spid="_x0000_s29762"/>
                </a:ext>
                <a:ext uri="{FF2B5EF4-FFF2-40B4-BE49-F238E27FC236}">
                  <a16:creationId xmlns:a16="http://schemas.microsoft.com/office/drawing/2014/main" id="{00000000-0008-0000-0700-00004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29763" name="Drop Down 67" hidden="1">
              <a:extLst>
                <a:ext uri="{63B3BB69-23CF-44E3-9099-C40C66FF867C}">
                  <a14:compatExt spid="_x0000_s29763"/>
                </a:ext>
                <a:ext uri="{FF2B5EF4-FFF2-40B4-BE49-F238E27FC236}">
                  <a16:creationId xmlns:a16="http://schemas.microsoft.com/office/drawing/2014/main" id="{00000000-0008-0000-0700-00004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29764" name="Drop Down 68" hidden="1">
              <a:extLst>
                <a:ext uri="{63B3BB69-23CF-44E3-9099-C40C66FF867C}">
                  <a14:compatExt spid="_x0000_s29764"/>
                </a:ext>
                <a:ext uri="{FF2B5EF4-FFF2-40B4-BE49-F238E27FC236}">
                  <a16:creationId xmlns:a16="http://schemas.microsoft.com/office/drawing/2014/main" id="{00000000-0008-0000-0700-00004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29765" name="Drop Down 69" hidden="1">
              <a:extLst>
                <a:ext uri="{63B3BB69-23CF-44E3-9099-C40C66FF867C}">
                  <a14:compatExt spid="_x0000_s29765"/>
                </a:ext>
                <a:ext uri="{FF2B5EF4-FFF2-40B4-BE49-F238E27FC236}">
                  <a16:creationId xmlns:a16="http://schemas.microsoft.com/office/drawing/2014/main" id="{00000000-0008-0000-0700-00004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29766" name="Drop Down 70" hidden="1">
              <a:extLst>
                <a:ext uri="{63B3BB69-23CF-44E3-9099-C40C66FF867C}">
                  <a14:compatExt spid="_x0000_s29766"/>
                </a:ext>
                <a:ext uri="{FF2B5EF4-FFF2-40B4-BE49-F238E27FC236}">
                  <a16:creationId xmlns:a16="http://schemas.microsoft.com/office/drawing/2014/main" id="{00000000-0008-0000-0700-00004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29767" name="Drop Down 71" hidden="1">
              <a:extLst>
                <a:ext uri="{63B3BB69-23CF-44E3-9099-C40C66FF867C}">
                  <a14:compatExt spid="_x0000_s29767"/>
                </a:ext>
                <a:ext uri="{FF2B5EF4-FFF2-40B4-BE49-F238E27FC236}">
                  <a16:creationId xmlns:a16="http://schemas.microsoft.com/office/drawing/2014/main" id="{00000000-0008-0000-0700-00004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29768" name="Drop Down 72" hidden="1">
              <a:extLst>
                <a:ext uri="{63B3BB69-23CF-44E3-9099-C40C66FF867C}">
                  <a14:compatExt spid="_x0000_s29768"/>
                </a:ext>
                <a:ext uri="{FF2B5EF4-FFF2-40B4-BE49-F238E27FC236}">
                  <a16:creationId xmlns:a16="http://schemas.microsoft.com/office/drawing/2014/main" id="{00000000-0008-0000-0700-00004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29769" name="Drop Down 73" hidden="1">
              <a:extLst>
                <a:ext uri="{63B3BB69-23CF-44E3-9099-C40C66FF867C}">
                  <a14:compatExt spid="_x0000_s29769"/>
                </a:ext>
                <a:ext uri="{FF2B5EF4-FFF2-40B4-BE49-F238E27FC236}">
                  <a16:creationId xmlns:a16="http://schemas.microsoft.com/office/drawing/2014/main" id="{00000000-0008-0000-0700-00004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29770" name="Drop Down 74" hidden="1">
              <a:extLst>
                <a:ext uri="{63B3BB69-23CF-44E3-9099-C40C66FF867C}">
                  <a14:compatExt spid="_x0000_s29770"/>
                </a:ext>
                <a:ext uri="{FF2B5EF4-FFF2-40B4-BE49-F238E27FC236}">
                  <a16:creationId xmlns:a16="http://schemas.microsoft.com/office/drawing/2014/main" id="{00000000-0008-0000-0700-00004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29771" name="Drop Down 75" hidden="1">
              <a:extLst>
                <a:ext uri="{63B3BB69-23CF-44E3-9099-C40C66FF867C}">
                  <a14:compatExt spid="_x0000_s29771"/>
                </a:ext>
                <a:ext uri="{FF2B5EF4-FFF2-40B4-BE49-F238E27FC236}">
                  <a16:creationId xmlns:a16="http://schemas.microsoft.com/office/drawing/2014/main" id="{00000000-0008-0000-0700-00004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29772" name="Drop Down 76" hidden="1">
              <a:extLst>
                <a:ext uri="{63B3BB69-23CF-44E3-9099-C40C66FF867C}">
                  <a14:compatExt spid="_x0000_s29772"/>
                </a:ext>
                <a:ext uri="{FF2B5EF4-FFF2-40B4-BE49-F238E27FC236}">
                  <a16:creationId xmlns:a16="http://schemas.microsoft.com/office/drawing/2014/main" id="{00000000-0008-0000-0700-00004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29773" name="Drop Down 77" hidden="1">
              <a:extLst>
                <a:ext uri="{63B3BB69-23CF-44E3-9099-C40C66FF867C}">
                  <a14:compatExt spid="_x0000_s29773"/>
                </a:ext>
                <a:ext uri="{FF2B5EF4-FFF2-40B4-BE49-F238E27FC236}">
                  <a16:creationId xmlns:a16="http://schemas.microsoft.com/office/drawing/2014/main" id="{00000000-0008-0000-0700-00004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29774" name="Drop Down 78" hidden="1">
              <a:extLst>
                <a:ext uri="{63B3BB69-23CF-44E3-9099-C40C66FF867C}">
                  <a14:compatExt spid="_x0000_s29774"/>
                </a:ext>
                <a:ext uri="{FF2B5EF4-FFF2-40B4-BE49-F238E27FC236}">
                  <a16:creationId xmlns:a16="http://schemas.microsoft.com/office/drawing/2014/main" id="{00000000-0008-0000-0700-00004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29783" name="Drop Down 87" hidden="1">
              <a:extLst>
                <a:ext uri="{63B3BB69-23CF-44E3-9099-C40C66FF867C}">
                  <a14:compatExt spid="_x0000_s29783"/>
                </a:ext>
                <a:ext uri="{FF2B5EF4-FFF2-40B4-BE49-F238E27FC236}">
                  <a16:creationId xmlns:a16="http://schemas.microsoft.com/office/drawing/2014/main" id="{00000000-0008-0000-0700-00005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29784" name="Drop Down 88" hidden="1">
              <a:extLst>
                <a:ext uri="{63B3BB69-23CF-44E3-9099-C40C66FF867C}">
                  <a14:compatExt spid="_x0000_s29784"/>
                </a:ext>
                <a:ext uri="{FF2B5EF4-FFF2-40B4-BE49-F238E27FC236}">
                  <a16:creationId xmlns:a16="http://schemas.microsoft.com/office/drawing/2014/main" id="{00000000-0008-0000-0700-00005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29785" name="Drop Down 89" hidden="1">
              <a:extLst>
                <a:ext uri="{63B3BB69-23CF-44E3-9099-C40C66FF867C}">
                  <a14:compatExt spid="_x0000_s29785"/>
                </a:ext>
                <a:ext uri="{FF2B5EF4-FFF2-40B4-BE49-F238E27FC236}">
                  <a16:creationId xmlns:a16="http://schemas.microsoft.com/office/drawing/2014/main" id="{00000000-0008-0000-0700-00005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29786" name="Drop Down 90" hidden="1">
              <a:extLst>
                <a:ext uri="{63B3BB69-23CF-44E3-9099-C40C66FF867C}">
                  <a14:compatExt spid="_x0000_s29786"/>
                </a:ext>
                <a:ext uri="{FF2B5EF4-FFF2-40B4-BE49-F238E27FC236}">
                  <a16:creationId xmlns:a16="http://schemas.microsoft.com/office/drawing/2014/main" id="{00000000-0008-0000-0700-00005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29787" name="Drop Down 91" hidden="1">
              <a:extLst>
                <a:ext uri="{63B3BB69-23CF-44E3-9099-C40C66FF867C}">
                  <a14:compatExt spid="_x0000_s29787"/>
                </a:ext>
                <a:ext uri="{FF2B5EF4-FFF2-40B4-BE49-F238E27FC236}">
                  <a16:creationId xmlns:a16="http://schemas.microsoft.com/office/drawing/2014/main" id="{00000000-0008-0000-0700-00005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29788" name="Drop Down 92" hidden="1">
              <a:extLst>
                <a:ext uri="{63B3BB69-23CF-44E3-9099-C40C66FF867C}">
                  <a14:compatExt spid="_x0000_s29788"/>
                </a:ext>
                <a:ext uri="{FF2B5EF4-FFF2-40B4-BE49-F238E27FC236}">
                  <a16:creationId xmlns:a16="http://schemas.microsoft.com/office/drawing/2014/main" id="{00000000-0008-0000-0700-00005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29791" name="Drop Down 95" hidden="1">
              <a:extLst>
                <a:ext uri="{63B3BB69-23CF-44E3-9099-C40C66FF867C}">
                  <a14:compatExt spid="_x0000_s29791"/>
                </a:ext>
                <a:ext uri="{FF2B5EF4-FFF2-40B4-BE49-F238E27FC236}">
                  <a16:creationId xmlns:a16="http://schemas.microsoft.com/office/drawing/2014/main" id="{00000000-0008-0000-0700-00005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29792" name="Drop Down 96" hidden="1">
              <a:extLst>
                <a:ext uri="{63B3BB69-23CF-44E3-9099-C40C66FF867C}">
                  <a14:compatExt spid="_x0000_s29792"/>
                </a:ext>
                <a:ext uri="{FF2B5EF4-FFF2-40B4-BE49-F238E27FC236}">
                  <a16:creationId xmlns:a16="http://schemas.microsoft.com/office/drawing/2014/main" id="{00000000-0008-0000-0700-00006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29793" name="Drop Down 97" hidden="1">
              <a:extLst>
                <a:ext uri="{63B3BB69-23CF-44E3-9099-C40C66FF867C}">
                  <a14:compatExt spid="_x0000_s29793"/>
                </a:ext>
                <a:ext uri="{FF2B5EF4-FFF2-40B4-BE49-F238E27FC236}">
                  <a16:creationId xmlns:a16="http://schemas.microsoft.com/office/drawing/2014/main" id="{00000000-0008-0000-0700-00006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29794" name="Drop Down 98" hidden="1">
              <a:extLst>
                <a:ext uri="{63B3BB69-23CF-44E3-9099-C40C66FF867C}">
                  <a14:compatExt spid="_x0000_s29794"/>
                </a:ext>
                <a:ext uri="{FF2B5EF4-FFF2-40B4-BE49-F238E27FC236}">
                  <a16:creationId xmlns:a16="http://schemas.microsoft.com/office/drawing/2014/main" id="{00000000-0008-0000-0700-00006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29795" name="Drop Down 99" hidden="1">
              <a:extLst>
                <a:ext uri="{63B3BB69-23CF-44E3-9099-C40C66FF867C}">
                  <a14:compatExt spid="_x0000_s29795"/>
                </a:ext>
                <a:ext uri="{FF2B5EF4-FFF2-40B4-BE49-F238E27FC236}">
                  <a16:creationId xmlns:a16="http://schemas.microsoft.com/office/drawing/2014/main" id="{00000000-0008-0000-0700-00006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29796" name="Drop Down 100" hidden="1">
              <a:extLst>
                <a:ext uri="{63B3BB69-23CF-44E3-9099-C40C66FF867C}">
                  <a14:compatExt spid="_x0000_s29796"/>
                </a:ext>
                <a:ext uri="{FF2B5EF4-FFF2-40B4-BE49-F238E27FC236}">
                  <a16:creationId xmlns:a16="http://schemas.microsoft.com/office/drawing/2014/main" id="{00000000-0008-0000-0700-00006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29799" name="Drop Down 103" hidden="1">
              <a:extLst>
                <a:ext uri="{63B3BB69-23CF-44E3-9099-C40C66FF867C}">
                  <a14:compatExt spid="_x0000_s29799"/>
                </a:ext>
                <a:ext uri="{FF2B5EF4-FFF2-40B4-BE49-F238E27FC236}">
                  <a16:creationId xmlns:a16="http://schemas.microsoft.com/office/drawing/2014/main" id="{00000000-0008-0000-0700-00006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29800" name="Drop Down 104" hidden="1">
              <a:extLst>
                <a:ext uri="{63B3BB69-23CF-44E3-9099-C40C66FF867C}">
                  <a14:compatExt spid="_x0000_s29800"/>
                </a:ext>
                <a:ext uri="{FF2B5EF4-FFF2-40B4-BE49-F238E27FC236}">
                  <a16:creationId xmlns:a16="http://schemas.microsoft.com/office/drawing/2014/main" id="{00000000-0008-0000-0700-00006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29801" name="Drop Down 105" hidden="1">
              <a:extLst>
                <a:ext uri="{63B3BB69-23CF-44E3-9099-C40C66FF867C}">
                  <a14:compatExt spid="_x0000_s29801"/>
                </a:ext>
                <a:ext uri="{FF2B5EF4-FFF2-40B4-BE49-F238E27FC236}">
                  <a16:creationId xmlns:a16="http://schemas.microsoft.com/office/drawing/2014/main" id="{00000000-0008-0000-0700-00006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29802" name="Drop Down 106" hidden="1">
              <a:extLst>
                <a:ext uri="{63B3BB69-23CF-44E3-9099-C40C66FF867C}">
                  <a14:compatExt spid="_x0000_s29802"/>
                </a:ext>
                <a:ext uri="{FF2B5EF4-FFF2-40B4-BE49-F238E27FC236}">
                  <a16:creationId xmlns:a16="http://schemas.microsoft.com/office/drawing/2014/main" id="{00000000-0008-0000-0700-00006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29803" name="Drop Down 107" hidden="1">
              <a:extLst>
                <a:ext uri="{63B3BB69-23CF-44E3-9099-C40C66FF867C}">
                  <a14:compatExt spid="_x0000_s29803"/>
                </a:ext>
                <a:ext uri="{FF2B5EF4-FFF2-40B4-BE49-F238E27FC236}">
                  <a16:creationId xmlns:a16="http://schemas.microsoft.com/office/drawing/2014/main" id="{00000000-0008-0000-0700-00006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29804" name="Drop Down 108" hidden="1">
              <a:extLst>
                <a:ext uri="{63B3BB69-23CF-44E3-9099-C40C66FF867C}">
                  <a14:compatExt spid="_x0000_s29804"/>
                </a:ext>
                <a:ext uri="{FF2B5EF4-FFF2-40B4-BE49-F238E27FC236}">
                  <a16:creationId xmlns:a16="http://schemas.microsoft.com/office/drawing/2014/main" id="{00000000-0008-0000-0700-00006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29807" name="Drop Down 111" hidden="1">
              <a:extLst>
                <a:ext uri="{63B3BB69-23CF-44E3-9099-C40C66FF867C}">
                  <a14:compatExt spid="_x0000_s29807"/>
                </a:ext>
                <a:ext uri="{FF2B5EF4-FFF2-40B4-BE49-F238E27FC236}">
                  <a16:creationId xmlns:a16="http://schemas.microsoft.com/office/drawing/2014/main" id="{00000000-0008-0000-0700-00006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29808" name="Drop Down 112" hidden="1">
              <a:extLst>
                <a:ext uri="{63B3BB69-23CF-44E3-9099-C40C66FF867C}">
                  <a14:compatExt spid="_x0000_s29808"/>
                </a:ext>
                <a:ext uri="{FF2B5EF4-FFF2-40B4-BE49-F238E27FC236}">
                  <a16:creationId xmlns:a16="http://schemas.microsoft.com/office/drawing/2014/main" id="{00000000-0008-0000-0700-00007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29809" name="Drop Down 113" hidden="1">
              <a:extLst>
                <a:ext uri="{63B3BB69-23CF-44E3-9099-C40C66FF867C}">
                  <a14:compatExt spid="_x0000_s29809"/>
                </a:ext>
                <a:ext uri="{FF2B5EF4-FFF2-40B4-BE49-F238E27FC236}">
                  <a16:creationId xmlns:a16="http://schemas.microsoft.com/office/drawing/2014/main" id="{00000000-0008-0000-0700-00007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29810" name="Drop Down 114" hidden="1">
              <a:extLst>
                <a:ext uri="{63B3BB69-23CF-44E3-9099-C40C66FF867C}">
                  <a14:compatExt spid="_x0000_s29810"/>
                </a:ext>
                <a:ext uri="{FF2B5EF4-FFF2-40B4-BE49-F238E27FC236}">
                  <a16:creationId xmlns:a16="http://schemas.microsoft.com/office/drawing/2014/main" id="{00000000-0008-0000-0700-00007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29811" name="Drop Down 115" hidden="1">
              <a:extLst>
                <a:ext uri="{63B3BB69-23CF-44E3-9099-C40C66FF867C}">
                  <a14:compatExt spid="_x0000_s29811"/>
                </a:ext>
                <a:ext uri="{FF2B5EF4-FFF2-40B4-BE49-F238E27FC236}">
                  <a16:creationId xmlns:a16="http://schemas.microsoft.com/office/drawing/2014/main" id="{00000000-0008-0000-0700-00007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29812" name="Drop Down 116" hidden="1">
              <a:extLst>
                <a:ext uri="{63B3BB69-23CF-44E3-9099-C40C66FF867C}">
                  <a14:compatExt spid="_x0000_s29812"/>
                </a:ext>
                <a:ext uri="{FF2B5EF4-FFF2-40B4-BE49-F238E27FC236}">
                  <a16:creationId xmlns:a16="http://schemas.microsoft.com/office/drawing/2014/main" id="{00000000-0008-0000-0700-00007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29815" name="Drop Down 119" hidden="1">
              <a:extLst>
                <a:ext uri="{63B3BB69-23CF-44E3-9099-C40C66FF867C}">
                  <a14:compatExt spid="_x0000_s29815"/>
                </a:ext>
                <a:ext uri="{FF2B5EF4-FFF2-40B4-BE49-F238E27FC236}">
                  <a16:creationId xmlns:a16="http://schemas.microsoft.com/office/drawing/2014/main" id="{00000000-0008-0000-0700-00007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29816" name="Drop Down 120" hidden="1">
              <a:extLst>
                <a:ext uri="{63B3BB69-23CF-44E3-9099-C40C66FF867C}">
                  <a14:compatExt spid="_x0000_s29816"/>
                </a:ext>
                <a:ext uri="{FF2B5EF4-FFF2-40B4-BE49-F238E27FC236}">
                  <a16:creationId xmlns:a16="http://schemas.microsoft.com/office/drawing/2014/main" id="{00000000-0008-0000-0700-00007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29817" name="Drop Down 121" hidden="1">
              <a:extLst>
                <a:ext uri="{63B3BB69-23CF-44E3-9099-C40C66FF867C}">
                  <a14:compatExt spid="_x0000_s29817"/>
                </a:ext>
                <a:ext uri="{FF2B5EF4-FFF2-40B4-BE49-F238E27FC236}">
                  <a16:creationId xmlns:a16="http://schemas.microsoft.com/office/drawing/2014/main" id="{00000000-0008-0000-0700-00007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29818" name="Drop Down 122" hidden="1">
              <a:extLst>
                <a:ext uri="{63B3BB69-23CF-44E3-9099-C40C66FF867C}">
                  <a14:compatExt spid="_x0000_s29818"/>
                </a:ext>
                <a:ext uri="{FF2B5EF4-FFF2-40B4-BE49-F238E27FC236}">
                  <a16:creationId xmlns:a16="http://schemas.microsoft.com/office/drawing/2014/main" id="{00000000-0008-0000-0700-00007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29819" name="Drop Down 123" hidden="1">
              <a:extLst>
                <a:ext uri="{63B3BB69-23CF-44E3-9099-C40C66FF867C}">
                  <a14:compatExt spid="_x0000_s29819"/>
                </a:ext>
                <a:ext uri="{FF2B5EF4-FFF2-40B4-BE49-F238E27FC236}">
                  <a16:creationId xmlns:a16="http://schemas.microsoft.com/office/drawing/2014/main" id="{00000000-0008-0000-0700-00007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29820" name="Drop Down 124" hidden="1">
              <a:extLst>
                <a:ext uri="{63B3BB69-23CF-44E3-9099-C40C66FF867C}">
                  <a14:compatExt spid="_x0000_s29820"/>
                </a:ext>
                <a:ext uri="{FF2B5EF4-FFF2-40B4-BE49-F238E27FC236}">
                  <a16:creationId xmlns:a16="http://schemas.microsoft.com/office/drawing/2014/main" id="{00000000-0008-0000-0700-00007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29823" name="Drop Down 127" hidden="1">
              <a:extLst>
                <a:ext uri="{63B3BB69-23CF-44E3-9099-C40C66FF867C}">
                  <a14:compatExt spid="_x0000_s29823"/>
                </a:ext>
                <a:ext uri="{FF2B5EF4-FFF2-40B4-BE49-F238E27FC236}">
                  <a16:creationId xmlns:a16="http://schemas.microsoft.com/office/drawing/2014/main" id="{00000000-0008-0000-0700-00007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29824" name="Drop Down 128" hidden="1">
              <a:extLst>
                <a:ext uri="{63B3BB69-23CF-44E3-9099-C40C66FF867C}">
                  <a14:compatExt spid="_x0000_s29824"/>
                </a:ext>
                <a:ext uri="{FF2B5EF4-FFF2-40B4-BE49-F238E27FC236}">
                  <a16:creationId xmlns:a16="http://schemas.microsoft.com/office/drawing/2014/main" id="{00000000-0008-0000-0700-00008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29825" name="Drop Down 129" hidden="1">
              <a:extLst>
                <a:ext uri="{63B3BB69-23CF-44E3-9099-C40C66FF867C}">
                  <a14:compatExt spid="_x0000_s29825"/>
                </a:ext>
                <a:ext uri="{FF2B5EF4-FFF2-40B4-BE49-F238E27FC236}">
                  <a16:creationId xmlns:a16="http://schemas.microsoft.com/office/drawing/2014/main" id="{00000000-0008-0000-0700-00008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29826" name="Drop Down 130" hidden="1">
              <a:extLst>
                <a:ext uri="{63B3BB69-23CF-44E3-9099-C40C66FF867C}">
                  <a14:compatExt spid="_x0000_s29826"/>
                </a:ext>
                <a:ext uri="{FF2B5EF4-FFF2-40B4-BE49-F238E27FC236}">
                  <a16:creationId xmlns:a16="http://schemas.microsoft.com/office/drawing/2014/main" id="{00000000-0008-0000-0700-00008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29827" name="Drop Down 131" hidden="1">
              <a:extLst>
                <a:ext uri="{63B3BB69-23CF-44E3-9099-C40C66FF867C}">
                  <a14:compatExt spid="_x0000_s29827"/>
                </a:ext>
                <a:ext uri="{FF2B5EF4-FFF2-40B4-BE49-F238E27FC236}">
                  <a16:creationId xmlns:a16="http://schemas.microsoft.com/office/drawing/2014/main" id="{00000000-0008-0000-0700-00008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29828" name="Drop Down 132" hidden="1">
              <a:extLst>
                <a:ext uri="{63B3BB69-23CF-44E3-9099-C40C66FF867C}">
                  <a14:compatExt spid="_x0000_s29828"/>
                </a:ext>
                <a:ext uri="{FF2B5EF4-FFF2-40B4-BE49-F238E27FC236}">
                  <a16:creationId xmlns:a16="http://schemas.microsoft.com/office/drawing/2014/main" id="{00000000-0008-0000-0700-00008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29831" name="Drop Down 135" hidden="1">
              <a:extLst>
                <a:ext uri="{63B3BB69-23CF-44E3-9099-C40C66FF867C}">
                  <a14:compatExt spid="_x0000_s29831"/>
                </a:ext>
                <a:ext uri="{FF2B5EF4-FFF2-40B4-BE49-F238E27FC236}">
                  <a16:creationId xmlns:a16="http://schemas.microsoft.com/office/drawing/2014/main" id="{00000000-0008-0000-0700-00008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29832" name="Drop Down 136" hidden="1">
              <a:extLst>
                <a:ext uri="{63B3BB69-23CF-44E3-9099-C40C66FF867C}">
                  <a14:compatExt spid="_x0000_s29832"/>
                </a:ext>
                <a:ext uri="{FF2B5EF4-FFF2-40B4-BE49-F238E27FC236}">
                  <a16:creationId xmlns:a16="http://schemas.microsoft.com/office/drawing/2014/main" id="{00000000-0008-0000-0700-00008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29833" name="Drop Down 137" hidden="1">
              <a:extLst>
                <a:ext uri="{63B3BB69-23CF-44E3-9099-C40C66FF867C}">
                  <a14:compatExt spid="_x0000_s29833"/>
                </a:ext>
                <a:ext uri="{FF2B5EF4-FFF2-40B4-BE49-F238E27FC236}">
                  <a16:creationId xmlns:a16="http://schemas.microsoft.com/office/drawing/2014/main" id="{00000000-0008-0000-0700-00008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29834" name="Drop Down 138" hidden="1">
              <a:extLst>
                <a:ext uri="{63B3BB69-23CF-44E3-9099-C40C66FF867C}">
                  <a14:compatExt spid="_x0000_s29834"/>
                </a:ext>
                <a:ext uri="{FF2B5EF4-FFF2-40B4-BE49-F238E27FC236}">
                  <a16:creationId xmlns:a16="http://schemas.microsoft.com/office/drawing/2014/main" id="{00000000-0008-0000-0700-00008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29835" name="Drop Down 139" hidden="1">
              <a:extLst>
                <a:ext uri="{63B3BB69-23CF-44E3-9099-C40C66FF867C}">
                  <a14:compatExt spid="_x0000_s29835"/>
                </a:ext>
                <a:ext uri="{FF2B5EF4-FFF2-40B4-BE49-F238E27FC236}">
                  <a16:creationId xmlns:a16="http://schemas.microsoft.com/office/drawing/2014/main" id="{00000000-0008-0000-0700-00008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29836" name="Drop Down 140" hidden="1">
              <a:extLst>
                <a:ext uri="{63B3BB69-23CF-44E3-9099-C40C66FF867C}">
                  <a14:compatExt spid="_x0000_s29836"/>
                </a:ext>
                <a:ext uri="{FF2B5EF4-FFF2-40B4-BE49-F238E27FC236}">
                  <a16:creationId xmlns:a16="http://schemas.microsoft.com/office/drawing/2014/main" id="{00000000-0008-0000-0700-00008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29935" name="Check Box 239" hidden="1">
              <a:extLst>
                <a:ext uri="{63B3BB69-23CF-44E3-9099-C40C66FF867C}">
                  <a14:compatExt spid="_x0000_s29935"/>
                </a:ext>
                <a:ext uri="{FF2B5EF4-FFF2-40B4-BE49-F238E27FC236}">
                  <a16:creationId xmlns:a16="http://schemas.microsoft.com/office/drawing/2014/main" id="{00000000-0008-0000-0700-0000E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29936" name="Check Box 240" hidden="1">
              <a:extLst>
                <a:ext uri="{63B3BB69-23CF-44E3-9099-C40C66FF867C}">
                  <a14:compatExt spid="_x0000_s29936"/>
                </a:ext>
                <a:ext uri="{FF2B5EF4-FFF2-40B4-BE49-F238E27FC236}">
                  <a16:creationId xmlns:a16="http://schemas.microsoft.com/office/drawing/2014/main" id="{00000000-0008-0000-0700-0000F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742950</xdr:colOff>
          <xdr:row>25</xdr:row>
          <xdr:rowOff>219075</xdr:rowOff>
        </xdr:to>
        <xdr:sp macro="" textlink="">
          <xdr:nvSpPr>
            <xdr:cNvPr id="29937" name="Check Box 241" hidden="1">
              <a:extLst>
                <a:ext uri="{63B3BB69-23CF-44E3-9099-C40C66FF867C}">
                  <a14:compatExt spid="_x0000_s29937"/>
                </a:ext>
                <a:ext uri="{FF2B5EF4-FFF2-40B4-BE49-F238E27FC236}">
                  <a16:creationId xmlns:a16="http://schemas.microsoft.com/office/drawing/2014/main" id="{00000000-0008-0000-0700-0000F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29938" name="Check Box 242" hidden="1">
              <a:extLst>
                <a:ext uri="{63B3BB69-23CF-44E3-9099-C40C66FF867C}">
                  <a14:compatExt spid="_x0000_s29938"/>
                </a:ext>
                <a:ext uri="{FF2B5EF4-FFF2-40B4-BE49-F238E27FC236}">
                  <a16:creationId xmlns:a16="http://schemas.microsoft.com/office/drawing/2014/main" id="{00000000-0008-0000-0700-0000F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742950</xdr:colOff>
          <xdr:row>27</xdr:row>
          <xdr:rowOff>219075</xdr:rowOff>
        </xdr:to>
        <xdr:sp macro="" textlink="">
          <xdr:nvSpPr>
            <xdr:cNvPr id="29939" name="Check Box 243" hidden="1">
              <a:extLst>
                <a:ext uri="{63B3BB69-23CF-44E3-9099-C40C66FF867C}">
                  <a14:compatExt spid="_x0000_s29939"/>
                </a:ext>
                <a:ext uri="{FF2B5EF4-FFF2-40B4-BE49-F238E27FC236}">
                  <a16:creationId xmlns:a16="http://schemas.microsoft.com/office/drawing/2014/main" id="{00000000-0008-0000-0700-0000F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29940" name="Check Box 244" hidden="1">
              <a:extLst>
                <a:ext uri="{63B3BB69-23CF-44E3-9099-C40C66FF867C}">
                  <a14:compatExt spid="_x0000_s29940"/>
                </a:ext>
                <a:ext uri="{FF2B5EF4-FFF2-40B4-BE49-F238E27FC236}">
                  <a16:creationId xmlns:a16="http://schemas.microsoft.com/office/drawing/2014/main" id="{00000000-0008-0000-0700-0000F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742950</xdr:colOff>
          <xdr:row>29</xdr:row>
          <xdr:rowOff>219075</xdr:rowOff>
        </xdr:to>
        <xdr:sp macro="" textlink="">
          <xdr:nvSpPr>
            <xdr:cNvPr id="29941" name="Check Box 245" hidden="1">
              <a:extLst>
                <a:ext uri="{63B3BB69-23CF-44E3-9099-C40C66FF867C}">
                  <a14:compatExt spid="_x0000_s29941"/>
                </a:ext>
                <a:ext uri="{FF2B5EF4-FFF2-40B4-BE49-F238E27FC236}">
                  <a16:creationId xmlns:a16="http://schemas.microsoft.com/office/drawing/2014/main" id="{00000000-0008-0000-0700-0000F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742950</xdr:colOff>
          <xdr:row>31</xdr:row>
          <xdr:rowOff>0</xdr:rowOff>
        </xdr:to>
        <xdr:sp macro="" textlink="">
          <xdr:nvSpPr>
            <xdr:cNvPr id="29942" name="Check Box 246" hidden="1">
              <a:extLst>
                <a:ext uri="{63B3BB69-23CF-44E3-9099-C40C66FF867C}">
                  <a14:compatExt spid="_x0000_s29942"/>
                </a:ext>
                <a:ext uri="{FF2B5EF4-FFF2-40B4-BE49-F238E27FC236}">
                  <a16:creationId xmlns:a16="http://schemas.microsoft.com/office/drawing/2014/main" id="{00000000-0008-0000-0700-0000F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742950</xdr:colOff>
          <xdr:row>31</xdr:row>
          <xdr:rowOff>219075</xdr:rowOff>
        </xdr:to>
        <xdr:sp macro="" textlink="">
          <xdr:nvSpPr>
            <xdr:cNvPr id="29943" name="Check Box 247" hidden="1">
              <a:extLst>
                <a:ext uri="{63B3BB69-23CF-44E3-9099-C40C66FF867C}">
                  <a14:compatExt spid="_x0000_s29943"/>
                </a:ext>
                <a:ext uri="{FF2B5EF4-FFF2-40B4-BE49-F238E27FC236}">
                  <a16:creationId xmlns:a16="http://schemas.microsoft.com/office/drawing/2014/main" id="{00000000-0008-0000-0700-0000F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742950</xdr:colOff>
          <xdr:row>33</xdr:row>
          <xdr:rowOff>0</xdr:rowOff>
        </xdr:to>
        <xdr:sp macro="" textlink="">
          <xdr:nvSpPr>
            <xdr:cNvPr id="29944" name="Check Box 248" hidden="1">
              <a:extLst>
                <a:ext uri="{63B3BB69-23CF-44E3-9099-C40C66FF867C}">
                  <a14:compatExt spid="_x0000_s29944"/>
                </a:ext>
                <a:ext uri="{FF2B5EF4-FFF2-40B4-BE49-F238E27FC236}">
                  <a16:creationId xmlns:a16="http://schemas.microsoft.com/office/drawing/2014/main" id="{00000000-0008-0000-0700-0000F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742950</xdr:colOff>
          <xdr:row>33</xdr:row>
          <xdr:rowOff>219075</xdr:rowOff>
        </xdr:to>
        <xdr:sp macro="" textlink="">
          <xdr:nvSpPr>
            <xdr:cNvPr id="29945" name="Check Box 249" hidden="1">
              <a:extLst>
                <a:ext uri="{63B3BB69-23CF-44E3-9099-C40C66FF867C}">
                  <a14:compatExt spid="_x0000_s29945"/>
                </a:ext>
                <a:ext uri="{FF2B5EF4-FFF2-40B4-BE49-F238E27FC236}">
                  <a16:creationId xmlns:a16="http://schemas.microsoft.com/office/drawing/2014/main" id="{00000000-0008-0000-0700-0000F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29946" name="Check Box 250" hidden="1">
              <a:extLst>
                <a:ext uri="{63B3BB69-23CF-44E3-9099-C40C66FF867C}">
                  <a14:compatExt spid="_x0000_s29946"/>
                </a:ext>
                <a:ext uri="{FF2B5EF4-FFF2-40B4-BE49-F238E27FC236}">
                  <a16:creationId xmlns:a16="http://schemas.microsoft.com/office/drawing/2014/main" id="{00000000-0008-0000-0700-0000F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742950</xdr:colOff>
          <xdr:row>35</xdr:row>
          <xdr:rowOff>219075</xdr:rowOff>
        </xdr:to>
        <xdr:sp macro="" textlink="">
          <xdr:nvSpPr>
            <xdr:cNvPr id="29947" name="Check Box 251" hidden="1">
              <a:extLst>
                <a:ext uri="{63B3BB69-23CF-44E3-9099-C40C66FF867C}">
                  <a14:compatExt spid="_x0000_s29947"/>
                </a:ext>
                <a:ext uri="{FF2B5EF4-FFF2-40B4-BE49-F238E27FC236}">
                  <a16:creationId xmlns:a16="http://schemas.microsoft.com/office/drawing/2014/main" id="{00000000-0008-0000-0700-0000F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742950</xdr:colOff>
          <xdr:row>36</xdr:row>
          <xdr:rowOff>219075</xdr:rowOff>
        </xdr:to>
        <xdr:sp macro="" textlink="">
          <xdr:nvSpPr>
            <xdr:cNvPr id="29948" name="Check Box 252" hidden="1">
              <a:extLst>
                <a:ext uri="{63B3BB69-23CF-44E3-9099-C40C66FF867C}">
                  <a14:compatExt spid="_x0000_s29948"/>
                </a:ext>
                <a:ext uri="{FF2B5EF4-FFF2-40B4-BE49-F238E27FC236}">
                  <a16:creationId xmlns:a16="http://schemas.microsoft.com/office/drawing/2014/main" id="{00000000-0008-0000-0700-0000F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742950</xdr:colOff>
          <xdr:row>37</xdr:row>
          <xdr:rowOff>219075</xdr:rowOff>
        </xdr:to>
        <xdr:sp macro="" textlink="">
          <xdr:nvSpPr>
            <xdr:cNvPr id="29949" name="Check Box 253" hidden="1">
              <a:extLst>
                <a:ext uri="{63B3BB69-23CF-44E3-9099-C40C66FF867C}">
                  <a14:compatExt spid="_x0000_s29949"/>
                </a:ext>
                <a:ext uri="{FF2B5EF4-FFF2-40B4-BE49-F238E27FC236}">
                  <a16:creationId xmlns:a16="http://schemas.microsoft.com/office/drawing/2014/main" id="{00000000-0008-0000-0700-0000F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742950</xdr:colOff>
          <xdr:row>38</xdr:row>
          <xdr:rowOff>200025</xdr:rowOff>
        </xdr:to>
        <xdr:sp macro="" textlink="">
          <xdr:nvSpPr>
            <xdr:cNvPr id="29950" name="Check Box 254" hidden="1">
              <a:extLst>
                <a:ext uri="{63B3BB69-23CF-44E3-9099-C40C66FF867C}">
                  <a14:compatExt spid="_x0000_s29950"/>
                </a:ext>
                <a:ext uri="{FF2B5EF4-FFF2-40B4-BE49-F238E27FC236}">
                  <a16:creationId xmlns:a16="http://schemas.microsoft.com/office/drawing/2014/main" id="{00000000-0008-0000-0700-0000F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29951" name="Check Box 255" hidden="1">
              <a:extLst>
                <a:ext uri="{63B3BB69-23CF-44E3-9099-C40C66FF867C}">
                  <a14:compatExt spid="_x0000_s29951"/>
                </a:ext>
                <a:ext uri="{FF2B5EF4-FFF2-40B4-BE49-F238E27FC236}">
                  <a16:creationId xmlns:a16="http://schemas.microsoft.com/office/drawing/2014/main" id="{00000000-0008-0000-0700-0000F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29952" name="Check Box 256" hidden="1">
              <a:extLst>
                <a:ext uri="{63B3BB69-23CF-44E3-9099-C40C66FF867C}">
                  <a14:compatExt spid="_x0000_s29952"/>
                </a:ext>
                <a:ext uri="{FF2B5EF4-FFF2-40B4-BE49-F238E27FC236}">
                  <a16:creationId xmlns:a16="http://schemas.microsoft.com/office/drawing/2014/main" id="{00000000-0008-0000-0700-000000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29953" name="Check Box 257" hidden="1">
              <a:extLst>
                <a:ext uri="{63B3BB69-23CF-44E3-9099-C40C66FF867C}">
                  <a14:compatExt spid="_x0000_s29953"/>
                </a:ext>
                <a:ext uri="{FF2B5EF4-FFF2-40B4-BE49-F238E27FC236}">
                  <a16:creationId xmlns:a16="http://schemas.microsoft.com/office/drawing/2014/main" id="{00000000-0008-0000-0700-000001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200025</xdr:rowOff>
        </xdr:from>
        <xdr:to>
          <xdr:col>3</xdr:col>
          <xdr:colOff>742950</xdr:colOff>
          <xdr:row>27</xdr:row>
          <xdr:rowOff>200025</xdr:rowOff>
        </xdr:to>
        <xdr:sp macro="" textlink="">
          <xdr:nvSpPr>
            <xdr:cNvPr id="29954" name="Check Box 258" hidden="1">
              <a:extLst>
                <a:ext uri="{63B3BB69-23CF-44E3-9099-C40C66FF867C}">
                  <a14:compatExt spid="_x0000_s29954"/>
                </a:ext>
                <a:ext uri="{FF2B5EF4-FFF2-40B4-BE49-F238E27FC236}">
                  <a16:creationId xmlns:a16="http://schemas.microsoft.com/office/drawing/2014/main" id="{00000000-0008-0000-0700-000002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29955" name="Check Box 259" hidden="1">
              <a:extLst>
                <a:ext uri="{63B3BB69-23CF-44E3-9099-C40C66FF867C}">
                  <a14:compatExt spid="_x0000_s29955"/>
                </a:ext>
                <a:ext uri="{FF2B5EF4-FFF2-40B4-BE49-F238E27FC236}">
                  <a16:creationId xmlns:a16="http://schemas.microsoft.com/office/drawing/2014/main" id="{00000000-0008-0000-0700-000003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200025</xdr:rowOff>
        </xdr:from>
        <xdr:to>
          <xdr:col>3</xdr:col>
          <xdr:colOff>742950</xdr:colOff>
          <xdr:row>29</xdr:row>
          <xdr:rowOff>200025</xdr:rowOff>
        </xdr:to>
        <xdr:sp macro="" textlink="">
          <xdr:nvSpPr>
            <xdr:cNvPr id="29956" name="Check Box 260" hidden="1">
              <a:extLst>
                <a:ext uri="{63B3BB69-23CF-44E3-9099-C40C66FF867C}">
                  <a14:compatExt spid="_x0000_s29956"/>
                </a:ext>
                <a:ext uri="{FF2B5EF4-FFF2-40B4-BE49-F238E27FC236}">
                  <a16:creationId xmlns:a16="http://schemas.microsoft.com/office/drawing/2014/main" id="{00000000-0008-0000-0700-000004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200025</xdr:rowOff>
        </xdr:from>
        <xdr:to>
          <xdr:col>3</xdr:col>
          <xdr:colOff>742950</xdr:colOff>
          <xdr:row>30</xdr:row>
          <xdr:rowOff>200025</xdr:rowOff>
        </xdr:to>
        <xdr:sp macro="" textlink="">
          <xdr:nvSpPr>
            <xdr:cNvPr id="29957" name="Check Box 261" hidden="1">
              <a:extLst>
                <a:ext uri="{63B3BB69-23CF-44E3-9099-C40C66FF867C}">
                  <a14:compatExt spid="_x0000_s29957"/>
                </a:ext>
                <a:ext uri="{FF2B5EF4-FFF2-40B4-BE49-F238E27FC236}">
                  <a16:creationId xmlns:a16="http://schemas.microsoft.com/office/drawing/2014/main" id="{00000000-0008-0000-0700-000005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29958" name="Check Box 262" hidden="1">
              <a:extLst>
                <a:ext uri="{63B3BB69-23CF-44E3-9099-C40C66FF867C}">
                  <a14:compatExt spid="_x0000_s29958"/>
                </a:ext>
                <a:ext uri="{FF2B5EF4-FFF2-40B4-BE49-F238E27FC236}">
                  <a16:creationId xmlns:a16="http://schemas.microsoft.com/office/drawing/2014/main" id="{00000000-0008-0000-0700-000006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200025</xdr:rowOff>
        </xdr:from>
        <xdr:to>
          <xdr:col>3</xdr:col>
          <xdr:colOff>742950</xdr:colOff>
          <xdr:row>32</xdr:row>
          <xdr:rowOff>200025</xdr:rowOff>
        </xdr:to>
        <xdr:sp macro="" textlink="">
          <xdr:nvSpPr>
            <xdr:cNvPr id="29959" name="Check Box 263" hidden="1">
              <a:extLst>
                <a:ext uri="{63B3BB69-23CF-44E3-9099-C40C66FF867C}">
                  <a14:compatExt spid="_x0000_s29959"/>
                </a:ext>
                <a:ext uri="{FF2B5EF4-FFF2-40B4-BE49-F238E27FC236}">
                  <a16:creationId xmlns:a16="http://schemas.microsoft.com/office/drawing/2014/main" id="{00000000-0008-0000-0700-000007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200025</xdr:rowOff>
        </xdr:from>
        <xdr:to>
          <xdr:col>3</xdr:col>
          <xdr:colOff>742950</xdr:colOff>
          <xdr:row>33</xdr:row>
          <xdr:rowOff>200025</xdr:rowOff>
        </xdr:to>
        <xdr:sp macro="" textlink="">
          <xdr:nvSpPr>
            <xdr:cNvPr id="29960" name="Check Box 264" hidden="1">
              <a:extLst>
                <a:ext uri="{63B3BB69-23CF-44E3-9099-C40C66FF867C}">
                  <a14:compatExt spid="_x0000_s29960"/>
                </a:ext>
                <a:ext uri="{FF2B5EF4-FFF2-40B4-BE49-F238E27FC236}">
                  <a16:creationId xmlns:a16="http://schemas.microsoft.com/office/drawing/2014/main" id="{00000000-0008-0000-0700-000008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29961" name="Check Box 265" hidden="1">
              <a:extLst>
                <a:ext uri="{63B3BB69-23CF-44E3-9099-C40C66FF867C}">
                  <a14:compatExt spid="_x0000_s29961"/>
                </a:ext>
                <a:ext uri="{FF2B5EF4-FFF2-40B4-BE49-F238E27FC236}">
                  <a16:creationId xmlns:a16="http://schemas.microsoft.com/office/drawing/2014/main" id="{00000000-0008-0000-0700-000009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200025</xdr:rowOff>
        </xdr:from>
        <xdr:to>
          <xdr:col>3</xdr:col>
          <xdr:colOff>742950</xdr:colOff>
          <xdr:row>35</xdr:row>
          <xdr:rowOff>200025</xdr:rowOff>
        </xdr:to>
        <xdr:sp macro="" textlink="">
          <xdr:nvSpPr>
            <xdr:cNvPr id="29962" name="Check Box 266" hidden="1">
              <a:extLst>
                <a:ext uri="{63B3BB69-23CF-44E3-9099-C40C66FF867C}">
                  <a14:compatExt spid="_x0000_s29962"/>
                </a:ext>
                <a:ext uri="{FF2B5EF4-FFF2-40B4-BE49-F238E27FC236}">
                  <a16:creationId xmlns:a16="http://schemas.microsoft.com/office/drawing/2014/main" id="{00000000-0008-0000-0700-00000A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200025</xdr:rowOff>
        </xdr:from>
        <xdr:to>
          <xdr:col>3</xdr:col>
          <xdr:colOff>742950</xdr:colOff>
          <xdr:row>36</xdr:row>
          <xdr:rowOff>200025</xdr:rowOff>
        </xdr:to>
        <xdr:sp macro="" textlink="">
          <xdr:nvSpPr>
            <xdr:cNvPr id="29963" name="Check Box 267" hidden="1">
              <a:extLst>
                <a:ext uri="{63B3BB69-23CF-44E3-9099-C40C66FF867C}">
                  <a14:compatExt spid="_x0000_s29963"/>
                </a:ext>
                <a:ext uri="{FF2B5EF4-FFF2-40B4-BE49-F238E27FC236}">
                  <a16:creationId xmlns:a16="http://schemas.microsoft.com/office/drawing/2014/main" id="{00000000-0008-0000-0700-00000B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200025</xdr:rowOff>
        </xdr:from>
        <xdr:to>
          <xdr:col>3</xdr:col>
          <xdr:colOff>742950</xdr:colOff>
          <xdr:row>37</xdr:row>
          <xdr:rowOff>200025</xdr:rowOff>
        </xdr:to>
        <xdr:sp macro="" textlink="">
          <xdr:nvSpPr>
            <xdr:cNvPr id="29964" name="Check Box 268" hidden="1">
              <a:extLst>
                <a:ext uri="{63B3BB69-23CF-44E3-9099-C40C66FF867C}">
                  <a14:compatExt spid="_x0000_s29964"/>
                </a:ext>
                <a:ext uri="{FF2B5EF4-FFF2-40B4-BE49-F238E27FC236}">
                  <a16:creationId xmlns:a16="http://schemas.microsoft.com/office/drawing/2014/main" id="{00000000-0008-0000-0700-00000C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39</xdr:row>
          <xdr:rowOff>219075</xdr:rowOff>
        </xdr:from>
        <xdr:to>
          <xdr:col>10</xdr:col>
          <xdr:colOff>142875</xdr:colOff>
          <xdr:row>41</xdr:row>
          <xdr:rowOff>28575</xdr:rowOff>
        </xdr:to>
        <xdr:sp macro="" textlink="">
          <xdr:nvSpPr>
            <xdr:cNvPr id="29965" name="Button 269" hidden="1">
              <a:extLst>
                <a:ext uri="{63B3BB69-23CF-44E3-9099-C40C66FF867C}">
                  <a14:compatExt spid="_x0000_s29965"/>
                </a:ext>
                <a:ext uri="{FF2B5EF4-FFF2-40B4-BE49-F238E27FC236}">
                  <a16:creationId xmlns:a16="http://schemas.microsoft.com/office/drawing/2014/main" id="{00000000-0008-0000-0700-00000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952500</xdr:colOff>
          <xdr:row>53</xdr:row>
          <xdr:rowOff>9525</xdr:rowOff>
        </xdr:from>
        <xdr:to>
          <xdr:col>8</xdr:col>
          <xdr:colOff>209550</xdr:colOff>
          <xdr:row>54</xdr:row>
          <xdr:rowOff>19050</xdr:rowOff>
        </xdr:to>
        <xdr:sp macro="" textlink="">
          <xdr:nvSpPr>
            <xdr:cNvPr id="30864" name="Drop Down 144" hidden="1">
              <a:extLst>
                <a:ext uri="{63B3BB69-23CF-44E3-9099-C40C66FF867C}">
                  <a14:compatExt spid="_x0000_s30864"/>
                </a:ext>
                <a:ext uri="{FF2B5EF4-FFF2-40B4-BE49-F238E27FC236}">
                  <a16:creationId xmlns:a16="http://schemas.microsoft.com/office/drawing/2014/main" id="{00000000-0008-0000-0800-00009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47625</xdr:rowOff>
        </xdr:from>
        <xdr:to>
          <xdr:col>8</xdr:col>
          <xdr:colOff>95250</xdr:colOff>
          <xdr:row>10</xdr:row>
          <xdr:rowOff>9525</xdr:rowOff>
        </xdr:to>
        <xdr:sp macro="" textlink="">
          <xdr:nvSpPr>
            <xdr:cNvPr id="30721" name="Drop Dow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23</xdr:row>
          <xdr:rowOff>9525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30722" name="Drop Dow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23</xdr:row>
          <xdr:rowOff>0</xdr:rowOff>
        </xdr:from>
        <xdr:to>
          <xdr:col>11</xdr:col>
          <xdr:colOff>200025</xdr:colOff>
          <xdr:row>24</xdr:row>
          <xdr:rowOff>0</xdr:rowOff>
        </xdr:to>
        <xdr:sp macro="" textlink="">
          <xdr:nvSpPr>
            <xdr:cNvPr id="30723" name="Drop Dow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8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30724" name="Drop Dow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8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24</xdr:row>
          <xdr:rowOff>0</xdr:rowOff>
        </xdr:from>
        <xdr:to>
          <xdr:col>11</xdr:col>
          <xdr:colOff>200025</xdr:colOff>
          <xdr:row>25</xdr:row>
          <xdr:rowOff>0</xdr:rowOff>
        </xdr:to>
        <xdr:sp macro="" textlink="">
          <xdr:nvSpPr>
            <xdr:cNvPr id="30725" name="Drop Dow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8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25</xdr:row>
          <xdr:rowOff>9525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30726" name="Drop Down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8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25</xdr:row>
          <xdr:rowOff>0</xdr:rowOff>
        </xdr:from>
        <xdr:to>
          <xdr:col>11</xdr:col>
          <xdr:colOff>200025</xdr:colOff>
          <xdr:row>26</xdr:row>
          <xdr:rowOff>0</xdr:rowOff>
        </xdr:to>
        <xdr:sp macro="" textlink="">
          <xdr:nvSpPr>
            <xdr:cNvPr id="30727" name="Drop Dow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8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26</xdr:row>
          <xdr:rowOff>9525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30728" name="Drop Down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8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26</xdr:row>
          <xdr:rowOff>0</xdr:rowOff>
        </xdr:from>
        <xdr:to>
          <xdr:col>11</xdr:col>
          <xdr:colOff>200025</xdr:colOff>
          <xdr:row>27</xdr:row>
          <xdr:rowOff>0</xdr:rowOff>
        </xdr:to>
        <xdr:sp macro="" textlink="">
          <xdr:nvSpPr>
            <xdr:cNvPr id="30729" name="Drop Down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8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23</xdr:row>
          <xdr:rowOff>0</xdr:rowOff>
        </xdr:from>
        <xdr:to>
          <xdr:col>13</xdr:col>
          <xdr:colOff>361950</xdr:colOff>
          <xdr:row>24</xdr:row>
          <xdr:rowOff>0</xdr:rowOff>
        </xdr:to>
        <xdr:sp macro="" textlink="">
          <xdr:nvSpPr>
            <xdr:cNvPr id="30730" name="Drop Down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8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24</xdr:row>
          <xdr:rowOff>0</xdr:rowOff>
        </xdr:from>
        <xdr:to>
          <xdr:col>13</xdr:col>
          <xdr:colOff>361950</xdr:colOff>
          <xdr:row>25</xdr:row>
          <xdr:rowOff>0</xdr:rowOff>
        </xdr:to>
        <xdr:sp macro="" textlink="">
          <xdr:nvSpPr>
            <xdr:cNvPr id="30731" name="Drop Down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8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25</xdr:row>
          <xdr:rowOff>0</xdr:rowOff>
        </xdr:from>
        <xdr:to>
          <xdr:col>13</xdr:col>
          <xdr:colOff>361950</xdr:colOff>
          <xdr:row>26</xdr:row>
          <xdr:rowOff>0</xdr:rowOff>
        </xdr:to>
        <xdr:sp macro="" textlink="">
          <xdr:nvSpPr>
            <xdr:cNvPr id="30732" name="Drop Down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8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26</xdr:row>
          <xdr:rowOff>0</xdr:rowOff>
        </xdr:from>
        <xdr:to>
          <xdr:col>13</xdr:col>
          <xdr:colOff>361950</xdr:colOff>
          <xdr:row>27</xdr:row>
          <xdr:rowOff>0</xdr:rowOff>
        </xdr:to>
        <xdr:sp macro="" textlink="">
          <xdr:nvSpPr>
            <xdr:cNvPr id="30733" name="Drop Down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8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23</xdr:row>
          <xdr:rowOff>0</xdr:rowOff>
        </xdr:from>
        <xdr:to>
          <xdr:col>15</xdr:col>
          <xdr:colOff>200025</xdr:colOff>
          <xdr:row>24</xdr:row>
          <xdr:rowOff>0</xdr:rowOff>
        </xdr:to>
        <xdr:sp macro="" textlink="">
          <xdr:nvSpPr>
            <xdr:cNvPr id="30734" name="Drop Down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8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24</xdr:row>
          <xdr:rowOff>0</xdr:rowOff>
        </xdr:from>
        <xdr:to>
          <xdr:col>15</xdr:col>
          <xdr:colOff>200025</xdr:colOff>
          <xdr:row>25</xdr:row>
          <xdr:rowOff>0</xdr:rowOff>
        </xdr:to>
        <xdr:sp macro="" textlink="">
          <xdr:nvSpPr>
            <xdr:cNvPr id="30735" name="Drop Down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8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25</xdr:row>
          <xdr:rowOff>0</xdr:rowOff>
        </xdr:from>
        <xdr:to>
          <xdr:col>15</xdr:col>
          <xdr:colOff>200025</xdr:colOff>
          <xdr:row>26</xdr:row>
          <xdr:rowOff>0</xdr:rowOff>
        </xdr:to>
        <xdr:sp macro="" textlink="">
          <xdr:nvSpPr>
            <xdr:cNvPr id="30736" name="Drop Down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8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26</xdr:row>
          <xdr:rowOff>0</xdr:rowOff>
        </xdr:from>
        <xdr:to>
          <xdr:col>15</xdr:col>
          <xdr:colOff>200025</xdr:colOff>
          <xdr:row>27</xdr:row>
          <xdr:rowOff>0</xdr:rowOff>
        </xdr:to>
        <xdr:sp macro="" textlink="">
          <xdr:nvSpPr>
            <xdr:cNvPr id="30737" name="Drop Down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8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23</xdr:row>
          <xdr:rowOff>0</xdr:rowOff>
        </xdr:from>
        <xdr:to>
          <xdr:col>17</xdr:col>
          <xdr:colOff>209550</xdr:colOff>
          <xdr:row>24</xdr:row>
          <xdr:rowOff>0</xdr:rowOff>
        </xdr:to>
        <xdr:sp macro="" textlink="">
          <xdr:nvSpPr>
            <xdr:cNvPr id="30738" name="Drop Down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8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24</xdr:row>
          <xdr:rowOff>0</xdr:rowOff>
        </xdr:from>
        <xdr:to>
          <xdr:col>17</xdr:col>
          <xdr:colOff>209550</xdr:colOff>
          <xdr:row>25</xdr:row>
          <xdr:rowOff>0</xdr:rowOff>
        </xdr:to>
        <xdr:sp macro="" textlink="">
          <xdr:nvSpPr>
            <xdr:cNvPr id="30739" name="Drop Dow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8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25</xdr:row>
          <xdr:rowOff>0</xdr:rowOff>
        </xdr:from>
        <xdr:to>
          <xdr:col>17</xdr:col>
          <xdr:colOff>209550</xdr:colOff>
          <xdr:row>26</xdr:row>
          <xdr:rowOff>0</xdr:rowOff>
        </xdr:to>
        <xdr:sp macro="" textlink="">
          <xdr:nvSpPr>
            <xdr:cNvPr id="30740" name="Drop Dow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8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26</xdr:row>
          <xdr:rowOff>0</xdr:rowOff>
        </xdr:from>
        <xdr:to>
          <xdr:col>17</xdr:col>
          <xdr:colOff>209550</xdr:colOff>
          <xdr:row>27</xdr:row>
          <xdr:rowOff>0</xdr:rowOff>
        </xdr:to>
        <xdr:sp macro="" textlink="">
          <xdr:nvSpPr>
            <xdr:cNvPr id="30741" name="Drop Down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8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23</xdr:row>
          <xdr:rowOff>0</xdr:rowOff>
        </xdr:from>
        <xdr:to>
          <xdr:col>19</xdr:col>
          <xdr:colOff>209550</xdr:colOff>
          <xdr:row>24</xdr:row>
          <xdr:rowOff>0</xdr:rowOff>
        </xdr:to>
        <xdr:sp macro="" textlink="">
          <xdr:nvSpPr>
            <xdr:cNvPr id="30742" name="Drop Down 22" hidden="1">
              <a:extLst>
                <a:ext uri="{63B3BB69-23CF-44E3-9099-C40C66FF867C}">
                  <a14:compatExt spid="_x0000_s30742"/>
                </a:ext>
                <a:ext uri="{FF2B5EF4-FFF2-40B4-BE49-F238E27FC236}">
                  <a16:creationId xmlns:a16="http://schemas.microsoft.com/office/drawing/2014/main" id="{00000000-0008-0000-0800-00001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24</xdr:row>
          <xdr:rowOff>0</xdr:rowOff>
        </xdr:from>
        <xdr:to>
          <xdr:col>19</xdr:col>
          <xdr:colOff>209550</xdr:colOff>
          <xdr:row>25</xdr:row>
          <xdr:rowOff>0</xdr:rowOff>
        </xdr:to>
        <xdr:sp macro="" textlink="">
          <xdr:nvSpPr>
            <xdr:cNvPr id="30743" name="Drop Down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08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25</xdr:row>
          <xdr:rowOff>0</xdr:rowOff>
        </xdr:from>
        <xdr:to>
          <xdr:col>19</xdr:col>
          <xdr:colOff>209550</xdr:colOff>
          <xdr:row>26</xdr:row>
          <xdr:rowOff>0</xdr:rowOff>
        </xdr:to>
        <xdr:sp macro="" textlink="">
          <xdr:nvSpPr>
            <xdr:cNvPr id="30744" name="Drop Down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08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26</xdr:row>
          <xdr:rowOff>0</xdr:rowOff>
        </xdr:from>
        <xdr:to>
          <xdr:col>19</xdr:col>
          <xdr:colOff>209550</xdr:colOff>
          <xdr:row>27</xdr:row>
          <xdr:rowOff>0</xdr:rowOff>
        </xdr:to>
        <xdr:sp macro="" textlink="">
          <xdr:nvSpPr>
            <xdr:cNvPr id="30745" name="Drop Dow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8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30757" name="Line 37">
          <a:extLst>
            <a:ext uri="{FF2B5EF4-FFF2-40B4-BE49-F238E27FC236}">
              <a16:creationId xmlns:a16="http://schemas.microsoft.com/office/drawing/2014/main" id="{C46D848A-30DD-A075-0CBD-08432C5AFF2F}"/>
            </a:ext>
          </a:extLst>
        </xdr:cNvPr>
        <xdr:cNvSpPr>
          <a:spLocks noChangeShapeType="1"/>
        </xdr:cNvSpPr>
      </xdr:nvSpPr>
      <xdr:spPr bwMode="auto">
        <a:xfrm flipH="1">
          <a:off x="25824180" y="93040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27</xdr:row>
          <xdr:rowOff>9525</xdr:rowOff>
        </xdr:from>
        <xdr:to>
          <xdr:col>5</xdr:col>
          <xdr:colOff>0</xdr:colOff>
          <xdr:row>27</xdr:row>
          <xdr:rowOff>219075</xdr:rowOff>
        </xdr:to>
        <xdr:sp macro="" textlink="">
          <xdr:nvSpPr>
            <xdr:cNvPr id="30758" name="Drop Down 38" hidden="1">
              <a:extLst>
                <a:ext uri="{63B3BB69-23CF-44E3-9099-C40C66FF867C}">
                  <a14:compatExt spid="_x0000_s30758"/>
                </a:ext>
                <a:ext uri="{FF2B5EF4-FFF2-40B4-BE49-F238E27FC236}">
                  <a16:creationId xmlns:a16="http://schemas.microsoft.com/office/drawing/2014/main" id="{00000000-0008-0000-0800-00002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27</xdr:row>
          <xdr:rowOff>0</xdr:rowOff>
        </xdr:from>
        <xdr:to>
          <xdr:col>11</xdr:col>
          <xdr:colOff>200025</xdr:colOff>
          <xdr:row>27</xdr:row>
          <xdr:rowOff>219075</xdr:rowOff>
        </xdr:to>
        <xdr:sp macro="" textlink="">
          <xdr:nvSpPr>
            <xdr:cNvPr id="30759" name="Drop Down 39" hidden="1">
              <a:extLst>
                <a:ext uri="{63B3BB69-23CF-44E3-9099-C40C66FF867C}">
                  <a14:compatExt spid="_x0000_s30759"/>
                </a:ext>
                <a:ext uri="{FF2B5EF4-FFF2-40B4-BE49-F238E27FC236}">
                  <a16:creationId xmlns:a16="http://schemas.microsoft.com/office/drawing/2014/main" id="{00000000-0008-0000-0800-00002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27</xdr:row>
          <xdr:rowOff>0</xdr:rowOff>
        </xdr:from>
        <xdr:to>
          <xdr:col>13</xdr:col>
          <xdr:colOff>361950</xdr:colOff>
          <xdr:row>27</xdr:row>
          <xdr:rowOff>219075</xdr:rowOff>
        </xdr:to>
        <xdr:sp macro="" textlink="">
          <xdr:nvSpPr>
            <xdr:cNvPr id="30760" name="Drop Dow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8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27</xdr:row>
          <xdr:rowOff>0</xdr:rowOff>
        </xdr:from>
        <xdr:to>
          <xdr:col>15</xdr:col>
          <xdr:colOff>200025</xdr:colOff>
          <xdr:row>27</xdr:row>
          <xdr:rowOff>219075</xdr:rowOff>
        </xdr:to>
        <xdr:sp macro="" textlink="">
          <xdr:nvSpPr>
            <xdr:cNvPr id="30761" name="Drop Dow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8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27</xdr:row>
          <xdr:rowOff>0</xdr:rowOff>
        </xdr:from>
        <xdr:to>
          <xdr:col>17</xdr:col>
          <xdr:colOff>209550</xdr:colOff>
          <xdr:row>27</xdr:row>
          <xdr:rowOff>219075</xdr:rowOff>
        </xdr:to>
        <xdr:sp macro="" textlink="">
          <xdr:nvSpPr>
            <xdr:cNvPr id="30762" name="Drop Down 42" hidden="1">
              <a:extLst>
                <a:ext uri="{63B3BB69-23CF-44E3-9099-C40C66FF867C}">
                  <a14:compatExt spid="_x0000_s30762"/>
                </a:ext>
                <a:ext uri="{FF2B5EF4-FFF2-40B4-BE49-F238E27FC236}">
                  <a16:creationId xmlns:a16="http://schemas.microsoft.com/office/drawing/2014/main" id="{00000000-0008-0000-0800-00002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27</xdr:row>
          <xdr:rowOff>0</xdr:rowOff>
        </xdr:from>
        <xdr:to>
          <xdr:col>19</xdr:col>
          <xdr:colOff>209550</xdr:colOff>
          <xdr:row>27</xdr:row>
          <xdr:rowOff>219075</xdr:rowOff>
        </xdr:to>
        <xdr:sp macro="" textlink="">
          <xdr:nvSpPr>
            <xdr:cNvPr id="30763" name="Drop Down 43" hidden="1">
              <a:extLst>
                <a:ext uri="{63B3BB69-23CF-44E3-9099-C40C66FF867C}">
                  <a14:compatExt spid="_x0000_s30763"/>
                </a:ext>
                <a:ext uri="{FF2B5EF4-FFF2-40B4-BE49-F238E27FC236}">
                  <a16:creationId xmlns:a16="http://schemas.microsoft.com/office/drawing/2014/main" id="{00000000-0008-0000-0800-00002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28</xdr:row>
          <xdr:rowOff>9525</xdr:rowOff>
        </xdr:from>
        <xdr:to>
          <xdr:col>5</xdr:col>
          <xdr:colOff>0</xdr:colOff>
          <xdr:row>28</xdr:row>
          <xdr:rowOff>219075</xdr:rowOff>
        </xdr:to>
        <xdr:sp macro="" textlink="">
          <xdr:nvSpPr>
            <xdr:cNvPr id="30766" name="Drop Down 46" hidden="1">
              <a:extLst>
                <a:ext uri="{63B3BB69-23CF-44E3-9099-C40C66FF867C}">
                  <a14:compatExt spid="_x0000_s30766"/>
                </a:ext>
                <a:ext uri="{FF2B5EF4-FFF2-40B4-BE49-F238E27FC236}">
                  <a16:creationId xmlns:a16="http://schemas.microsoft.com/office/drawing/2014/main" id="{00000000-0008-0000-0800-00002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200025</xdr:colOff>
          <xdr:row>29</xdr:row>
          <xdr:rowOff>0</xdr:rowOff>
        </xdr:to>
        <xdr:sp macro="" textlink="">
          <xdr:nvSpPr>
            <xdr:cNvPr id="30767" name="Drop Down 47" hidden="1">
              <a:extLst>
                <a:ext uri="{63B3BB69-23CF-44E3-9099-C40C66FF867C}">
                  <a14:compatExt spid="_x0000_s30767"/>
                </a:ext>
                <a:ext uri="{FF2B5EF4-FFF2-40B4-BE49-F238E27FC236}">
                  <a16:creationId xmlns:a16="http://schemas.microsoft.com/office/drawing/2014/main" id="{00000000-0008-0000-0800-00002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28</xdr:row>
          <xdr:rowOff>0</xdr:rowOff>
        </xdr:from>
        <xdr:to>
          <xdr:col>13</xdr:col>
          <xdr:colOff>361950</xdr:colOff>
          <xdr:row>28</xdr:row>
          <xdr:rowOff>219075</xdr:rowOff>
        </xdr:to>
        <xdr:sp macro="" textlink="">
          <xdr:nvSpPr>
            <xdr:cNvPr id="30768" name="Drop Down 48" hidden="1">
              <a:extLst>
                <a:ext uri="{63B3BB69-23CF-44E3-9099-C40C66FF867C}">
                  <a14:compatExt spid="_x0000_s30768"/>
                </a:ext>
                <a:ext uri="{FF2B5EF4-FFF2-40B4-BE49-F238E27FC236}">
                  <a16:creationId xmlns:a16="http://schemas.microsoft.com/office/drawing/2014/main" id="{00000000-0008-0000-0800-00003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28</xdr:row>
          <xdr:rowOff>0</xdr:rowOff>
        </xdr:from>
        <xdr:to>
          <xdr:col>15</xdr:col>
          <xdr:colOff>200025</xdr:colOff>
          <xdr:row>28</xdr:row>
          <xdr:rowOff>219075</xdr:rowOff>
        </xdr:to>
        <xdr:sp macro="" textlink="">
          <xdr:nvSpPr>
            <xdr:cNvPr id="30769" name="Drop Down 49" hidden="1">
              <a:extLst>
                <a:ext uri="{63B3BB69-23CF-44E3-9099-C40C66FF867C}">
                  <a14:compatExt spid="_x0000_s30769"/>
                </a:ext>
                <a:ext uri="{FF2B5EF4-FFF2-40B4-BE49-F238E27FC236}">
                  <a16:creationId xmlns:a16="http://schemas.microsoft.com/office/drawing/2014/main" id="{00000000-0008-0000-0800-00003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28</xdr:row>
          <xdr:rowOff>0</xdr:rowOff>
        </xdr:from>
        <xdr:to>
          <xdr:col>17</xdr:col>
          <xdr:colOff>209550</xdr:colOff>
          <xdr:row>28</xdr:row>
          <xdr:rowOff>219075</xdr:rowOff>
        </xdr:to>
        <xdr:sp macro="" textlink="">
          <xdr:nvSpPr>
            <xdr:cNvPr id="30770" name="Drop Down 50" hidden="1">
              <a:extLst>
                <a:ext uri="{63B3BB69-23CF-44E3-9099-C40C66FF867C}">
                  <a14:compatExt spid="_x0000_s30770"/>
                </a:ext>
                <a:ext uri="{FF2B5EF4-FFF2-40B4-BE49-F238E27FC236}">
                  <a16:creationId xmlns:a16="http://schemas.microsoft.com/office/drawing/2014/main" id="{00000000-0008-0000-0800-00003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28</xdr:row>
          <xdr:rowOff>0</xdr:rowOff>
        </xdr:from>
        <xdr:to>
          <xdr:col>19</xdr:col>
          <xdr:colOff>209550</xdr:colOff>
          <xdr:row>28</xdr:row>
          <xdr:rowOff>219075</xdr:rowOff>
        </xdr:to>
        <xdr:sp macro="" textlink="">
          <xdr:nvSpPr>
            <xdr:cNvPr id="30771" name="Drop Down 51" hidden="1">
              <a:extLst>
                <a:ext uri="{63B3BB69-23CF-44E3-9099-C40C66FF867C}">
                  <a14:compatExt spid="_x0000_s30771"/>
                </a:ext>
                <a:ext uri="{FF2B5EF4-FFF2-40B4-BE49-F238E27FC236}">
                  <a16:creationId xmlns:a16="http://schemas.microsoft.com/office/drawing/2014/main" id="{00000000-0008-0000-0800-00003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29</xdr:row>
          <xdr:rowOff>9525</xdr:rowOff>
        </xdr:from>
        <xdr:to>
          <xdr:col>5</xdr:col>
          <xdr:colOff>0</xdr:colOff>
          <xdr:row>29</xdr:row>
          <xdr:rowOff>219075</xdr:rowOff>
        </xdr:to>
        <xdr:sp macro="" textlink="">
          <xdr:nvSpPr>
            <xdr:cNvPr id="30774" name="Drop Down 54" hidden="1">
              <a:extLst>
                <a:ext uri="{63B3BB69-23CF-44E3-9099-C40C66FF867C}">
                  <a14:compatExt spid="_x0000_s30774"/>
                </a:ext>
                <a:ext uri="{FF2B5EF4-FFF2-40B4-BE49-F238E27FC236}">
                  <a16:creationId xmlns:a16="http://schemas.microsoft.com/office/drawing/2014/main" id="{00000000-0008-0000-0800-00003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200025</xdr:colOff>
          <xdr:row>29</xdr:row>
          <xdr:rowOff>219075</xdr:rowOff>
        </xdr:to>
        <xdr:sp macro="" textlink="">
          <xdr:nvSpPr>
            <xdr:cNvPr id="30775" name="Drop Down 55" hidden="1">
              <a:extLst>
                <a:ext uri="{63B3BB69-23CF-44E3-9099-C40C66FF867C}">
                  <a14:compatExt spid="_x0000_s30775"/>
                </a:ext>
                <a:ext uri="{FF2B5EF4-FFF2-40B4-BE49-F238E27FC236}">
                  <a16:creationId xmlns:a16="http://schemas.microsoft.com/office/drawing/2014/main" id="{00000000-0008-0000-0800-00003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30</xdr:row>
          <xdr:rowOff>9525</xdr:rowOff>
        </xdr:from>
        <xdr:to>
          <xdr:col>5</xdr:col>
          <xdr:colOff>0</xdr:colOff>
          <xdr:row>30</xdr:row>
          <xdr:rowOff>219075</xdr:rowOff>
        </xdr:to>
        <xdr:sp macro="" textlink="">
          <xdr:nvSpPr>
            <xdr:cNvPr id="30776" name="Drop Down 56" hidden="1">
              <a:extLst>
                <a:ext uri="{63B3BB69-23CF-44E3-9099-C40C66FF867C}">
                  <a14:compatExt spid="_x0000_s30776"/>
                </a:ext>
                <a:ext uri="{FF2B5EF4-FFF2-40B4-BE49-F238E27FC236}">
                  <a16:creationId xmlns:a16="http://schemas.microsoft.com/office/drawing/2014/main" id="{00000000-0008-0000-0800-00003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200025</xdr:colOff>
          <xdr:row>30</xdr:row>
          <xdr:rowOff>219075</xdr:rowOff>
        </xdr:to>
        <xdr:sp macro="" textlink="">
          <xdr:nvSpPr>
            <xdr:cNvPr id="30777" name="Drop Down 57" hidden="1">
              <a:extLst>
                <a:ext uri="{63B3BB69-23CF-44E3-9099-C40C66FF867C}">
                  <a14:compatExt spid="_x0000_s30777"/>
                </a:ext>
                <a:ext uri="{FF2B5EF4-FFF2-40B4-BE49-F238E27FC236}">
                  <a16:creationId xmlns:a16="http://schemas.microsoft.com/office/drawing/2014/main" id="{00000000-0008-0000-0800-00003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31</xdr:row>
          <xdr:rowOff>9525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30778" name="Drop Down 58" hidden="1">
              <a:extLst>
                <a:ext uri="{63B3BB69-23CF-44E3-9099-C40C66FF867C}">
                  <a14:compatExt spid="_x0000_s30778"/>
                </a:ext>
                <a:ext uri="{FF2B5EF4-FFF2-40B4-BE49-F238E27FC236}">
                  <a16:creationId xmlns:a16="http://schemas.microsoft.com/office/drawing/2014/main" id="{00000000-0008-0000-0800-00003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30779" name="Drop Down 59" hidden="1">
              <a:extLst>
                <a:ext uri="{63B3BB69-23CF-44E3-9099-C40C66FF867C}">
                  <a14:compatExt spid="_x0000_s30779"/>
                </a:ext>
                <a:ext uri="{FF2B5EF4-FFF2-40B4-BE49-F238E27FC236}">
                  <a16:creationId xmlns:a16="http://schemas.microsoft.com/office/drawing/2014/main" id="{00000000-0008-0000-0800-00003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32</xdr:row>
          <xdr:rowOff>9525</xdr:rowOff>
        </xdr:from>
        <xdr:to>
          <xdr:col>5</xdr:col>
          <xdr:colOff>0</xdr:colOff>
          <xdr:row>32</xdr:row>
          <xdr:rowOff>219075</xdr:rowOff>
        </xdr:to>
        <xdr:sp macro="" textlink="">
          <xdr:nvSpPr>
            <xdr:cNvPr id="30780" name="Drop Down 60" hidden="1">
              <a:extLst>
                <a:ext uri="{63B3BB69-23CF-44E3-9099-C40C66FF867C}">
                  <a14:compatExt spid="_x0000_s30780"/>
                </a:ext>
                <a:ext uri="{FF2B5EF4-FFF2-40B4-BE49-F238E27FC236}">
                  <a16:creationId xmlns:a16="http://schemas.microsoft.com/office/drawing/2014/main" id="{00000000-0008-0000-0800-00003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200025</xdr:colOff>
          <xdr:row>32</xdr:row>
          <xdr:rowOff>219075</xdr:rowOff>
        </xdr:to>
        <xdr:sp macro="" textlink="">
          <xdr:nvSpPr>
            <xdr:cNvPr id="30781" name="Drop Down 61" hidden="1">
              <a:extLst>
                <a:ext uri="{63B3BB69-23CF-44E3-9099-C40C66FF867C}">
                  <a14:compatExt spid="_x0000_s30781"/>
                </a:ext>
                <a:ext uri="{FF2B5EF4-FFF2-40B4-BE49-F238E27FC236}">
                  <a16:creationId xmlns:a16="http://schemas.microsoft.com/office/drawing/2014/main" id="{00000000-0008-0000-0800-00003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29</xdr:row>
          <xdr:rowOff>0</xdr:rowOff>
        </xdr:from>
        <xdr:to>
          <xdr:col>13</xdr:col>
          <xdr:colOff>361950</xdr:colOff>
          <xdr:row>29</xdr:row>
          <xdr:rowOff>219075</xdr:rowOff>
        </xdr:to>
        <xdr:sp macro="" textlink="">
          <xdr:nvSpPr>
            <xdr:cNvPr id="30782" name="Drop Down 62" hidden="1">
              <a:extLst>
                <a:ext uri="{63B3BB69-23CF-44E3-9099-C40C66FF867C}">
                  <a14:compatExt spid="_x0000_s30782"/>
                </a:ext>
                <a:ext uri="{FF2B5EF4-FFF2-40B4-BE49-F238E27FC236}">
                  <a16:creationId xmlns:a16="http://schemas.microsoft.com/office/drawing/2014/main" id="{00000000-0008-0000-0800-00003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30</xdr:row>
          <xdr:rowOff>0</xdr:rowOff>
        </xdr:from>
        <xdr:to>
          <xdr:col>13</xdr:col>
          <xdr:colOff>361950</xdr:colOff>
          <xdr:row>30</xdr:row>
          <xdr:rowOff>219075</xdr:rowOff>
        </xdr:to>
        <xdr:sp macro="" textlink="">
          <xdr:nvSpPr>
            <xdr:cNvPr id="30783" name="Drop Down 63" hidden="1">
              <a:extLst>
                <a:ext uri="{63B3BB69-23CF-44E3-9099-C40C66FF867C}">
                  <a14:compatExt spid="_x0000_s30783"/>
                </a:ext>
                <a:ext uri="{FF2B5EF4-FFF2-40B4-BE49-F238E27FC236}">
                  <a16:creationId xmlns:a16="http://schemas.microsoft.com/office/drawing/2014/main" id="{00000000-0008-0000-0800-00003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31</xdr:row>
          <xdr:rowOff>0</xdr:rowOff>
        </xdr:from>
        <xdr:to>
          <xdr:col>13</xdr:col>
          <xdr:colOff>361950</xdr:colOff>
          <xdr:row>32</xdr:row>
          <xdr:rowOff>0</xdr:rowOff>
        </xdr:to>
        <xdr:sp macro="" textlink="">
          <xdr:nvSpPr>
            <xdr:cNvPr id="30784" name="Drop Down 64" hidden="1">
              <a:extLst>
                <a:ext uri="{63B3BB69-23CF-44E3-9099-C40C66FF867C}">
                  <a14:compatExt spid="_x0000_s30784"/>
                </a:ext>
                <a:ext uri="{FF2B5EF4-FFF2-40B4-BE49-F238E27FC236}">
                  <a16:creationId xmlns:a16="http://schemas.microsoft.com/office/drawing/2014/main" id="{00000000-0008-0000-0800-00004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32</xdr:row>
          <xdr:rowOff>0</xdr:rowOff>
        </xdr:from>
        <xdr:to>
          <xdr:col>13</xdr:col>
          <xdr:colOff>361950</xdr:colOff>
          <xdr:row>32</xdr:row>
          <xdr:rowOff>219075</xdr:rowOff>
        </xdr:to>
        <xdr:sp macro="" textlink="">
          <xdr:nvSpPr>
            <xdr:cNvPr id="30785" name="Drop Down 65" hidden="1">
              <a:extLst>
                <a:ext uri="{63B3BB69-23CF-44E3-9099-C40C66FF867C}">
                  <a14:compatExt spid="_x0000_s30785"/>
                </a:ext>
                <a:ext uri="{FF2B5EF4-FFF2-40B4-BE49-F238E27FC236}">
                  <a16:creationId xmlns:a16="http://schemas.microsoft.com/office/drawing/2014/main" id="{00000000-0008-0000-0800-00004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29</xdr:row>
          <xdr:rowOff>0</xdr:rowOff>
        </xdr:from>
        <xdr:to>
          <xdr:col>15</xdr:col>
          <xdr:colOff>200025</xdr:colOff>
          <xdr:row>29</xdr:row>
          <xdr:rowOff>219075</xdr:rowOff>
        </xdr:to>
        <xdr:sp macro="" textlink="">
          <xdr:nvSpPr>
            <xdr:cNvPr id="30786" name="Drop Down 66" hidden="1">
              <a:extLst>
                <a:ext uri="{63B3BB69-23CF-44E3-9099-C40C66FF867C}">
                  <a14:compatExt spid="_x0000_s30786"/>
                </a:ext>
                <a:ext uri="{FF2B5EF4-FFF2-40B4-BE49-F238E27FC236}">
                  <a16:creationId xmlns:a16="http://schemas.microsoft.com/office/drawing/2014/main" id="{00000000-0008-0000-0800-00004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30</xdr:row>
          <xdr:rowOff>0</xdr:rowOff>
        </xdr:from>
        <xdr:to>
          <xdr:col>15</xdr:col>
          <xdr:colOff>200025</xdr:colOff>
          <xdr:row>30</xdr:row>
          <xdr:rowOff>219075</xdr:rowOff>
        </xdr:to>
        <xdr:sp macro="" textlink="">
          <xdr:nvSpPr>
            <xdr:cNvPr id="30787" name="Drop Down 67" hidden="1">
              <a:extLst>
                <a:ext uri="{63B3BB69-23CF-44E3-9099-C40C66FF867C}">
                  <a14:compatExt spid="_x0000_s30787"/>
                </a:ext>
                <a:ext uri="{FF2B5EF4-FFF2-40B4-BE49-F238E27FC236}">
                  <a16:creationId xmlns:a16="http://schemas.microsoft.com/office/drawing/2014/main" id="{00000000-0008-0000-0800-00004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31</xdr:row>
          <xdr:rowOff>0</xdr:rowOff>
        </xdr:from>
        <xdr:to>
          <xdr:col>15</xdr:col>
          <xdr:colOff>200025</xdr:colOff>
          <xdr:row>32</xdr:row>
          <xdr:rowOff>0</xdr:rowOff>
        </xdr:to>
        <xdr:sp macro="" textlink="">
          <xdr:nvSpPr>
            <xdr:cNvPr id="30788" name="Drop Down 68" hidden="1">
              <a:extLst>
                <a:ext uri="{63B3BB69-23CF-44E3-9099-C40C66FF867C}">
                  <a14:compatExt spid="_x0000_s30788"/>
                </a:ext>
                <a:ext uri="{FF2B5EF4-FFF2-40B4-BE49-F238E27FC236}">
                  <a16:creationId xmlns:a16="http://schemas.microsoft.com/office/drawing/2014/main" id="{00000000-0008-0000-0800-00004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32</xdr:row>
          <xdr:rowOff>0</xdr:rowOff>
        </xdr:from>
        <xdr:to>
          <xdr:col>15</xdr:col>
          <xdr:colOff>200025</xdr:colOff>
          <xdr:row>32</xdr:row>
          <xdr:rowOff>219075</xdr:rowOff>
        </xdr:to>
        <xdr:sp macro="" textlink="">
          <xdr:nvSpPr>
            <xdr:cNvPr id="30789" name="Drop Down 69" hidden="1">
              <a:extLst>
                <a:ext uri="{63B3BB69-23CF-44E3-9099-C40C66FF867C}">
                  <a14:compatExt spid="_x0000_s30789"/>
                </a:ext>
                <a:ext uri="{FF2B5EF4-FFF2-40B4-BE49-F238E27FC236}">
                  <a16:creationId xmlns:a16="http://schemas.microsoft.com/office/drawing/2014/main" id="{00000000-0008-0000-0800-00004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29</xdr:row>
          <xdr:rowOff>0</xdr:rowOff>
        </xdr:from>
        <xdr:to>
          <xdr:col>17</xdr:col>
          <xdr:colOff>209550</xdr:colOff>
          <xdr:row>29</xdr:row>
          <xdr:rowOff>219075</xdr:rowOff>
        </xdr:to>
        <xdr:sp macro="" textlink="">
          <xdr:nvSpPr>
            <xdr:cNvPr id="30790" name="Drop Down 70" hidden="1">
              <a:extLst>
                <a:ext uri="{63B3BB69-23CF-44E3-9099-C40C66FF867C}">
                  <a14:compatExt spid="_x0000_s30790"/>
                </a:ext>
                <a:ext uri="{FF2B5EF4-FFF2-40B4-BE49-F238E27FC236}">
                  <a16:creationId xmlns:a16="http://schemas.microsoft.com/office/drawing/2014/main" id="{00000000-0008-0000-0800-00004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30</xdr:row>
          <xdr:rowOff>0</xdr:rowOff>
        </xdr:from>
        <xdr:to>
          <xdr:col>17</xdr:col>
          <xdr:colOff>209550</xdr:colOff>
          <xdr:row>30</xdr:row>
          <xdr:rowOff>219075</xdr:rowOff>
        </xdr:to>
        <xdr:sp macro="" textlink="">
          <xdr:nvSpPr>
            <xdr:cNvPr id="30791" name="Drop Down 71" hidden="1">
              <a:extLst>
                <a:ext uri="{63B3BB69-23CF-44E3-9099-C40C66FF867C}">
                  <a14:compatExt spid="_x0000_s30791"/>
                </a:ext>
                <a:ext uri="{FF2B5EF4-FFF2-40B4-BE49-F238E27FC236}">
                  <a16:creationId xmlns:a16="http://schemas.microsoft.com/office/drawing/2014/main" id="{00000000-0008-0000-0800-00004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31</xdr:row>
          <xdr:rowOff>0</xdr:rowOff>
        </xdr:from>
        <xdr:to>
          <xdr:col>17</xdr:col>
          <xdr:colOff>209550</xdr:colOff>
          <xdr:row>32</xdr:row>
          <xdr:rowOff>0</xdr:rowOff>
        </xdr:to>
        <xdr:sp macro="" textlink="">
          <xdr:nvSpPr>
            <xdr:cNvPr id="30792" name="Drop Down 72" hidden="1">
              <a:extLst>
                <a:ext uri="{63B3BB69-23CF-44E3-9099-C40C66FF867C}">
                  <a14:compatExt spid="_x0000_s30792"/>
                </a:ext>
                <a:ext uri="{FF2B5EF4-FFF2-40B4-BE49-F238E27FC236}">
                  <a16:creationId xmlns:a16="http://schemas.microsoft.com/office/drawing/2014/main" id="{00000000-0008-0000-0800-00004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32</xdr:row>
          <xdr:rowOff>0</xdr:rowOff>
        </xdr:from>
        <xdr:to>
          <xdr:col>17</xdr:col>
          <xdr:colOff>209550</xdr:colOff>
          <xdr:row>32</xdr:row>
          <xdr:rowOff>219075</xdr:rowOff>
        </xdr:to>
        <xdr:sp macro="" textlink="">
          <xdr:nvSpPr>
            <xdr:cNvPr id="30793" name="Drop Down 73" hidden="1">
              <a:extLst>
                <a:ext uri="{63B3BB69-23CF-44E3-9099-C40C66FF867C}">
                  <a14:compatExt spid="_x0000_s30793"/>
                </a:ext>
                <a:ext uri="{FF2B5EF4-FFF2-40B4-BE49-F238E27FC236}">
                  <a16:creationId xmlns:a16="http://schemas.microsoft.com/office/drawing/2014/main" id="{00000000-0008-0000-0800-00004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29</xdr:row>
          <xdr:rowOff>0</xdr:rowOff>
        </xdr:from>
        <xdr:to>
          <xdr:col>19</xdr:col>
          <xdr:colOff>209550</xdr:colOff>
          <xdr:row>29</xdr:row>
          <xdr:rowOff>219075</xdr:rowOff>
        </xdr:to>
        <xdr:sp macro="" textlink="">
          <xdr:nvSpPr>
            <xdr:cNvPr id="30794" name="Drop Down 74" hidden="1">
              <a:extLst>
                <a:ext uri="{63B3BB69-23CF-44E3-9099-C40C66FF867C}">
                  <a14:compatExt spid="_x0000_s30794"/>
                </a:ext>
                <a:ext uri="{FF2B5EF4-FFF2-40B4-BE49-F238E27FC236}">
                  <a16:creationId xmlns:a16="http://schemas.microsoft.com/office/drawing/2014/main" id="{00000000-0008-0000-0800-00004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30</xdr:row>
          <xdr:rowOff>0</xdr:rowOff>
        </xdr:from>
        <xdr:to>
          <xdr:col>19</xdr:col>
          <xdr:colOff>209550</xdr:colOff>
          <xdr:row>30</xdr:row>
          <xdr:rowOff>219075</xdr:rowOff>
        </xdr:to>
        <xdr:sp macro="" textlink="">
          <xdr:nvSpPr>
            <xdr:cNvPr id="30795" name="Drop Down 75" hidden="1">
              <a:extLst>
                <a:ext uri="{63B3BB69-23CF-44E3-9099-C40C66FF867C}">
                  <a14:compatExt spid="_x0000_s30795"/>
                </a:ext>
                <a:ext uri="{FF2B5EF4-FFF2-40B4-BE49-F238E27FC236}">
                  <a16:creationId xmlns:a16="http://schemas.microsoft.com/office/drawing/2014/main" id="{00000000-0008-0000-0800-00004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31</xdr:row>
          <xdr:rowOff>0</xdr:rowOff>
        </xdr:from>
        <xdr:to>
          <xdr:col>19</xdr:col>
          <xdr:colOff>209550</xdr:colOff>
          <xdr:row>32</xdr:row>
          <xdr:rowOff>0</xdr:rowOff>
        </xdr:to>
        <xdr:sp macro="" textlink="">
          <xdr:nvSpPr>
            <xdr:cNvPr id="30796" name="Drop Down 76" hidden="1">
              <a:extLst>
                <a:ext uri="{63B3BB69-23CF-44E3-9099-C40C66FF867C}">
                  <a14:compatExt spid="_x0000_s30796"/>
                </a:ext>
                <a:ext uri="{FF2B5EF4-FFF2-40B4-BE49-F238E27FC236}">
                  <a16:creationId xmlns:a16="http://schemas.microsoft.com/office/drawing/2014/main" id="{00000000-0008-0000-0800-00004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32</xdr:row>
          <xdr:rowOff>0</xdr:rowOff>
        </xdr:from>
        <xdr:to>
          <xdr:col>19</xdr:col>
          <xdr:colOff>209550</xdr:colOff>
          <xdr:row>32</xdr:row>
          <xdr:rowOff>219075</xdr:rowOff>
        </xdr:to>
        <xdr:sp macro="" textlink="">
          <xdr:nvSpPr>
            <xdr:cNvPr id="30797" name="Drop Down 77" hidden="1">
              <a:extLst>
                <a:ext uri="{63B3BB69-23CF-44E3-9099-C40C66FF867C}">
                  <a14:compatExt spid="_x0000_s30797"/>
                </a:ext>
                <a:ext uri="{FF2B5EF4-FFF2-40B4-BE49-F238E27FC236}">
                  <a16:creationId xmlns:a16="http://schemas.microsoft.com/office/drawing/2014/main" id="{00000000-0008-0000-0800-00004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33</xdr:row>
          <xdr:rowOff>9525</xdr:rowOff>
        </xdr:from>
        <xdr:to>
          <xdr:col>5</xdr:col>
          <xdr:colOff>0</xdr:colOff>
          <xdr:row>33</xdr:row>
          <xdr:rowOff>219075</xdr:rowOff>
        </xdr:to>
        <xdr:sp macro="" textlink="">
          <xdr:nvSpPr>
            <xdr:cNvPr id="30806" name="Drop Down 86" hidden="1">
              <a:extLst>
                <a:ext uri="{63B3BB69-23CF-44E3-9099-C40C66FF867C}">
                  <a14:compatExt spid="_x0000_s30806"/>
                </a:ext>
                <a:ext uri="{FF2B5EF4-FFF2-40B4-BE49-F238E27FC236}">
                  <a16:creationId xmlns:a16="http://schemas.microsoft.com/office/drawing/2014/main" id="{00000000-0008-0000-0800-00005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200025</xdr:colOff>
          <xdr:row>33</xdr:row>
          <xdr:rowOff>219075</xdr:rowOff>
        </xdr:to>
        <xdr:sp macro="" textlink="">
          <xdr:nvSpPr>
            <xdr:cNvPr id="30807" name="Drop Down 87" hidden="1">
              <a:extLst>
                <a:ext uri="{63B3BB69-23CF-44E3-9099-C40C66FF867C}">
                  <a14:compatExt spid="_x0000_s30807"/>
                </a:ext>
                <a:ext uri="{FF2B5EF4-FFF2-40B4-BE49-F238E27FC236}">
                  <a16:creationId xmlns:a16="http://schemas.microsoft.com/office/drawing/2014/main" id="{00000000-0008-0000-0800-00005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33</xdr:row>
          <xdr:rowOff>0</xdr:rowOff>
        </xdr:from>
        <xdr:to>
          <xdr:col>13</xdr:col>
          <xdr:colOff>361950</xdr:colOff>
          <xdr:row>33</xdr:row>
          <xdr:rowOff>219075</xdr:rowOff>
        </xdr:to>
        <xdr:sp macro="" textlink="">
          <xdr:nvSpPr>
            <xdr:cNvPr id="30808" name="Drop Down 88" hidden="1">
              <a:extLst>
                <a:ext uri="{63B3BB69-23CF-44E3-9099-C40C66FF867C}">
                  <a14:compatExt spid="_x0000_s30808"/>
                </a:ext>
                <a:ext uri="{FF2B5EF4-FFF2-40B4-BE49-F238E27FC236}">
                  <a16:creationId xmlns:a16="http://schemas.microsoft.com/office/drawing/2014/main" id="{00000000-0008-0000-0800-00005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33</xdr:row>
          <xdr:rowOff>0</xdr:rowOff>
        </xdr:from>
        <xdr:to>
          <xdr:col>15</xdr:col>
          <xdr:colOff>200025</xdr:colOff>
          <xdr:row>33</xdr:row>
          <xdr:rowOff>219075</xdr:rowOff>
        </xdr:to>
        <xdr:sp macro="" textlink="">
          <xdr:nvSpPr>
            <xdr:cNvPr id="30809" name="Drop Down 89" hidden="1">
              <a:extLst>
                <a:ext uri="{63B3BB69-23CF-44E3-9099-C40C66FF867C}">
                  <a14:compatExt spid="_x0000_s30809"/>
                </a:ext>
                <a:ext uri="{FF2B5EF4-FFF2-40B4-BE49-F238E27FC236}">
                  <a16:creationId xmlns:a16="http://schemas.microsoft.com/office/drawing/2014/main" id="{00000000-0008-0000-0800-00005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33</xdr:row>
          <xdr:rowOff>0</xdr:rowOff>
        </xdr:from>
        <xdr:to>
          <xdr:col>17</xdr:col>
          <xdr:colOff>209550</xdr:colOff>
          <xdr:row>33</xdr:row>
          <xdr:rowOff>219075</xdr:rowOff>
        </xdr:to>
        <xdr:sp macro="" textlink="">
          <xdr:nvSpPr>
            <xdr:cNvPr id="30810" name="Drop Down 90" hidden="1">
              <a:extLst>
                <a:ext uri="{63B3BB69-23CF-44E3-9099-C40C66FF867C}">
                  <a14:compatExt spid="_x0000_s30810"/>
                </a:ext>
                <a:ext uri="{FF2B5EF4-FFF2-40B4-BE49-F238E27FC236}">
                  <a16:creationId xmlns:a16="http://schemas.microsoft.com/office/drawing/2014/main" id="{00000000-0008-0000-0800-00005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33</xdr:row>
          <xdr:rowOff>0</xdr:rowOff>
        </xdr:from>
        <xdr:to>
          <xdr:col>19</xdr:col>
          <xdr:colOff>209550</xdr:colOff>
          <xdr:row>33</xdr:row>
          <xdr:rowOff>219075</xdr:rowOff>
        </xdr:to>
        <xdr:sp macro="" textlink="">
          <xdr:nvSpPr>
            <xdr:cNvPr id="30811" name="Drop Down 91" hidden="1">
              <a:extLst>
                <a:ext uri="{63B3BB69-23CF-44E3-9099-C40C66FF867C}">
                  <a14:compatExt spid="_x0000_s30811"/>
                </a:ext>
                <a:ext uri="{FF2B5EF4-FFF2-40B4-BE49-F238E27FC236}">
                  <a16:creationId xmlns:a16="http://schemas.microsoft.com/office/drawing/2014/main" id="{00000000-0008-0000-0800-00005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30814" name="Drop Down 94" hidden="1">
              <a:extLst>
                <a:ext uri="{63B3BB69-23CF-44E3-9099-C40C66FF867C}">
                  <a14:compatExt spid="_x0000_s30814"/>
                </a:ext>
                <a:ext uri="{FF2B5EF4-FFF2-40B4-BE49-F238E27FC236}">
                  <a16:creationId xmlns:a16="http://schemas.microsoft.com/office/drawing/2014/main" id="{00000000-0008-0000-0800-00005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34</xdr:row>
          <xdr:rowOff>0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30815" name="Drop Down 95" hidden="1">
              <a:extLst>
                <a:ext uri="{63B3BB69-23CF-44E3-9099-C40C66FF867C}">
                  <a14:compatExt spid="_x0000_s30815"/>
                </a:ext>
                <a:ext uri="{FF2B5EF4-FFF2-40B4-BE49-F238E27FC236}">
                  <a16:creationId xmlns:a16="http://schemas.microsoft.com/office/drawing/2014/main" id="{00000000-0008-0000-0800-00005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34</xdr:row>
          <xdr:rowOff>0</xdr:rowOff>
        </xdr:from>
        <xdr:to>
          <xdr:col>13</xdr:col>
          <xdr:colOff>361950</xdr:colOff>
          <xdr:row>35</xdr:row>
          <xdr:rowOff>0</xdr:rowOff>
        </xdr:to>
        <xdr:sp macro="" textlink="">
          <xdr:nvSpPr>
            <xdr:cNvPr id="30816" name="Drop Down 96" hidden="1">
              <a:extLst>
                <a:ext uri="{63B3BB69-23CF-44E3-9099-C40C66FF867C}">
                  <a14:compatExt spid="_x0000_s30816"/>
                </a:ext>
                <a:ext uri="{FF2B5EF4-FFF2-40B4-BE49-F238E27FC236}">
                  <a16:creationId xmlns:a16="http://schemas.microsoft.com/office/drawing/2014/main" id="{00000000-0008-0000-0800-00006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34</xdr:row>
          <xdr:rowOff>0</xdr:rowOff>
        </xdr:from>
        <xdr:to>
          <xdr:col>15</xdr:col>
          <xdr:colOff>200025</xdr:colOff>
          <xdr:row>35</xdr:row>
          <xdr:rowOff>0</xdr:rowOff>
        </xdr:to>
        <xdr:sp macro="" textlink="">
          <xdr:nvSpPr>
            <xdr:cNvPr id="30817" name="Drop Down 97" hidden="1">
              <a:extLst>
                <a:ext uri="{63B3BB69-23CF-44E3-9099-C40C66FF867C}">
                  <a14:compatExt spid="_x0000_s30817"/>
                </a:ext>
                <a:ext uri="{FF2B5EF4-FFF2-40B4-BE49-F238E27FC236}">
                  <a16:creationId xmlns:a16="http://schemas.microsoft.com/office/drawing/2014/main" id="{00000000-0008-0000-0800-00006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34</xdr:row>
          <xdr:rowOff>0</xdr:rowOff>
        </xdr:from>
        <xdr:to>
          <xdr:col>17</xdr:col>
          <xdr:colOff>209550</xdr:colOff>
          <xdr:row>35</xdr:row>
          <xdr:rowOff>0</xdr:rowOff>
        </xdr:to>
        <xdr:sp macro="" textlink="">
          <xdr:nvSpPr>
            <xdr:cNvPr id="30818" name="Drop Down 98" hidden="1">
              <a:extLst>
                <a:ext uri="{63B3BB69-23CF-44E3-9099-C40C66FF867C}">
                  <a14:compatExt spid="_x0000_s30818"/>
                </a:ext>
                <a:ext uri="{FF2B5EF4-FFF2-40B4-BE49-F238E27FC236}">
                  <a16:creationId xmlns:a16="http://schemas.microsoft.com/office/drawing/2014/main" id="{00000000-0008-0000-0800-00006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34</xdr:row>
          <xdr:rowOff>0</xdr:rowOff>
        </xdr:from>
        <xdr:to>
          <xdr:col>19</xdr:col>
          <xdr:colOff>209550</xdr:colOff>
          <xdr:row>35</xdr:row>
          <xdr:rowOff>0</xdr:rowOff>
        </xdr:to>
        <xdr:sp macro="" textlink="">
          <xdr:nvSpPr>
            <xdr:cNvPr id="30819" name="Drop Down 99" hidden="1">
              <a:extLst>
                <a:ext uri="{63B3BB69-23CF-44E3-9099-C40C66FF867C}">
                  <a14:compatExt spid="_x0000_s30819"/>
                </a:ext>
                <a:ext uri="{FF2B5EF4-FFF2-40B4-BE49-F238E27FC236}">
                  <a16:creationId xmlns:a16="http://schemas.microsoft.com/office/drawing/2014/main" id="{00000000-0008-0000-0800-00006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35</xdr:row>
          <xdr:rowOff>9525</xdr:rowOff>
        </xdr:from>
        <xdr:to>
          <xdr:col>5</xdr:col>
          <xdr:colOff>0</xdr:colOff>
          <xdr:row>35</xdr:row>
          <xdr:rowOff>219075</xdr:rowOff>
        </xdr:to>
        <xdr:sp macro="" textlink="">
          <xdr:nvSpPr>
            <xdr:cNvPr id="30822" name="Drop Down 102" hidden="1">
              <a:extLst>
                <a:ext uri="{63B3BB69-23CF-44E3-9099-C40C66FF867C}">
                  <a14:compatExt spid="_x0000_s30822"/>
                </a:ext>
                <a:ext uri="{FF2B5EF4-FFF2-40B4-BE49-F238E27FC236}">
                  <a16:creationId xmlns:a16="http://schemas.microsoft.com/office/drawing/2014/main" id="{00000000-0008-0000-0800-00006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35</xdr:row>
          <xdr:rowOff>0</xdr:rowOff>
        </xdr:from>
        <xdr:to>
          <xdr:col>11</xdr:col>
          <xdr:colOff>200025</xdr:colOff>
          <xdr:row>35</xdr:row>
          <xdr:rowOff>219075</xdr:rowOff>
        </xdr:to>
        <xdr:sp macro="" textlink="">
          <xdr:nvSpPr>
            <xdr:cNvPr id="30823" name="Drop Down 103" hidden="1">
              <a:extLst>
                <a:ext uri="{63B3BB69-23CF-44E3-9099-C40C66FF867C}">
                  <a14:compatExt spid="_x0000_s30823"/>
                </a:ext>
                <a:ext uri="{FF2B5EF4-FFF2-40B4-BE49-F238E27FC236}">
                  <a16:creationId xmlns:a16="http://schemas.microsoft.com/office/drawing/2014/main" id="{00000000-0008-0000-0800-00006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35</xdr:row>
          <xdr:rowOff>0</xdr:rowOff>
        </xdr:from>
        <xdr:to>
          <xdr:col>13</xdr:col>
          <xdr:colOff>361950</xdr:colOff>
          <xdr:row>35</xdr:row>
          <xdr:rowOff>219075</xdr:rowOff>
        </xdr:to>
        <xdr:sp macro="" textlink="">
          <xdr:nvSpPr>
            <xdr:cNvPr id="30824" name="Drop Down 104" hidden="1">
              <a:extLst>
                <a:ext uri="{63B3BB69-23CF-44E3-9099-C40C66FF867C}">
                  <a14:compatExt spid="_x0000_s30824"/>
                </a:ext>
                <a:ext uri="{FF2B5EF4-FFF2-40B4-BE49-F238E27FC236}">
                  <a16:creationId xmlns:a16="http://schemas.microsoft.com/office/drawing/2014/main" id="{00000000-0008-0000-0800-00006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35</xdr:row>
          <xdr:rowOff>0</xdr:rowOff>
        </xdr:from>
        <xdr:to>
          <xdr:col>15</xdr:col>
          <xdr:colOff>200025</xdr:colOff>
          <xdr:row>35</xdr:row>
          <xdr:rowOff>219075</xdr:rowOff>
        </xdr:to>
        <xdr:sp macro="" textlink="">
          <xdr:nvSpPr>
            <xdr:cNvPr id="30825" name="Drop Down 105" hidden="1">
              <a:extLst>
                <a:ext uri="{63B3BB69-23CF-44E3-9099-C40C66FF867C}">
                  <a14:compatExt spid="_x0000_s30825"/>
                </a:ext>
                <a:ext uri="{FF2B5EF4-FFF2-40B4-BE49-F238E27FC236}">
                  <a16:creationId xmlns:a16="http://schemas.microsoft.com/office/drawing/2014/main" id="{00000000-0008-0000-0800-00006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35</xdr:row>
          <xdr:rowOff>0</xdr:rowOff>
        </xdr:from>
        <xdr:to>
          <xdr:col>17</xdr:col>
          <xdr:colOff>209550</xdr:colOff>
          <xdr:row>35</xdr:row>
          <xdr:rowOff>219075</xdr:rowOff>
        </xdr:to>
        <xdr:sp macro="" textlink="">
          <xdr:nvSpPr>
            <xdr:cNvPr id="30826" name="Drop Down 106" hidden="1">
              <a:extLst>
                <a:ext uri="{63B3BB69-23CF-44E3-9099-C40C66FF867C}">
                  <a14:compatExt spid="_x0000_s30826"/>
                </a:ext>
                <a:ext uri="{FF2B5EF4-FFF2-40B4-BE49-F238E27FC236}">
                  <a16:creationId xmlns:a16="http://schemas.microsoft.com/office/drawing/2014/main" id="{00000000-0008-0000-0800-00006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35</xdr:row>
          <xdr:rowOff>0</xdr:rowOff>
        </xdr:from>
        <xdr:to>
          <xdr:col>19</xdr:col>
          <xdr:colOff>209550</xdr:colOff>
          <xdr:row>35</xdr:row>
          <xdr:rowOff>219075</xdr:rowOff>
        </xdr:to>
        <xdr:sp macro="" textlink="">
          <xdr:nvSpPr>
            <xdr:cNvPr id="30827" name="Drop Down 107" hidden="1">
              <a:extLst>
                <a:ext uri="{63B3BB69-23CF-44E3-9099-C40C66FF867C}">
                  <a14:compatExt spid="_x0000_s30827"/>
                </a:ext>
                <a:ext uri="{FF2B5EF4-FFF2-40B4-BE49-F238E27FC236}">
                  <a16:creationId xmlns:a16="http://schemas.microsoft.com/office/drawing/2014/main" id="{00000000-0008-0000-0800-00006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30830" name="Drop Down 110" hidden="1">
              <a:extLst>
                <a:ext uri="{63B3BB69-23CF-44E3-9099-C40C66FF867C}">
                  <a14:compatExt spid="_x0000_s30830"/>
                </a:ext>
                <a:ext uri="{FF2B5EF4-FFF2-40B4-BE49-F238E27FC236}">
                  <a16:creationId xmlns:a16="http://schemas.microsoft.com/office/drawing/2014/main" id="{00000000-0008-0000-0800-00006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30831" name="Drop Down 111" hidden="1">
              <a:extLst>
                <a:ext uri="{63B3BB69-23CF-44E3-9099-C40C66FF867C}">
                  <a14:compatExt spid="_x0000_s30831"/>
                </a:ext>
                <a:ext uri="{FF2B5EF4-FFF2-40B4-BE49-F238E27FC236}">
                  <a16:creationId xmlns:a16="http://schemas.microsoft.com/office/drawing/2014/main" id="{00000000-0008-0000-0800-00006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30832" name="Drop Down 112" hidden="1">
              <a:extLst>
                <a:ext uri="{63B3BB69-23CF-44E3-9099-C40C66FF867C}">
                  <a14:compatExt spid="_x0000_s30832"/>
                </a:ext>
                <a:ext uri="{FF2B5EF4-FFF2-40B4-BE49-F238E27FC236}">
                  <a16:creationId xmlns:a16="http://schemas.microsoft.com/office/drawing/2014/main" id="{00000000-0008-0000-0800-00007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30833" name="Drop Down 113" hidden="1">
              <a:extLst>
                <a:ext uri="{63B3BB69-23CF-44E3-9099-C40C66FF867C}">
                  <a14:compatExt spid="_x0000_s30833"/>
                </a:ext>
                <a:ext uri="{FF2B5EF4-FFF2-40B4-BE49-F238E27FC236}">
                  <a16:creationId xmlns:a16="http://schemas.microsoft.com/office/drawing/2014/main" id="{00000000-0008-0000-0800-00007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30834" name="Drop Down 114" hidden="1">
              <a:extLst>
                <a:ext uri="{63B3BB69-23CF-44E3-9099-C40C66FF867C}">
                  <a14:compatExt spid="_x0000_s30834"/>
                </a:ext>
                <a:ext uri="{FF2B5EF4-FFF2-40B4-BE49-F238E27FC236}">
                  <a16:creationId xmlns:a16="http://schemas.microsoft.com/office/drawing/2014/main" id="{00000000-0008-0000-0800-00007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30835" name="Drop Down 115" hidden="1">
              <a:extLst>
                <a:ext uri="{63B3BB69-23CF-44E3-9099-C40C66FF867C}">
                  <a14:compatExt spid="_x0000_s30835"/>
                </a:ext>
                <a:ext uri="{FF2B5EF4-FFF2-40B4-BE49-F238E27FC236}">
                  <a16:creationId xmlns:a16="http://schemas.microsoft.com/office/drawing/2014/main" id="{00000000-0008-0000-0800-00007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30838" name="Drop Down 118" hidden="1">
              <a:extLst>
                <a:ext uri="{63B3BB69-23CF-44E3-9099-C40C66FF867C}">
                  <a14:compatExt spid="_x0000_s30838"/>
                </a:ext>
                <a:ext uri="{FF2B5EF4-FFF2-40B4-BE49-F238E27FC236}">
                  <a16:creationId xmlns:a16="http://schemas.microsoft.com/office/drawing/2014/main" id="{00000000-0008-0000-0800-00007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30839" name="Drop Down 119" hidden="1">
              <a:extLst>
                <a:ext uri="{63B3BB69-23CF-44E3-9099-C40C66FF867C}">
                  <a14:compatExt spid="_x0000_s30839"/>
                </a:ext>
                <a:ext uri="{FF2B5EF4-FFF2-40B4-BE49-F238E27FC236}">
                  <a16:creationId xmlns:a16="http://schemas.microsoft.com/office/drawing/2014/main" id="{00000000-0008-0000-0800-00007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30840" name="Drop Down 120" hidden="1">
              <a:extLst>
                <a:ext uri="{63B3BB69-23CF-44E3-9099-C40C66FF867C}">
                  <a14:compatExt spid="_x0000_s30840"/>
                </a:ext>
                <a:ext uri="{FF2B5EF4-FFF2-40B4-BE49-F238E27FC236}">
                  <a16:creationId xmlns:a16="http://schemas.microsoft.com/office/drawing/2014/main" id="{00000000-0008-0000-0800-00007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30841" name="Drop Down 121" hidden="1">
              <a:extLst>
                <a:ext uri="{63B3BB69-23CF-44E3-9099-C40C66FF867C}">
                  <a14:compatExt spid="_x0000_s30841"/>
                </a:ext>
                <a:ext uri="{FF2B5EF4-FFF2-40B4-BE49-F238E27FC236}">
                  <a16:creationId xmlns:a16="http://schemas.microsoft.com/office/drawing/2014/main" id="{00000000-0008-0000-0800-00007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30842" name="Drop Down 122" hidden="1">
              <a:extLst>
                <a:ext uri="{63B3BB69-23CF-44E3-9099-C40C66FF867C}">
                  <a14:compatExt spid="_x0000_s30842"/>
                </a:ext>
                <a:ext uri="{FF2B5EF4-FFF2-40B4-BE49-F238E27FC236}">
                  <a16:creationId xmlns:a16="http://schemas.microsoft.com/office/drawing/2014/main" id="{00000000-0008-0000-0800-00007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30843" name="Drop Down 123" hidden="1">
              <a:extLst>
                <a:ext uri="{63B3BB69-23CF-44E3-9099-C40C66FF867C}">
                  <a14:compatExt spid="_x0000_s30843"/>
                </a:ext>
                <a:ext uri="{FF2B5EF4-FFF2-40B4-BE49-F238E27FC236}">
                  <a16:creationId xmlns:a16="http://schemas.microsoft.com/office/drawing/2014/main" id="{00000000-0008-0000-0800-00007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37</xdr:row>
          <xdr:rowOff>9525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30846" name="Drop Down 126" hidden="1">
              <a:extLst>
                <a:ext uri="{63B3BB69-23CF-44E3-9099-C40C66FF867C}">
                  <a14:compatExt spid="_x0000_s30846"/>
                </a:ext>
                <a:ext uri="{FF2B5EF4-FFF2-40B4-BE49-F238E27FC236}">
                  <a16:creationId xmlns:a16="http://schemas.microsoft.com/office/drawing/2014/main" id="{00000000-0008-0000-0800-00007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37</xdr:row>
          <xdr:rowOff>0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30847" name="Drop Down 127" hidden="1">
              <a:extLst>
                <a:ext uri="{63B3BB69-23CF-44E3-9099-C40C66FF867C}">
                  <a14:compatExt spid="_x0000_s30847"/>
                </a:ext>
                <a:ext uri="{FF2B5EF4-FFF2-40B4-BE49-F238E27FC236}">
                  <a16:creationId xmlns:a16="http://schemas.microsoft.com/office/drawing/2014/main" id="{00000000-0008-0000-0800-00007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37</xdr:row>
          <xdr:rowOff>0</xdr:rowOff>
        </xdr:from>
        <xdr:to>
          <xdr:col>13</xdr:col>
          <xdr:colOff>361950</xdr:colOff>
          <xdr:row>38</xdr:row>
          <xdr:rowOff>0</xdr:rowOff>
        </xdr:to>
        <xdr:sp macro="" textlink="">
          <xdr:nvSpPr>
            <xdr:cNvPr id="30848" name="Drop Down 128" hidden="1">
              <a:extLst>
                <a:ext uri="{63B3BB69-23CF-44E3-9099-C40C66FF867C}">
                  <a14:compatExt spid="_x0000_s30848"/>
                </a:ext>
                <a:ext uri="{FF2B5EF4-FFF2-40B4-BE49-F238E27FC236}">
                  <a16:creationId xmlns:a16="http://schemas.microsoft.com/office/drawing/2014/main" id="{00000000-0008-0000-0800-00008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37</xdr:row>
          <xdr:rowOff>0</xdr:rowOff>
        </xdr:from>
        <xdr:to>
          <xdr:col>15</xdr:col>
          <xdr:colOff>200025</xdr:colOff>
          <xdr:row>38</xdr:row>
          <xdr:rowOff>0</xdr:rowOff>
        </xdr:to>
        <xdr:sp macro="" textlink="">
          <xdr:nvSpPr>
            <xdr:cNvPr id="30849" name="Drop Down 129" hidden="1">
              <a:extLst>
                <a:ext uri="{63B3BB69-23CF-44E3-9099-C40C66FF867C}">
                  <a14:compatExt spid="_x0000_s30849"/>
                </a:ext>
                <a:ext uri="{FF2B5EF4-FFF2-40B4-BE49-F238E27FC236}">
                  <a16:creationId xmlns:a16="http://schemas.microsoft.com/office/drawing/2014/main" id="{00000000-0008-0000-0800-00008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37</xdr:row>
          <xdr:rowOff>0</xdr:rowOff>
        </xdr:from>
        <xdr:to>
          <xdr:col>17</xdr:col>
          <xdr:colOff>209550</xdr:colOff>
          <xdr:row>38</xdr:row>
          <xdr:rowOff>0</xdr:rowOff>
        </xdr:to>
        <xdr:sp macro="" textlink="">
          <xdr:nvSpPr>
            <xdr:cNvPr id="30850" name="Drop Down 130" hidden="1">
              <a:extLst>
                <a:ext uri="{63B3BB69-23CF-44E3-9099-C40C66FF867C}">
                  <a14:compatExt spid="_x0000_s30850"/>
                </a:ext>
                <a:ext uri="{FF2B5EF4-FFF2-40B4-BE49-F238E27FC236}">
                  <a16:creationId xmlns:a16="http://schemas.microsoft.com/office/drawing/2014/main" id="{00000000-0008-0000-0800-00008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37</xdr:row>
          <xdr:rowOff>0</xdr:rowOff>
        </xdr:from>
        <xdr:to>
          <xdr:col>19</xdr:col>
          <xdr:colOff>209550</xdr:colOff>
          <xdr:row>38</xdr:row>
          <xdr:rowOff>0</xdr:rowOff>
        </xdr:to>
        <xdr:sp macro="" textlink="">
          <xdr:nvSpPr>
            <xdr:cNvPr id="30851" name="Drop Down 131" hidden="1">
              <a:extLst>
                <a:ext uri="{63B3BB69-23CF-44E3-9099-C40C66FF867C}">
                  <a14:compatExt spid="_x0000_s30851"/>
                </a:ext>
                <a:ext uri="{FF2B5EF4-FFF2-40B4-BE49-F238E27FC236}">
                  <a16:creationId xmlns:a16="http://schemas.microsoft.com/office/drawing/2014/main" id="{00000000-0008-0000-0800-00008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38</xdr:row>
          <xdr:rowOff>9525</xdr:rowOff>
        </xdr:from>
        <xdr:to>
          <xdr:col>5</xdr:col>
          <xdr:colOff>0</xdr:colOff>
          <xdr:row>38</xdr:row>
          <xdr:rowOff>219075</xdr:rowOff>
        </xdr:to>
        <xdr:sp macro="" textlink="">
          <xdr:nvSpPr>
            <xdr:cNvPr id="30854" name="Drop Down 134" hidden="1">
              <a:extLst>
                <a:ext uri="{63B3BB69-23CF-44E3-9099-C40C66FF867C}">
                  <a14:compatExt spid="_x0000_s30854"/>
                </a:ext>
                <a:ext uri="{FF2B5EF4-FFF2-40B4-BE49-F238E27FC236}">
                  <a16:creationId xmlns:a16="http://schemas.microsoft.com/office/drawing/2014/main" id="{00000000-0008-0000-0800-00008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38</xdr:row>
          <xdr:rowOff>0</xdr:rowOff>
        </xdr:from>
        <xdr:to>
          <xdr:col>11</xdr:col>
          <xdr:colOff>200025</xdr:colOff>
          <xdr:row>38</xdr:row>
          <xdr:rowOff>219075</xdr:rowOff>
        </xdr:to>
        <xdr:sp macro="" textlink="">
          <xdr:nvSpPr>
            <xdr:cNvPr id="30855" name="Drop Down 135" hidden="1">
              <a:extLst>
                <a:ext uri="{63B3BB69-23CF-44E3-9099-C40C66FF867C}">
                  <a14:compatExt spid="_x0000_s30855"/>
                </a:ext>
                <a:ext uri="{FF2B5EF4-FFF2-40B4-BE49-F238E27FC236}">
                  <a16:creationId xmlns:a16="http://schemas.microsoft.com/office/drawing/2014/main" id="{00000000-0008-0000-0800-00008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38</xdr:row>
          <xdr:rowOff>0</xdr:rowOff>
        </xdr:from>
        <xdr:to>
          <xdr:col>13</xdr:col>
          <xdr:colOff>361950</xdr:colOff>
          <xdr:row>38</xdr:row>
          <xdr:rowOff>219075</xdr:rowOff>
        </xdr:to>
        <xdr:sp macro="" textlink="">
          <xdr:nvSpPr>
            <xdr:cNvPr id="30856" name="Drop Down 136" hidden="1">
              <a:extLst>
                <a:ext uri="{63B3BB69-23CF-44E3-9099-C40C66FF867C}">
                  <a14:compatExt spid="_x0000_s30856"/>
                </a:ext>
                <a:ext uri="{FF2B5EF4-FFF2-40B4-BE49-F238E27FC236}">
                  <a16:creationId xmlns:a16="http://schemas.microsoft.com/office/drawing/2014/main" id="{00000000-0008-0000-0800-00008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38</xdr:row>
          <xdr:rowOff>0</xdr:rowOff>
        </xdr:from>
        <xdr:to>
          <xdr:col>15</xdr:col>
          <xdr:colOff>200025</xdr:colOff>
          <xdr:row>38</xdr:row>
          <xdr:rowOff>219075</xdr:rowOff>
        </xdr:to>
        <xdr:sp macro="" textlink="">
          <xdr:nvSpPr>
            <xdr:cNvPr id="30857" name="Drop Down 137" hidden="1">
              <a:extLst>
                <a:ext uri="{63B3BB69-23CF-44E3-9099-C40C66FF867C}">
                  <a14:compatExt spid="_x0000_s30857"/>
                </a:ext>
                <a:ext uri="{FF2B5EF4-FFF2-40B4-BE49-F238E27FC236}">
                  <a16:creationId xmlns:a16="http://schemas.microsoft.com/office/drawing/2014/main" id="{00000000-0008-0000-0800-00008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38</xdr:row>
          <xdr:rowOff>0</xdr:rowOff>
        </xdr:from>
        <xdr:to>
          <xdr:col>17</xdr:col>
          <xdr:colOff>209550</xdr:colOff>
          <xdr:row>38</xdr:row>
          <xdr:rowOff>219075</xdr:rowOff>
        </xdr:to>
        <xdr:sp macro="" textlink="">
          <xdr:nvSpPr>
            <xdr:cNvPr id="30858" name="Drop Down 138" hidden="1">
              <a:extLst>
                <a:ext uri="{63B3BB69-23CF-44E3-9099-C40C66FF867C}">
                  <a14:compatExt spid="_x0000_s30858"/>
                </a:ext>
                <a:ext uri="{FF2B5EF4-FFF2-40B4-BE49-F238E27FC236}">
                  <a16:creationId xmlns:a16="http://schemas.microsoft.com/office/drawing/2014/main" id="{00000000-0008-0000-0800-00008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38</xdr:row>
          <xdr:rowOff>0</xdr:rowOff>
        </xdr:from>
        <xdr:to>
          <xdr:col>19</xdr:col>
          <xdr:colOff>209550</xdr:colOff>
          <xdr:row>38</xdr:row>
          <xdr:rowOff>219075</xdr:rowOff>
        </xdr:to>
        <xdr:sp macro="" textlink="">
          <xdr:nvSpPr>
            <xdr:cNvPr id="30859" name="Drop Down 139" hidden="1">
              <a:extLst>
                <a:ext uri="{63B3BB69-23CF-44E3-9099-C40C66FF867C}">
                  <a14:compatExt spid="_x0000_s30859"/>
                </a:ext>
                <a:ext uri="{FF2B5EF4-FFF2-40B4-BE49-F238E27FC236}">
                  <a16:creationId xmlns:a16="http://schemas.microsoft.com/office/drawing/2014/main" id="{00000000-0008-0000-0800-00008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39</xdr:row>
          <xdr:rowOff>200025</xdr:rowOff>
        </xdr:from>
        <xdr:to>
          <xdr:col>9</xdr:col>
          <xdr:colOff>704850</xdr:colOff>
          <xdr:row>41</xdr:row>
          <xdr:rowOff>9525</xdr:rowOff>
        </xdr:to>
        <xdr:sp macro="" textlink="">
          <xdr:nvSpPr>
            <xdr:cNvPr id="30866" name="Button 146" hidden="1">
              <a:extLst>
                <a:ext uri="{63B3BB69-23CF-44E3-9099-C40C66FF867C}">
                  <a14:compatExt spid="_x0000_s30866"/>
                </a:ext>
                <a:ext uri="{FF2B5EF4-FFF2-40B4-BE49-F238E27FC236}">
                  <a16:creationId xmlns:a16="http://schemas.microsoft.com/office/drawing/2014/main" id="{00000000-0008-0000-0800-00009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20</xdr:row>
          <xdr:rowOff>9525</xdr:rowOff>
        </xdr:from>
        <xdr:to>
          <xdr:col>9</xdr:col>
          <xdr:colOff>5442</xdr:colOff>
          <xdr:row>21</xdr:row>
          <xdr:rowOff>0</xdr:rowOff>
        </xdr:to>
        <xdr:sp macro="" textlink="">
          <xdr:nvSpPr>
            <xdr:cNvPr id="32879" name="Drop Dow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9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21</xdr:row>
          <xdr:rowOff>9525</xdr:rowOff>
        </xdr:from>
        <xdr:to>
          <xdr:col>9</xdr:col>
          <xdr:colOff>5442</xdr:colOff>
          <xdr:row>22</xdr:row>
          <xdr:rowOff>0</xdr:rowOff>
        </xdr:to>
        <xdr:sp macro="" textlink="">
          <xdr:nvSpPr>
            <xdr:cNvPr id="32881" name="Drop Dow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9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22</xdr:row>
          <xdr:rowOff>9525</xdr:rowOff>
        </xdr:from>
        <xdr:to>
          <xdr:col>9</xdr:col>
          <xdr:colOff>5442</xdr:colOff>
          <xdr:row>23</xdr:row>
          <xdr:rowOff>0</xdr:rowOff>
        </xdr:to>
        <xdr:sp macro="" textlink="">
          <xdr:nvSpPr>
            <xdr:cNvPr id="32883" name="Drop Dow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9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23</xdr:row>
          <xdr:rowOff>9525</xdr:rowOff>
        </xdr:from>
        <xdr:to>
          <xdr:col>9</xdr:col>
          <xdr:colOff>5442</xdr:colOff>
          <xdr:row>24</xdr:row>
          <xdr:rowOff>0</xdr:rowOff>
        </xdr:to>
        <xdr:sp macro="" textlink="">
          <xdr:nvSpPr>
            <xdr:cNvPr id="32885" name="Drop Dow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9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24</xdr:row>
          <xdr:rowOff>9525</xdr:rowOff>
        </xdr:from>
        <xdr:to>
          <xdr:col>9</xdr:col>
          <xdr:colOff>5442</xdr:colOff>
          <xdr:row>24</xdr:row>
          <xdr:rowOff>219075</xdr:rowOff>
        </xdr:to>
        <xdr:sp macro="" textlink="">
          <xdr:nvSpPr>
            <xdr:cNvPr id="32903" name="Drop Dow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9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25</xdr:row>
          <xdr:rowOff>9525</xdr:rowOff>
        </xdr:from>
        <xdr:to>
          <xdr:col>9</xdr:col>
          <xdr:colOff>5442</xdr:colOff>
          <xdr:row>26</xdr:row>
          <xdr:rowOff>0</xdr:rowOff>
        </xdr:to>
        <xdr:sp macro="" textlink="">
          <xdr:nvSpPr>
            <xdr:cNvPr id="32909" name="Drop Down 141" hidden="1">
              <a:extLst>
                <a:ext uri="{63B3BB69-23CF-44E3-9099-C40C66FF867C}">
                  <a14:compatExt spid="_x0000_s32909"/>
                </a:ext>
                <a:ext uri="{FF2B5EF4-FFF2-40B4-BE49-F238E27FC236}">
                  <a16:creationId xmlns:a16="http://schemas.microsoft.com/office/drawing/2014/main" id="{00000000-0008-0000-0900-00008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26</xdr:row>
          <xdr:rowOff>9525</xdr:rowOff>
        </xdr:from>
        <xdr:to>
          <xdr:col>9</xdr:col>
          <xdr:colOff>5442</xdr:colOff>
          <xdr:row>27</xdr:row>
          <xdr:rowOff>0</xdr:rowOff>
        </xdr:to>
        <xdr:sp macro="" textlink="">
          <xdr:nvSpPr>
            <xdr:cNvPr id="32915" name="Drop Down 147" hidden="1">
              <a:extLst>
                <a:ext uri="{63B3BB69-23CF-44E3-9099-C40C66FF867C}">
                  <a14:compatExt spid="_x0000_s32915"/>
                </a:ext>
                <a:ext uri="{FF2B5EF4-FFF2-40B4-BE49-F238E27FC236}">
                  <a16:creationId xmlns:a16="http://schemas.microsoft.com/office/drawing/2014/main" id="{00000000-0008-0000-0900-00009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9</xdr:col>
          <xdr:colOff>5442</xdr:colOff>
          <xdr:row>28</xdr:row>
          <xdr:rowOff>0</xdr:rowOff>
        </xdr:to>
        <xdr:sp macro="" textlink="">
          <xdr:nvSpPr>
            <xdr:cNvPr id="32917" name="Drop Down 149" hidden="1">
              <a:extLst>
                <a:ext uri="{63B3BB69-23CF-44E3-9099-C40C66FF867C}">
                  <a14:compatExt spid="_x0000_s32917"/>
                </a:ext>
                <a:ext uri="{FF2B5EF4-FFF2-40B4-BE49-F238E27FC236}">
                  <a16:creationId xmlns:a16="http://schemas.microsoft.com/office/drawing/2014/main" id="{00000000-0008-0000-0900-00009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9</xdr:col>
          <xdr:colOff>5442</xdr:colOff>
          <xdr:row>29</xdr:row>
          <xdr:rowOff>0</xdr:rowOff>
        </xdr:to>
        <xdr:sp macro="" textlink="">
          <xdr:nvSpPr>
            <xdr:cNvPr id="32919" name="Drop Down 151" hidden="1">
              <a:extLst>
                <a:ext uri="{63B3BB69-23CF-44E3-9099-C40C66FF867C}">
                  <a14:compatExt spid="_x0000_s32919"/>
                </a:ext>
                <a:ext uri="{FF2B5EF4-FFF2-40B4-BE49-F238E27FC236}">
                  <a16:creationId xmlns:a16="http://schemas.microsoft.com/office/drawing/2014/main" id="{00000000-0008-0000-0900-00009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9</xdr:col>
          <xdr:colOff>5442</xdr:colOff>
          <xdr:row>30</xdr:row>
          <xdr:rowOff>0</xdr:rowOff>
        </xdr:to>
        <xdr:sp macro="" textlink="">
          <xdr:nvSpPr>
            <xdr:cNvPr id="32921" name="Drop Down 153" hidden="1">
              <a:extLst>
                <a:ext uri="{63B3BB69-23CF-44E3-9099-C40C66FF867C}">
                  <a14:compatExt spid="_x0000_s32921"/>
                </a:ext>
                <a:ext uri="{FF2B5EF4-FFF2-40B4-BE49-F238E27FC236}">
                  <a16:creationId xmlns:a16="http://schemas.microsoft.com/office/drawing/2014/main" id="{00000000-0008-0000-0900-00009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9</xdr:col>
          <xdr:colOff>5442</xdr:colOff>
          <xdr:row>31</xdr:row>
          <xdr:rowOff>0</xdr:rowOff>
        </xdr:to>
        <xdr:sp macro="" textlink="">
          <xdr:nvSpPr>
            <xdr:cNvPr id="32939" name="Drop Down 171" hidden="1">
              <a:extLst>
                <a:ext uri="{63B3BB69-23CF-44E3-9099-C40C66FF867C}">
                  <a14:compatExt spid="_x0000_s32939"/>
                </a:ext>
                <a:ext uri="{FF2B5EF4-FFF2-40B4-BE49-F238E27FC236}">
                  <a16:creationId xmlns:a16="http://schemas.microsoft.com/office/drawing/2014/main" id="{00000000-0008-0000-0900-0000A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9</xdr:col>
          <xdr:colOff>5442</xdr:colOff>
          <xdr:row>32</xdr:row>
          <xdr:rowOff>0</xdr:rowOff>
        </xdr:to>
        <xdr:sp macro="" textlink="">
          <xdr:nvSpPr>
            <xdr:cNvPr id="32945" name="Drop Down 177" hidden="1">
              <a:extLst>
                <a:ext uri="{63B3BB69-23CF-44E3-9099-C40C66FF867C}">
                  <a14:compatExt spid="_x0000_s32945"/>
                </a:ext>
                <a:ext uri="{FF2B5EF4-FFF2-40B4-BE49-F238E27FC236}">
                  <a16:creationId xmlns:a16="http://schemas.microsoft.com/office/drawing/2014/main" id="{00000000-0008-0000-0900-0000B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9</xdr:col>
          <xdr:colOff>5442</xdr:colOff>
          <xdr:row>33</xdr:row>
          <xdr:rowOff>0</xdr:rowOff>
        </xdr:to>
        <xdr:sp macro="" textlink="">
          <xdr:nvSpPr>
            <xdr:cNvPr id="32951" name="Drop Down 183" hidden="1">
              <a:extLst>
                <a:ext uri="{63B3BB69-23CF-44E3-9099-C40C66FF867C}">
                  <a14:compatExt spid="_x0000_s32951"/>
                </a:ext>
                <a:ext uri="{FF2B5EF4-FFF2-40B4-BE49-F238E27FC236}">
                  <a16:creationId xmlns:a16="http://schemas.microsoft.com/office/drawing/2014/main" id="{00000000-0008-0000-0900-0000B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9</xdr:col>
          <xdr:colOff>5442</xdr:colOff>
          <xdr:row>34</xdr:row>
          <xdr:rowOff>0</xdr:rowOff>
        </xdr:to>
        <xdr:sp macro="" textlink="">
          <xdr:nvSpPr>
            <xdr:cNvPr id="32957" name="Drop Down 189" hidden="1">
              <a:extLst>
                <a:ext uri="{63B3BB69-23CF-44E3-9099-C40C66FF867C}">
                  <a14:compatExt spid="_x0000_s32957"/>
                </a:ext>
                <a:ext uri="{FF2B5EF4-FFF2-40B4-BE49-F238E27FC236}">
                  <a16:creationId xmlns:a16="http://schemas.microsoft.com/office/drawing/2014/main" id="{00000000-0008-0000-0900-0000B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9</xdr:col>
          <xdr:colOff>5442</xdr:colOff>
          <xdr:row>34</xdr:row>
          <xdr:rowOff>0</xdr:rowOff>
        </xdr:to>
        <xdr:sp macro="" textlink="">
          <xdr:nvSpPr>
            <xdr:cNvPr id="32963" name="Drop Down 195" hidden="1">
              <a:extLst>
                <a:ext uri="{63B3BB69-23CF-44E3-9099-C40C66FF867C}">
                  <a14:compatExt spid="_x0000_s32963"/>
                </a:ext>
                <a:ext uri="{FF2B5EF4-FFF2-40B4-BE49-F238E27FC236}">
                  <a16:creationId xmlns:a16="http://schemas.microsoft.com/office/drawing/2014/main" id="{00000000-0008-0000-0900-0000C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9</xdr:col>
          <xdr:colOff>5442</xdr:colOff>
          <xdr:row>35</xdr:row>
          <xdr:rowOff>0</xdr:rowOff>
        </xdr:to>
        <xdr:sp macro="" textlink="">
          <xdr:nvSpPr>
            <xdr:cNvPr id="32969" name="Drop Down 201" hidden="1">
              <a:extLst>
                <a:ext uri="{63B3BB69-23CF-44E3-9099-C40C66FF867C}">
                  <a14:compatExt spid="_x0000_s32969"/>
                </a:ext>
                <a:ext uri="{FF2B5EF4-FFF2-40B4-BE49-F238E27FC236}">
                  <a16:creationId xmlns:a16="http://schemas.microsoft.com/office/drawing/2014/main" id="{00000000-0008-0000-0900-0000C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9</xdr:col>
          <xdr:colOff>5442</xdr:colOff>
          <xdr:row>36</xdr:row>
          <xdr:rowOff>0</xdr:rowOff>
        </xdr:to>
        <xdr:sp macro="" textlink="">
          <xdr:nvSpPr>
            <xdr:cNvPr id="32975" name="Drop Down 207" hidden="1">
              <a:extLst>
                <a:ext uri="{63B3BB69-23CF-44E3-9099-C40C66FF867C}">
                  <a14:compatExt spid="_x0000_s32975"/>
                </a:ext>
                <a:ext uri="{FF2B5EF4-FFF2-40B4-BE49-F238E27FC236}">
                  <a16:creationId xmlns:a16="http://schemas.microsoft.com/office/drawing/2014/main" id="{00000000-0008-0000-0900-0000C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21</xdr:row>
          <xdr:rowOff>9525</xdr:rowOff>
        </xdr:from>
        <xdr:to>
          <xdr:col>9</xdr:col>
          <xdr:colOff>5442</xdr:colOff>
          <xdr:row>22</xdr:row>
          <xdr:rowOff>0</xdr:rowOff>
        </xdr:to>
        <xdr:sp macro="" textlink="">
          <xdr:nvSpPr>
            <xdr:cNvPr id="32981" name="Drop Down 213" hidden="1">
              <a:extLst>
                <a:ext uri="{63B3BB69-23CF-44E3-9099-C40C66FF867C}">
                  <a14:compatExt spid="_x0000_s32981"/>
                </a:ext>
                <a:ext uri="{FF2B5EF4-FFF2-40B4-BE49-F238E27FC236}">
                  <a16:creationId xmlns:a16="http://schemas.microsoft.com/office/drawing/2014/main" id="{00000000-0008-0000-0900-0000D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22</xdr:row>
          <xdr:rowOff>9525</xdr:rowOff>
        </xdr:from>
        <xdr:to>
          <xdr:col>9</xdr:col>
          <xdr:colOff>5442</xdr:colOff>
          <xdr:row>23</xdr:row>
          <xdr:rowOff>0</xdr:rowOff>
        </xdr:to>
        <xdr:sp macro="" textlink="">
          <xdr:nvSpPr>
            <xdr:cNvPr id="32982" name="Drop Down 214" hidden="1">
              <a:extLst>
                <a:ext uri="{63B3BB69-23CF-44E3-9099-C40C66FF867C}">
                  <a14:compatExt spid="_x0000_s32982"/>
                </a:ext>
                <a:ext uri="{FF2B5EF4-FFF2-40B4-BE49-F238E27FC236}">
                  <a16:creationId xmlns:a16="http://schemas.microsoft.com/office/drawing/2014/main" id="{00000000-0008-0000-0900-0000D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23</xdr:row>
          <xdr:rowOff>9525</xdr:rowOff>
        </xdr:from>
        <xdr:to>
          <xdr:col>9</xdr:col>
          <xdr:colOff>5442</xdr:colOff>
          <xdr:row>24</xdr:row>
          <xdr:rowOff>0</xdr:rowOff>
        </xdr:to>
        <xdr:sp macro="" textlink="">
          <xdr:nvSpPr>
            <xdr:cNvPr id="32983" name="Drop Down 215" hidden="1">
              <a:extLst>
                <a:ext uri="{63B3BB69-23CF-44E3-9099-C40C66FF867C}">
                  <a14:compatExt spid="_x0000_s32983"/>
                </a:ext>
                <a:ext uri="{FF2B5EF4-FFF2-40B4-BE49-F238E27FC236}">
                  <a16:creationId xmlns:a16="http://schemas.microsoft.com/office/drawing/2014/main" id="{00000000-0008-0000-0900-0000D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24</xdr:row>
          <xdr:rowOff>9525</xdr:rowOff>
        </xdr:from>
        <xdr:to>
          <xdr:col>9</xdr:col>
          <xdr:colOff>5442</xdr:colOff>
          <xdr:row>25</xdr:row>
          <xdr:rowOff>0</xdr:rowOff>
        </xdr:to>
        <xdr:sp macro="" textlink="">
          <xdr:nvSpPr>
            <xdr:cNvPr id="32984" name="Drop Down 216" hidden="1">
              <a:extLst>
                <a:ext uri="{63B3BB69-23CF-44E3-9099-C40C66FF867C}">
                  <a14:compatExt spid="_x0000_s32984"/>
                </a:ext>
                <a:ext uri="{FF2B5EF4-FFF2-40B4-BE49-F238E27FC236}">
                  <a16:creationId xmlns:a16="http://schemas.microsoft.com/office/drawing/2014/main" id="{00000000-0008-0000-0900-0000D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25</xdr:row>
          <xdr:rowOff>9525</xdr:rowOff>
        </xdr:from>
        <xdr:to>
          <xdr:col>9</xdr:col>
          <xdr:colOff>5442</xdr:colOff>
          <xdr:row>26</xdr:row>
          <xdr:rowOff>0</xdr:rowOff>
        </xdr:to>
        <xdr:sp macro="" textlink="">
          <xdr:nvSpPr>
            <xdr:cNvPr id="32985" name="Drop Down 217" hidden="1">
              <a:extLst>
                <a:ext uri="{63B3BB69-23CF-44E3-9099-C40C66FF867C}">
                  <a14:compatExt spid="_x0000_s32985"/>
                </a:ext>
                <a:ext uri="{FF2B5EF4-FFF2-40B4-BE49-F238E27FC236}">
                  <a16:creationId xmlns:a16="http://schemas.microsoft.com/office/drawing/2014/main" id="{00000000-0008-0000-0900-0000D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26</xdr:row>
          <xdr:rowOff>9525</xdr:rowOff>
        </xdr:from>
        <xdr:to>
          <xdr:col>9</xdr:col>
          <xdr:colOff>5442</xdr:colOff>
          <xdr:row>27</xdr:row>
          <xdr:rowOff>0</xdr:rowOff>
        </xdr:to>
        <xdr:sp macro="" textlink="">
          <xdr:nvSpPr>
            <xdr:cNvPr id="32986" name="Drop Down 218" hidden="1">
              <a:extLst>
                <a:ext uri="{63B3BB69-23CF-44E3-9099-C40C66FF867C}">
                  <a14:compatExt spid="_x0000_s32986"/>
                </a:ext>
                <a:ext uri="{FF2B5EF4-FFF2-40B4-BE49-F238E27FC236}">
                  <a16:creationId xmlns:a16="http://schemas.microsoft.com/office/drawing/2014/main" id="{00000000-0008-0000-0900-0000D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9</xdr:col>
          <xdr:colOff>5442</xdr:colOff>
          <xdr:row>28</xdr:row>
          <xdr:rowOff>0</xdr:rowOff>
        </xdr:to>
        <xdr:sp macro="" textlink="">
          <xdr:nvSpPr>
            <xdr:cNvPr id="32987" name="Drop Down 219" hidden="1">
              <a:extLst>
                <a:ext uri="{63B3BB69-23CF-44E3-9099-C40C66FF867C}">
                  <a14:compatExt spid="_x0000_s32987"/>
                </a:ext>
                <a:ext uri="{FF2B5EF4-FFF2-40B4-BE49-F238E27FC236}">
                  <a16:creationId xmlns:a16="http://schemas.microsoft.com/office/drawing/2014/main" id="{00000000-0008-0000-0900-0000D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9</xdr:col>
          <xdr:colOff>5442</xdr:colOff>
          <xdr:row>28</xdr:row>
          <xdr:rowOff>0</xdr:rowOff>
        </xdr:to>
        <xdr:sp macro="" textlink="">
          <xdr:nvSpPr>
            <xdr:cNvPr id="32988" name="Drop Down 220" hidden="1">
              <a:extLst>
                <a:ext uri="{63B3BB69-23CF-44E3-9099-C40C66FF867C}">
                  <a14:compatExt spid="_x0000_s32988"/>
                </a:ext>
                <a:ext uri="{FF2B5EF4-FFF2-40B4-BE49-F238E27FC236}">
                  <a16:creationId xmlns:a16="http://schemas.microsoft.com/office/drawing/2014/main" id="{00000000-0008-0000-0900-0000D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9</xdr:col>
          <xdr:colOff>5442</xdr:colOff>
          <xdr:row>29</xdr:row>
          <xdr:rowOff>0</xdr:rowOff>
        </xdr:to>
        <xdr:sp macro="" textlink="">
          <xdr:nvSpPr>
            <xdr:cNvPr id="32989" name="Drop Down 221" hidden="1">
              <a:extLst>
                <a:ext uri="{63B3BB69-23CF-44E3-9099-C40C66FF867C}">
                  <a14:compatExt spid="_x0000_s32989"/>
                </a:ext>
                <a:ext uri="{FF2B5EF4-FFF2-40B4-BE49-F238E27FC236}">
                  <a16:creationId xmlns:a16="http://schemas.microsoft.com/office/drawing/2014/main" id="{00000000-0008-0000-0900-0000D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9</xdr:col>
          <xdr:colOff>5442</xdr:colOff>
          <xdr:row>29</xdr:row>
          <xdr:rowOff>0</xdr:rowOff>
        </xdr:to>
        <xdr:sp macro="" textlink="">
          <xdr:nvSpPr>
            <xdr:cNvPr id="32990" name="Drop Down 222" hidden="1">
              <a:extLst>
                <a:ext uri="{63B3BB69-23CF-44E3-9099-C40C66FF867C}">
                  <a14:compatExt spid="_x0000_s32990"/>
                </a:ext>
                <a:ext uri="{FF2B5EF4-FFF2-40B4-BE49-F238E27FC236}">
                  <a16:creationId xmlns:a16="http://schemas.microsoft.com/office/drawing/2014/main" id="{00000000-0008-0000-0900-0000D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9</xdr:col>
          <xdr:colOff>5442</xdr:colOff>
          <xdr:row>30</xdr:row>
          <xdr:rowOff>0</xdr:rowOff>
        </xdr:to>
        <xdr:sp macro="" textlink="">
          <xdr:nvSpPr>
            <xdr:cNvPr id="32991" name="Drop Down 223" hidden="1">
              <a:extLst>
                <a:ext uri="{63B3BB69-23CF-44E3-9099-C40C66FF867C}">
                  <a14:compatExt spid="_x0000_s32991"/>
                </a:ext>
                <a:ext uri="{FF2B5EF4-FFF2-40B4-BE49-F238E27FC236}">
                  <a16:creationId xmlns:a16="http://schemas.microsoft.com/office/drawing/2014/main" id="{00000000-0008-0000-0900-0000D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9</xdr:col>
          <xdr:colOff>5442</xdr:colOff>
          <xdr:row>30</xdr:row>
          <xdr:rowOff>0</xdr:rowOff>
        </xdr:to>
        <xdr:sp macro="" textlink="">
          <xdr:nvSpPr>
            <xdr:cNvPr id="32992" name="Drop Down 224" hidden="1">
              <a:extLst>
                <a:ext uri="{63B3BB69-23CF-44E3-9099-C40C66FF867C}">
                  <a14:compatExt spid="_x0000_s32992"/>
                </a:ext>
                <a:ext uri="{FF2B5EF4-FFF2-40B4-BE49-F238E27FC236}">
                  <a16:creationId xmlns:a16="http://schemas.microsoft.com/office/drawing/2014/main" id="{00000000-0008-0000-0900-0000E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9</xdr:col>
          <xdr:colOff>5442</xdr:colOff>
          <xdr:row>31</xdr:row>
          <xdr:rowOff>0</xdr:rowOff>
        </xdr:to>
        <xdr:sp macro="" textlink="">
          <xdr:nvSpPr>
            <xdr:cNvPr id="32993" name="Drop Down 225" hidden="1">
              <a:extLst>
                <a:ext uri="{63B3BB69-23CF-44E3-9099-C40C66FF867C}">
                  <a14:compatExt spid="_x0000_s32993"/>
                </a:ext>
                <a:ext uri="{FF2B5EF4-FFF2-40B4-BE49-F238E27FC236}">
                  <a16:creationId xmlns:a16="http://schemas.microsoft.com/office/drawing/2014/main" id="{00000000-0008-0000-0900-0000E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9</xdr:col>
          <xdr:colOff>5442</xdr:colOff>
          <xdr:row>31</xdr:row>
          <xdr:rowOff>0</xdr:rowOff>
        </xdr:to>
        <xdr:sp macro="" textlink="">
          <xdr:nvSpPr>
            <xdr:cNvPr id="32994" name="Drop Down 226" hidden="1">
              <a:extLst>
                <a:ext uri="{63B3BB69-23CF-44E3-9099-C40C66FF867C}">
                  <a14:compatExt spid="_x0000_s32994"/>
                </a:ext>
                <a:ext uri="{FF2B5EF4-FFF2-40B4-BE49-F238E27FC236}">
                  <a16:creationId xmlns:a16="http://schemas.microsoft.com/office/drawing/2014/main" id="{00000000-0008-0000-0900-0000E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9</xdr:col>
          <xdr:colOff>5442</xdr:colOff>
          <xdr:row>32</xdr:row>
          <xdr:rowOff>0</xdr:rowOff>
        </xdr:to>
        <xdr:sp macro="" textlink="">
          <xdr:nvSpPr>
            <xdr:cNvPr id="32995" name="Drop Down 227" hidden="1">
              <a:extLst>
                <a:ext uri="{63B3BB69-23CF-44E3-9099-C40C66FF867C}">
                  <a14:compatExt spid="_x0000_s32995"/>
                </a:ext>
                <a:ext uri="{FF2B5EF4-FFF2-40B4-BE49-F238E27FC236}">
                  <a16:creationId xmlns:a16="http://schemas.microsoft.com/office/drawing/2014/main" id="{00000000-0008-0000-0900-0000E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9</xdr:col>
          <xdr:colOff>5442</xdr:colOff>
          <xdr:row>32</xdr:row>
          <xdr:rowOff>0</xdr:rowOff>
        </xdr:to>
        <xdr:sp macro="" textlink="">
          <xdr:nvSpPr>
            <xdr:cNvPr id="32996" name="Drop Down 228" hidden="1">
              <a:extLst>
                <a:ext uri="{63B3BB69-23CF-44E3-9099-C40C66FF867C}">
                  <a14:compatExt spid="_x0000_s32996"/>
                </a:ext>
                <a:ext uri="{FF2B5EF4-FFF2-40B4-BE49-F238E27FC236}">
                  <a16:creationId xmlns:a16="http://schemas.microsoft.com/office/drawing/2014/main" id="{00000000-0008-0000-0900-0000E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9</xdr:col>
          <xdr:colOff>5442</xdr:colOff>
          <xdr:row>33</xdr:row>
          <xdr:rowOff>0</xdr:rowOff>
        </xdr:to>
        <xdr:sp macro="" textlink="">
          <xdr:nvSpPr>
            <xdr:cNvPr id="32997" name="Drop Down 229" hidden="1">
              <a:extLst>
                <a:ext uri="{63B3BB69-23CF-44E3-9099-C40C66FF867C}">
                  <a14:compatExt spid="_x0000_s32997"/>
                </a:ext>
                <a:ext uri="{FF2B5EF4-FFF2-40B4-BE49-F238E27FC236}">
                  <a16:creationId xmlns:a16="http://schemas.microsoft.com/office/drawing/2014/main" id="{00000000-0008-0000-0900-0000E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9</xdr:col>
          <xdr:colOff>5442</xdr:colOff>
          <xdr:row>33</xdr:row>
          <xdr:rowOff>0</xdr:rowOff>
        </xdr:to>
        <xdr:sp macro="" textlink="">
          <xdr:nvSpPr>
            <xdr:cNvPr id="32998" name="Drop Down 230" hidden="1">
              <a:extLst>
                <a:ext uri="{63B3BB69-23CF-44E3-9099-C40C66FF867C}">
                  <a14:compatExt spid="_x0000_s32998"/>
                </a:ext>
                <a:ext uri="{FF2B5EF4-FFF2-40B4-BE49-F238E27FC236}">
                  <a16:creationId xmlns:a16="http://schemas.microsoft.com/office/drawing/2014/main" id="{00000000-0008-0000-0900-0000E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9</xdr:col>
          <xdr:colOff>5442</xdr:colOff>
          <xdr:row>34</xdr:row>
          <xdr:rowOff>0</xdr:rowOff>
        </xdr:to>
        <xdr:sp macro="" textlink="">
          <xdr:nvSpPr>
            <xdr:cNvPr id="32999" name="Drop Down 231" hidden="1">
              <a:extLst>
                <a:ext uri="{63B3BB69-23CF-44E3-9099-C40C66FF867C}">
                  <a14:compatExt spid="_x0000_s32999"/>
                </a:ext>
                <a:ext uri="{FF2B5EF4-FFF2-40B4-BE49-F238E27FC236}">
                  <a16:creationId xmlns:a16="http://schemas.microsoft.com/office/drawing/2014/main" id="{00000000-0008-0000-0900-0000E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9</xdr:col>
          <xdr:colOff>5442</xdr:colOff>
          <xdr:row>34</xdr:row>
          <xdr:rowOff>0</xdr:rowOff>
        </xdr:to>
        <xdr:sp macro="" textlink="">
          <xdr:nvSpPr>
            <xdr:cNvPr id="33000" name="Drop Down 232" hidden="1">
              <a:extLst>
                <a:ext uri="{63B3BB69-23CF-44E3-9099-C40C66FF867C}">
                  <a14:compatExt spid="_x0000_s33000"/>
                </a:ext>
                <a:ext uri="{FF2B5EF4-FFF2-40B4-BE49-F238E27FC236}">
                  <a16:creationId xmlns:a16="http://schemas.microsoft.com/office/drawing/2014/main" id="{00000000-0008-0000-0900-0000E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9</xdr:col>
          <xdr:colOff>5442</xdr:colOff>
          <xdr:row>35</xdr:row>
          <xdr:rowOff>0</xdr:rowOff>
        </xdr:to>
        <xdr:sp macro="" textlink="">
          <xdr:nvSpPr>
            <xdr:cNvPr id="33001" name="Drop Down 233" hidden="1">
              <a:extLst>
                <a:ext uri="{63B3BB69-23CF-44E3-9099-C40C66FF867C}">
                  <a14:compatExt spid="_x0000_s33001"/>
                </a:ext>
                <a:ext uri="{FF2B5EF4-FFF2-40B4-BE49-F238E27FC236}">
                  <a16:creationId xmlns:a16="http://schemas.microsoft.com/office/drawing/2014/main" id="{00000000-0008-0000-0900-0000E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9</xdr:col>
          <xdr:colOff>5442</xdr:colOff>
          <xdr:row>35</xdr:row>
          <xdr:rowOff>0</xdr:rowOff>
        </xdr:to>
        <xdr:sp macro="" textlink="">
          <xdr:nvSpPr>
            <xdr:cNvPr id="33002" name="Drop Down 234" hidden="1">
              <a:extLst>
                <a:ext uri="{63B3BB69-23CF-44E3-9099-C40C66FF867C}">
                  <a14:compatExt spid="_x0000_s33002"/>
                </a:ext>
                <a:ext uri="{FF2B5EF4-FFF2-40B4-BE49-F238E27FC236}">
                  <a16:creationId xmlns:a16="http://schemas.microsoft.com/office/drawing/2014/main" id="{00000000-0008-0000-0900-0000E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9</xdr:col>
          <xdr:colOff>5442</xdr:colOff>
          <xdr:row>36</xdr:row>
          <xdr:rowOff>0</xdr:rowOff>
        </xdr:to>
        <xdr:sp macro="" textlink="">
          <xdr:nvSpPr>
            <xdr:cNvPr id="33003" name="Drop Down 235" hidden="1">
              <a:extLst>
                <a:ext uri="{63B3BB69-23CF-44E3-9099-C40C66FF867C}">
                  <a14:compatExt spid="_x0000_s33003"/>
                </a:ext>
                <a:ext uri="{FF2B5EF4-FFF2-40B4-BE49-F238E27FC236}">
                  <a16:creationId xmlns:a16="http://schemas.microsoft.com/office/drawing/2014/main" id="{00000000-0008-0000-0900-0000E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9</xdr:col>
          <xdr:colOff>5442</xdr:colOff>
          <xdr:row>36</xdr:row>
          <xdr:rowOff>0</xdr:rowOff>
        </xdr:to>
        <xdr:sp macro="" textlink="">
          <xdr:nvSpPr>
            <xdr:cNvPr id="33004" name="Drop Down 236" hidden="1">
              <a:extLst>
                <a:ext uri="{63B3BB69-23CF-44E3-9099-C40C66FF867C}">
                  <a14:compatExt spid="_x0000_s33004"/>
                </a:ext>
                <a:ext uri="{FF2B5EF4-FFF2-40B4-BE49-F238E27FC236}">
                  <a16:creationId xmlns:a16="http://schemas.microsoft.com/office/drawing/2014/main" id="{00000000-0008-0000-0900-0000E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5</xdr:row>
          <xdr:rowOff>47625</xdr:rowOff>
        </xdr:from>
        <xdr:to>
          <xdr:col>8</xdr:col>
          <xdr:colOff>209550</xdr:colOff>
          <xdr:row>6</xdr:row>
          <xdr:rowOff>28575</xdr:rowOff>
        </xdr:to>
        <xdr:sp macro="" textlink="">
          <xdr:nvSpPr>
            <xdr:cNvPr id="33005" name="Drop Down 237" hidden="1">
              <a:extLst>
                <a:ext uri="{63B3BB69-23CF-44E3-9099-C40C66FF867C}">
                  <a14:compatExt spid="_x0000_s33005"/>
                </a:ext>
                <a:ext uri="{FF2B5EF4-FFF2-40B4-BE49-F238E27FC236}">
                  <a16:creationId xmlns:a16="http://schemas.microsoft.com/office/drawing/2014/main" id="{00000000-0008-0000-0900-0000E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21</xdr:row>
          <xdr:rowOff>9525</xdr:rowOff>
        </xdr:from>
        <xdr:to>
          <xdr:col>9</xdr:col>
          <xdr:colOff>5442</xdr:colOff>
          <xdr:row>22</xdr:row>
          <xdr:rowOff>0</xdr:rowOff>
        </xdr:to>
        <xdr:sp macro="" textlink="">
          <xdr:nvSpPr>
            <xdr:cNvPr id="33006" name="Drop Down 238" hidden="1">
              <a:extLst>
                <a:ext uri="{63B3BB69-23CF-44E3-9099-C40C66FF867C}">
                  <a14:compatExt spid="_x0000_s33006"/>
                </a:ext>
                <a:ext uri="{FF2B5EF4-FFF2-40B4-BE49-F238E27FC236}">
                  <a16:creationId xmlns:a16="http://schemas.microsoft.com/office/drawing/2014/main" id="{00000000-0008-0000-0900-0000E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22</xdr:row>
          <xdr:rowOff>9525</xdr:rowOff>
        </xdr:from>
        <xdr:to>
          <xdr:col>9</xdr:col>
          <xdr:colOff>5442</xdr:colOff>
          <xdr:row>23</xdr:row>
          <xdr:rowOff>0</xdr:rowOff>
        </xdr:to>
        <xdr:sp macro="" textlink="">
          <xdr:nvSpPr>
            <xdr:cNvPr id="33007" name="Drop Down 239" hidden="1">
              <a:extLst>
                <a:ext uri="{63B3BB69-23CF-44E3-9099-C40C66FF867C}">
                  <a14:compatExt spid="_x0000_s33007"/>
                </a:ext>
                <a:ext uri="{FF2B5EF4-FFF2-40B4-BE49-F238E27FC236}">
                  <a16:creationId xmlns:a16="http://schemas.microsoft.com/office/drawing/2014/main" id="{00000000-0008-0000-0900-0000E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23</xdr:row>
          <xdr:rowOff>9525</xdr:rowOff>
        </xdr:from>
        <xdr:to>
          <xdr:col>9</xdr:col>
          <xdr:colOff>5442</xdr:colOff>
          <xdr:row>24</xdr:row>
          <xdr:rowOff>0</xdr:rowOff>
        </xdr:to>
        <xdr:sp macro="" textlink="">
          <xdr:nvSpPr>
            <xdr:cNvPr id="33008" name="Drop Down 240" hidden="1">
              <a:extLst>
                <a:ext uri="{63B3BB69-23CF-44E3-9099-C40C66FF867C}">
                  <a14:compatExt spid="_x0000_s33008"/>
                </a:ext>
                <a:ext uri="{FF2B5EF4-FFF2-40B4-BE49-F238E27FC236}">
                  <a16:creationId xmlns:a16="http://schemas.microsoft.com/office/drawing/2014/main" id="{00000000-0008-0000-0900-0000F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24</xdr:row>
          <xdr:rowOff>9525</xdr:rowOff>
        </xdr:from>
        <xdr:to>
          <xdr:col>9</xdr:col>
          <xdr:colOff>5442</xdr:colOff>
          <xdr:row>25</xdr:row>
          <xdr:rowOff>0</xdr:rowOff>
        </xdr:to>
        <xdr:sp macro="" textlink="">
          <xdr:nvSpPr>
            <xdr:cNvPr id="33009" name="Drop Down 241" hidden="1">
              <a:extLst>
                <a:ext uri="{63B3BB69-23CF-44E3-9099-C40C66FF867C}">
                  <a14:compatExt spid="_x0000_s33009"/>
                </a:ext>
                <a:ext uri="{FF2B5EF4-FFF2-40B4-BE49-F238E27FC236}">
                  <a16:creationId xmlns:a16="http://schemas.microsoft.com/office/drawing/2014/main" id="{00000000-0008-0000-0900-0000F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25</xdr:row>
          <xdr:rowOff>9525</xdr:rowOff>
        </xdr:from>
        <xdr:to>
          <xdr:col>9</xdr:col>
          <xdr:colOff>5442</xdr:colOff>
          <xdr:row>26</xdr:row>
          <xdr:rowOff>0</xdr:rowOff>
        </xdr:to>
        <xdr:sp macro="" textlink="">
          <xdr:nvSpPr>
            <xdr:cNvPr id="33010" name="Drop Down 242" hidden="1">
              <a:extLst>
                <a:ext uri="{63B3BB69-23CF-44E3-9099-C40C66FF867C}">
                  <a14:compatExt spid="_x0000_s33010"/>
                </a:ext>
                <a:ext uri="{FF2B5EF4-FFF2-40B4-BE49-F238E27FC236}">
                  <a16:creationId xmlns:a16="http://schemas.microsoft.com/office/drawing/2014/main" id="{00000000-0008-0000-0900-0000F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26</xdr:row>
          <xdr:rowOff>9525</xdr:rowOff>
        </xdr:from>
        <xdr:to>
          <xdr:col>9</xdr:col>
          <xdr:colOff>5442</xdr:colOff>
          <xdr:row>27</xdr:row>
          <xdr:rowOff>0</xdr:rowOff>
        </xdr:to>
        <xdr:sp macro="" textlink="">
          <xdr:nvSpPr>
            <xdr:cNvPr id="33011" name="Drop Down 243" hidden="1">
              <a:extLst>
                <a:ext uri="{63B3BB69-23CF-44E3-9099-C40C66FF867C}">
                  <a14:compatExt spid="_x0000_s33011"/>
                </a:ext>
                <a:ext uri="{FF2B5EF4-FFF2-40B4-BE49-F238E27FC236}">
                  <a16:creationId xmlns:a16="http://schemas.microsoft.com/office/drawing/2014/main" id="{00000000-0008-0000-0900-0000F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9</xdr:col>
          <xdr:colOff>5442</xdr:colOff>
          <xdr:row>28</xdr:row>
          <xdr:rowOff>0</xdr:rowOff>
        </xdr:to>
        <xdr:sp macro="" textlink="">
          <xdr:nvSpPr>
            <xdr:cNvPr id="33012" name="Drop Down 244" hidden="1">
              <a:extLst>
                <a:ext uri="{63B3BB69-23CF-44E3-9099-C40C66FF867C}">
                  <a14:compatExt spid="_x0000_s33012"/>
                </a:ext>
                <a:ext uri="{FF2B5EF4-FFF2-40B4-BE49-F238E27FC236}">
                  <a16:creationId xmlns:a16="http://schemas.microsoft.com/office/drawing/2014/main" id="{00000000-0008-0000-0900-0000F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9</xdr:col>
          <xdr:colOff>5442</xdr:colOff>
          <xdr:row>29</xdr:row>
          <xdr:rowOff>0</xdr:rowOff>
        </xdr:to>
        <xdr:sp macro="" textlink="">
          <xdr:nvSpPr>
            <xdr:cNvPr id="33013" name="Drop Down 245" hidden="1">
              <a:extLst>
                <a:ext uri="{63B3BB69-23CF-44E3-9099-C40C66FF867C}">
                  <a14:compatExt spid="_x0000_s33013"/>
                </a:ext>
                <a:ext uri="{FF2B5EF4-FFF2-40B4-BE49-F238E27FC236}">
                  <a16:creationId xmlns:a16="http://schemas.microsoft.com/office/drawing/2014/main" id="{00000000-0008-0000-0900-0000F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9</xdr:col>
          <xdr:colOff>5442</xdr:colOff>
          <xdr:row>30</xdr:row>
          <xdr:rowOff>0</xdr:rowOff>
        </xdr:to>
        <xdr:sp macro="" textlink="">
          <xdr:nvSpPr>
            <xdr:cNvPr id="33014" name="Drop Down 246" hidden="1">
              <a:extLst>
                <a:ext uri="{63B3BB69-23CF-44E3-9099-C40C66FF867C}">
                  <a14:compatExt spid="_x0000_s33014"/>
                </a:ext>
                <a:ext uri="{FF2B5EF4-FFF2-40B4-BE49-F238E27FC236}">
                  <a16:creationId xmlns:a16="http://schemas.microsoft.com/office/drawing/2014/main" id="{00000000-0008-0000-0900-0000F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9</xdr:col>
          <xdr:colOff>5442</xdr:colOff>
          <xdr:row>31</xdr:row>
          <xdr:rowOff>0</xdr:rowOff>
        </xdr:to>
        <xdr:sp macro="" textlink="">
          <xdr:nvSpPr>
            <xdr:cNvPr id="33015" name="Drop Down 247" hidden="1">
              <a:extLst>
                <a:ext uri="{63B3BB69-23CF-44E3-9099-C40C66FF867C}">
                  <a14:compatExt spid="_x0000_s33015"/>
                </a:ext>
                <a:ext uri="{FF2B5EF4-FFF2-40B4-BE49-F238E27FC236}">
                  <a16:creationId xmlns:a16="http://schemas.microsoft.com/office/drawing/2014/main" id="{00000000-0008-0000-0900-0000F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9</xdr:col>
          <xdr:colOff>5442</xdr:colOff>
          <xdr:row>32</xdr:row>
          <xdr:rowOff>0</xdr:rowOff>
        </xdr:to>
        <xdr:sp macro="" textlink="">
          <xdr:nvSpPr>
            <xdr:cNvPr id="33016" name="Drop Down 248" hidden="1">
              <a:extLst>
                <a:ext uri="{63B3BB69-23CF-44E3-9099-C40C66FF867C}">
                  <a14:compatExt spid="_x0000_s33016"/>
                </a:ext>
                <a:ext uri="{FF2B5EF4-FFF2-40B4-BE49-F238E27FC236}">
                  <a16:creationId xmlns:a16="http://schemas.microsoft.com/office/drawing/2014/main" id="{00000000-0008-0000-0900-0000F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9</xdr:col>
          <xdr:colOff>5442</xdr:colOff>
          <xdr:row>33</xdr:row>
          <xdr:rowOff>0</xdr:rowOff>
        </xdr:to>
        <xdr:sp macro="" textlink="">
          <xdr:nvSpPr>
            <xdr:cNvPr id="33017" name="Drop Down 249" hidden="1">
              <a:extLst>
                <a:ext uri="{63B3BB69-23CF-44E3-9099-C40C66FF867C}">
                  <a14:compatExt spid="_x0000_s33017"/>
                </a:ext>
                <a:ext uri="{FF2B5EF4-FFF2-40B4-BE49-F238E27FC236}">
                  <a16:creationId xmlns:a16="http://schemas.microsoft.com/office/drawing/2014/main" id="{00000000-0008-0000-0900-0000F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9</xdr:col>
          <xdr:colOff>5442</xdr:colOff>
          <xdr:row>34</xdr:row>
          <xdr:rowOff>0</xdr:rowOff>
        </xdr:to>
        <xdr:sp macro="" textlink="">
          <xdr:nvSpPr>
            <xdr:cNvPr id="33018" name="Drop Down 250" hidden="1">
              <a:extLst>
                <a:ext uri="{63B3BB69-23CF-44E3-9099-C40C66FF867C}">
                  <a14:compatExt spid="_x0000_s33018"/>
                </a:ext>
                <a:ext uri="{FF2B5EF4-FFF2-40B4-BE49-F238E27FC236}">
                  <a16:creationId xmlns:a16="http://schemas.microsoft.com/office/drawing/2014/main" id="{00000000-0008-0000-0900-0000F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9</xdr:col>
          <xdr:colOff>5442</xdr:colOff>
          <xdr:row>35</xdr:row>
          <xdr:rowOff>0</xdr:rowOff>
        </xdr:to>
        <xdr:sp macro="" textlink="">
          <xdr:nvSpPr>
            <xdr:cNvPr id="33019" name="Drop Down 251" hidden="1">
              <a:extLst>
                <a:ext uri="{63B3BB69-23CF-44E3-9099-C40C66FF867C}">
                  <a14:compatExt spid="_x0000_s33019"/>
                </a:ext>
                <a:ext uri="{FF2B5EF4-FFF2-40B4-BE49-F238E27FC236}">
                  <a16:creationId xmlns:a16="http://schemas.microsoft.com/office/drawing/2014/main" id="{00000000-0008-0000-0900-0000F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9</xdr:col>
          <xdr:colOff>5442</xdr:colOff>
          <xdr:row>36</xdr:row>
          <xdr:rowOff>0</xdr:rowOff>
        </xdr:to>
        <xdr:sp macro="" textlink="">
          <xdr:nvSpPr>
            <xdr:cNvPr id="33020" name="Drop Down 252" hidden="1">
              <a:extLst>
                <a:ext uri="{63B3BB69-23CF-44E3-9099-C40C66FF867C}">
                  <a14:compatExt spid="_x0000_s33020"/>
                </a:ext>
                <a:ext uri="{FF2B5EF4-FFF2-40B4-BE49-F238E27FC236}">
                  <a16:creationId xmlns:a16="http://schemas.microsoft.com/office/drawing/2014/main" id="{00000000-0008-0000-0900-0000F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28575</xdr:rowOff>
        </xdr:from>
        <xdr:to>
          <xdr:col>4</xdr:col>
          <xdr:colOff>781050</xdr:colOff>
          <xdr:row>44</xdr:row>
          <xdr:rowOff>228600</xdr:rowOff>
        </xdr:to>
        <xdr:sp macro="" textlink="">
          <xdr:nvSpPr>
            <xdr:cNvPr id="33021" name="Drop Down 253" hidden="1">
              <a:extLst>
                <a:ext uri="{63B3BB69-23CF-44E3-9099-C40C66FF867C}">
                  <a14:compatExt spid="_x0000_s33021"/>
                </a:ext>
                <a:ext uri="{FF2B5EF4-FFF2-40B4-BE49-F238E27FC236}">
                  <a16:creationId xmlns:a16="http://schemas.microsoft.com/office/drawing/2014/main" id="{00000000-0008-0000-0900-0000F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44</xdr:row>
          <xdr:rowOff>0</xdr:rowOff>
        </xdr:from>
        <xdr:to>
          <xdr:col>12</xdr:col>
          <xdr:colOff>238125</xdr:colOff>
          <xdr:row>44</xdr:row>
          <xdr:rowOff>209550</xdr:rowOff>
        </xdr:to>
        <xdr:sp macro="" textlink="">
          <xdr:nvSpPr>
            <xdr:cNvPr id="33022" name="Drop Down 254" hidden="1">
              <a:extLst>
                <a:ext uri="{63B3BB69-23CF-44E3-9099-C40C66FF867C}">
                  <a14:compatExt spid="_x0000_s33022"/>
                </a:ext>
                <a:ext uri="{FF2B5EF4-FFF2-40B4-BE49-F238E27FC236}">
                  <a16:creationId xmlns:a16="http://schemas.microsoft.com/office/drawing/2014/main" id="{00000000-0008-0000-0900-0000F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44</xdr:row>
          <xdr:rowOff>0</xdr:rowOff>
        </xdr:from>
        <xdr:to>
          <xdr:col>14</xdr:col>
          <xdr:colOff>390525</xdr:colOff>
          <xdr:row>44</xdr:row>
          <xdr:rowOff>219075</xdr:rowOff>
        </xdr:to>
        <xdr:sp macro="" textlink="">
          <xdr:nvSpPr>
            <xdr:cNvPr id="33023" name="Drop Down 255" hidden="1">
              <a:extLst>
                <a:ext uri="{63B3BB69-23CF-44E3-9099-C40C66FF867C}">
                  <a14:compatExt spid="_x0000_s33023"/>
                </a:ext>
                <a:ext uri="{FF2B5EF4-FFF2-40B4-BE49-F238E27FC236}">
                  <a16:creationId xmlns:a16="http://schemas.microsoft.com/office/drawing/2014/main" id="{00000000-0008-0000-0900-0000F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44</xdr:row>
          <xdr:rowOff>0</xdr:rowOff>
        </xdr:from>
        <xdr:to>
          <xdr:col>17</xdr:col>
          <xdr:colOff>190500</xdr:colOff>
          <xdr:row>44</xdr:row>
          <xdr:rowOff>219075</xdr:rowOff>
        </xdr:to>
        <xdr:sp macro="" textlink="">
          <xdr:nvSpPr>
            <xdr:cNvPr id="33024" name="Drop Down 256" hidden="1">
              <a:extLst>
                <a:ext uri="{63B3BB69-23CF-44E3-9099-C40C66FF867C}">
                  <a14:compatExt spid="_x0000_s33024"/>
                </a:ext>
                <a:ext uri="{FF2B5EF4-FFF2-40B4-BE49-F238E27FC236}">
                  <a16:creationId xmlns:a16="http://schemas.microsoft.com/office/drawing/2014/main" id="{00000000-0008-0000-0900-00000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666750</xdr:colOff>
          <xdr:row>44</xdr:row>
          <xdr:rowOff>0</xdr:rowOff>
        </xdr:from>
        <xdr:to>
          <xdr:col>19</xdr:col>
          <xdr:colOff>152400</xdr:colOff>
          <xdr:row>44</xdr:row>
          <xdr:rowOff>219075</xdr:rowOff>
        </xdr:to>
        <xdr:sp macro="" textlink="">
          <xdr:nvSpPr>
            <xdr:cNvPr id="33025" name="Drop Down 257" hidden="1">
              <a:extLst>
                <a:ext uri="{63B3BB69-23CF-44E3-9099-C40C66FF867C}">
                  <a14:compatExt spid="_x0000_s33025"/>
                </a:ext>
                <a:ext uri="{FF2B5EF4-FFF2-40B4-BE49-F238E27FC236}">
                  <a16:creationId xmlns:a16="http://schemas.microsoft.com/office/drawing/2014/main" id="{00000000-0008-0000-0900-00000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666750</xdr:colOff>
          <xdr:row>44</xdr:row>
          <xdr:rowOff>0</xdr:rowOff>
        </xdr:from>
        <xdr:to>
          <xdr:col>21</xdr:col>
          <xdr:colOff>57150</xdr:colOff>
          <xdr:row>44</xdr:row>
          <xdr:rowOff>219075</xdr:rowOff>
        </xdr:to>
        <xdr:sp macro="" textlink="">
          <xdr:nvSpPr>
            <xdr:cNvPr id="33026" name="Drop Down 258" hidden="1">
              <a:extLst>
                <a:ext uri="{63B3BB69-23CF-44E3-9099-C40C66FF867C}">
                  <a14:compatExt spid="_x0000_s33026"/>
                </a:ext>
                <a:ext uri="{FF2B5EF4-FFF2-40B4-BE49-F238E27FC236}">
                  <a16:creationId xmlns:a16="http://schemas.microsoft.com/office/drawing/2014/main" id="{00000000-0008-0000-0900-00000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43</xdr:col>
      <xdr:colOff>845820</xdr:colOff>
      <xdr:row>41</xdr:row>
      <xdr:rowOff>38100</xdr:rowOff>
    </xdr:from>
    <xdr:to>
      <xdr:col>44</xdr:col>
      <xdr:colOff>685800</xdr:colOff>
      <xdr:row>41</xdr:row>
      <xdr:rowOff>38100</xdr:rowOff>
    </xdr:to>
    <xdr:sp macro="" textlink="">
      <xdr:nvSpPr>
        <xdr:cNvPr id="33027" name="Line 259">
          <a:extLst>
            <a:ext uri="{FF2B5EF4-FFF2-40B4-BE49-F238E27FC236}">
              <a16:creationId xmlns:a16="http://schemas.microsoft.com/office/drawing/2014/main" id="{41A0FDF8-5449-87FF-859C-7368F35C6BF4}"/>
            </a:ext>
          </a:extLst>
        </xdr:cNvPr>
        <xdr:cNvSpPr>
          <a:spLocks noChangeShapeType="1"/>
        </xdr:cNvSpPr>
      </xdr:nvSpPr>
      <xdr:spPr bwMode="auto">
        <a:xfrm flipH="1">
          <a:off x="27561540" y="83362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19</xdr:row>
          <xdr:rowOff>323850</xdr:rowOff>
        </xdr:from>
        <xdr:to>
          <xdr:col>3</xdr:col>
          <xdr:colOff>752475</xdr:colOff>
          <xdr:row>21</xdr:row>
          <xdr:rowOff>0</xdr:rowOff>
        </xdr:to>
        <xdr:sp macro="" textlink="">
          <xdr:nvSpPr>
            <xdr:cNvPr id="33084" name="Check Box 316" hidden="1">
              <a:extLst>
                <a:ext uri="{63B3BB69-23CF-44E3-9099-C40C66FF867C}">
                  <a14:compatExt spid="_x0000_s33084"/>
                </a:ext>
                <a:ext uri="{FF2B5EF4-FFF2-40B4-BE49-F238E27FC236}">
                  <a16:creationId xmlns:a16="http://schemas.microsoft.com/office/drawing/2014/main" id="{00000000-0008-0000-0900-00003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20</xdr:row>
          <xdr:rowOff>200025</xdr:rowOff>
        </xdr:from>
        <xdr:to>
          <xdr:col>3</xdr:col>
          <xdr:colOff>752475</xdr:colOff>
          <xdr:row>21</xdr:row>
          <xdr:rowOff>209550</xdr:rowOff>
        </xdr:to>
        <xdr:sp macro="" textlink="">
          <xdr:nvSpPr>
            <xdr:cNvPr id="33085" name="Check Box 317" hidden="1">
              <a:extLst>
                <a:ext uri="{63B3BB69-23CF-44E3-9099-C40C66FF867C}">
                  <a14:compatExt spid="_x0000_s33085"/>
                </a:ext>
                <a:ext uri="{FF2B5EF4-FFF2-40B4-BE49-F238E27FC236}">
                  <a16:creationId xmlns:a16="http://schemas.microsoft.com/office/drawing/2014/main" id="{00000000-0008-0000-0900-00003D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21</xdr:row>
          <xdr:rowOff>209550</xdr:rowOff>
        </xdr:from>
        <xdr:to>
          <xdr:col>3</xdr:col>
          <xdr:colOff>742950</xdr:colOff>
          <xdr:row>22</xdr:row>
          <xdr:rowOff>219075</xdr:rowOff>
        </xdr:to>
        <xdr:sp macro="" textlink="">
          <xdr:nvSpPr>
            <xdr:cNvPr id="33086" name="Check Box 318" hidden="1">
              <a:extLst>
                <a:ext uri="{63B3BB69-23CF-44E3-9099-C40C66FF867C}">
                  <a14:compatExt spid="_x0000_s33086"/>
                </a:ext>
                <a:ext uri="{FF2B5EF4-FFF2-40B4-BE49-F238E27FC236}">
                  <a16:creationId xmlns:a16="http://schemas.microsoft.com/office/drawing/2014/main" id="{00000000-0008-0000-0900-00003E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200025</xdr:rowOff>
        </xdr:from>
        <xdr:to>
          <xdr:col>3</xdr:col>
          <xdr:colOff>742950</xdr:colOff>
          <xdr:row>23</xdr:row>
          <xdr:rowOff>200025</xdr:rowOff>
        </xdr:to>
        <xdr:sp macro="" textlink="">
          <xdr:nvSpPr>
            <xdr:cNvPr id="33087" name="Check Box 319" hidden="1">
              <a:extLst>
                <a:ext uri="{63B3BB69-23CF-44E3-9099-C40C66FF867C}">
                  <a14:compatExt spid="_x0000_s33087"/>
                </a:ext>
                <a:ext uri="{FF2B5EF4-FFF2-40B4-BE49-F238E27FC236}">
                  <a16:creationId xmlns:a16="http://schemas.microsoft.com/office/drawing/2014/main" id="{00000000-0008-0000-0900-00003F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209550</xdr:rowOff>
        </xdr:from>
        <xdr:to>
          <xdr:col>3</xdr:col>
          <xdr:colOff>742950</xdr:colOff>
          <xdr:row>24</xdr:row>
          <xdr:rowOff>219075</xdr:rowOff>
        </xdr:to>
        <xdr:sp macro="" textlink="">
          <xdr:nvSpPr>
            <xdr:cNvPr id="33088" name="Check Box 320" hidden="1">
              <a:extLst>
                <a:ext uri="{63B3BB69-23CF-44E3-9099-C40C66FF867C}">
                  <a14:compatExt spid="_x0000_s33088"/>
                </a:ext>
                <a:ext uri="{FF2B5EF4-FFF2-40B4-BE49-F238E27FC236}">
                  <a16:creationId xmlns:a16="http://schemas.microsoft.com/office/drawing/2014/main" id="{00000000-0008-0000-0900-00004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33089" name="Check Box 321" hidden="1">
              <a:extLst>
                <a:ext uri="{63B3BB69-23CF-44E3-9099-C40C66FF867C}">
                  <a14:compatExt spid="_x0000_s33089"/>
                </a:ext>
                <a:ext uri="{FF2B5EF4-FFF2-40B4-BE49-F238E27FC236}">
                  <a16:creationId xmlns:a16="http://schemas.microsoft.com/office/drawing/2014/main" id="{00000000-0008-0000-0900-00004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209550</xdr:rowOff>
        </xdr:from>
        <xdr:to>
          <xdr:col>3</xdr:col>
          <xdr:colOff>742950</xdr:colOff>
          <xdr:row>26</xdr:row>
          <xdr:rowOff>219075</xdr:rowOff>
        </xdr:to>
        <xdr:sp macro="" textlink="">
          <xdr:nvSpPr>
            <xdr:cNvPr id="33090" name="Check Box 322" hidden="1">
              <a:extLst>
                <a:ext uri="{63B3BB69-23CF-44E3-9099-C40C66FF867C}">
                  <a14:compatExt spid="_x0000_s33090"/>
                </a:ext>
                <a:ext uri="{FF2B5EF4-FFF2-40B4-BE49-F238E27FC236}">
                  <a16:creationId xmlns:a16="http://schemas.microsoft.com/office/drawing/2014/main" id="{00000000-0008-0000-0900-00004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323850</xdr:rowOff>
        </xdr:from>
        <xdr:to>
          <xdr:col>3</xdr:col>
          <xdr:colOff>742950</xdr:colOff>
          <xdr:row>28</xdr:row>
          <xdr:rowOff>0</xdr:rowOff>
        </xdr:to>
        <xdr:sp macro="" textlink="">
          <xdr:nvSpPr>
            <xdr:cNvPr id="33091" name="Check Box 323" hidden="1">
              <a:extLst>
                <a:ext uri="{63B3BB69-23CF-44E3-9099-C40C66FF867C}">
                  <a14:compatExt spid="_x0000_s33091"/>
                </a:ext>
                <a:ext uri="{FF2B5EF4-FFF2-40B4-BE49-F238E27FC236}">
                  <a16:creationId xmlns:a16="http://schemas.microsoft.com/office/drawing/2014/main" id="{00000000-0008-0000-0900-000043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219075</xdr:rowOff>
        </xdr:from>
        <xdr:to>
          <xdr:col>3</xdr:col>
          <xdr:colOff>742950</xdr:colOff>
          <xdr:row>28</xdr:row>
          <xdr:rowOff>219075</xdr:rowOff>
        </xdr:to>
        <xdr:sp macro="" textlink="">
          <xdr:nvSpPr>
            <xdr:cNvPr id="33092" name="Check Box 324" hidden="1">
              <a:extLst>
                <a:ext uri="{63B3BB69-23CF-44E3-9099-C40C66FF867C}">
                  <a14:compatExt spid="_x0000_s33092"/>
                </a:ext>
                <a:ext uri="{FF2B5EF4-FFF2-40B4-BE49-F238E27FC236}">
                  <a16:creationId xmlns:a16="http://schemas.microsoft.com/office/drawing/2014/main" id="{00000000-0008-0000-0900-000044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323850</xdr:rowOff>
        </xdr:from>
        <xdr:to>
          <xdr:col>3</xdr:col>
          <xdr:colOff>742950</xdr:colOff>
          <xdr:row>30</xdr:row>
          <xdr:rowOff>0</xdr:rowOff>
        </xdr:to>
        <xdr:sp macro="" textlink="">
          <xdr:nvSpPr>
            <xdr:cNvPr id="33093" name="Check Box 325" hidden="1">
              <a:extLst>
                <a:ext uri="{63B3BB69-23CF-44E3-9099-C40C66FF867C}">
                  <a14:compatExt spid="_x0000_s33093"/>
                </a:ext>
                <a:ext uri="{FF2B5EF4-FFF2-40B4-BE49-F238E27FC236}">
                  <a16:creationId xmlns:a16="http://schemas.microsoft.com/office/drawing/2014/main" id="{00000000-0008-0000-0900-000045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209550</xdr:rowOff>
        </xdr:from>
        <xdr:to>
          <xdr:col>3</xdr:col>
          <xdr:colOff>742950</xdr:colOff>
          <xdr:row>30</xdr:row>
          <xdr:rowOff>219075</xdr:rowOff>
        </xdr:to>
        <xdr:sp macro="" textlink="">
          <xdr:nvSpPr>
            <xdr:cNvPr id="33094" name="Check Box 326" hidden="1">
              <a:extLst>
                <a:ext uri="{63B3BB69-23CF-44E3-9099-C40C66FF867C}">
                  <a14:compatExt spid="_x0000_s33094"/>
                </a:ext>
                <a:ext uri="{FF2B5EF4-FFF2-40B4-BE49-F238E27FC236}">
                  <a16:creationId xmlns:a16="http://schemas.microsoft.com/office/drawing/2014/main" id="{00000000-0008-0000-0900-000046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33095" name="Check Box 327" hidden="1">
              <a:extLst>
                <a:ext uri="{63B3BB69-23CF-44E3-9099-C40C66FF867C}">
                  <a14:compatExt spid="_x0000_s33095"/>
                </a:ext>
                <a:ext uri="{FF2B5EF4-FFF2-40B4-BE49-F238E27FC236}">
                  <a16:creationId xmlns:a16="http://schemas.microsoft.com/office/drawing/2014/main" id="{00000000-0008-0000-0900-000047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209550</xdr:rowOff>
        </xdr:from>
        <xdr:to>
          <xdr:col>3</xdr:col>
          <xdr:colOff>742950</xdr:colOff>
          <xdr:row>32</xdr:row>
          <xdr:rowOff>219075</xdr:rowOff>
        </xdr:to>
        <xdr:sp macro="" textlink="">
          <xdr:nvSpPr>
            <xdr:cNvPr id="33096" name="Check Box 328" hidden="1">
              <a:extLst>
                <a:ext uri="{63B3BB69-23CF-44E3-9099-C40C66FF867C}">
                  <a14:compatExt spid="_x0000_s33096"/>
                </a:ext>
                <a:ext uri="{FF2B5EF4-FFF2-40B4-BE49-F238E27FC236}">
                  <a16:creationId xmlns:a16="http://schemas.microsoft.com/office/drawing/2014/main" id="{00000000-0008-0000-0900-00004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219075</xdr:rowOff>
        </xdr:from>
        <xdr:to>
          <xdr:col>3</xdr:col>
          <xdr:colOff>742950</xdr:colOff>
          <xdr:row>33</xdr:row>
          <xdr:rowOff>219075</xdr:rowOff>
        </xdr:to>
        <xdr:sp macro="" textlink="">
          <xdr:nvSpPr>
            <xdr:cNvPr id="33097" name="Check Box 329" hidden="1">
              <a:extLst>
                <a:ext uri="{63B3BB69-23CF-44E3-9099-C40C66FF867C}">
                  <a14:compatExt spid="_x0000_s33097"/>
                </a:ext>
                <a:ext uri="{FF2B5EF4-FFF2-40B4-BE49-F238E27FC236}">
                  <a16:creationId xmlns:a16="http://schemas.microsoft.com/office/drawing/2014/main" id="{00000000-0008-0000-0900-000049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209550</xdr:rowOff>
        </xdr:from>
        <xdr:to>
          <xdr:col>3</xdr:col>
          <xdr:colOff>742950</xdr:colOff>
          <xdr:row>34</xdr:row>
          <xdr:rowOff>219075</xdr:rowOff>
        </xdr:to>
        <xdr:sp macro="" textlink="">
          <xdr:nvSpPr>
            <xdr:cNvPr id="33098" name="Check Box 330" hidden="1">
              <a:extLst>
                <a:ext uri="{63B3BB69-23CF-44E3-9099-C40C66FF867C}">
                  <a14:compatExt spid="_x0000_s33098"/>
                </a:ext>
                <a:ext uri="{FF2B5EF4-FFF2-40B4-BE49-F238E27FC236}">
                  <a16:creationId xmlns:a16="http://schemas.microsoft.com/office/drawing/2014/main" id="{00000000-0008-0000-0900-00004A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200025</xdr:rowOff>
        </xdr:from>
        <xdr:to>
          <xdr:col>3</xdr:col>
          <xdr:colOff>742950</xdr:colOff>
          <xdr:row>35</xdr:row>
          <xdr:rowOff>200025</xdr:rowOff>
        </xdr:to>
        <xdr:sp macro="" textlink="">
          <xdr:nvSpPr>
            <xdr:cNvPr id="33099" name="Check Box 331" hidden="1">
              <a:extLst>
                <a:ext uri="{63B3BB69-23CF-44E3-9099-C40C66FF867C}">
                  <a14:compatExt spid="_x0000_s33099"/>
                </a:ext>
                <a:ext uri="{FF2B5EF4-FFF2-40B4-BE49-F238E27FC236}">
                  <a16:creationId xmlns:a16="http://schemas.microsoft.com/office/drawing/2014/main" id="{00000000-0008-0000-0900-00004B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20</xdr:row>
          <xdr:rowOff>200025</xdr:rowOff>
        </xdr:from>
        <xdr:to>
          <xdr:col>3</xdr:col>
          <xdr:colOff>752475</xdr:colOff>
          <xdr:row>21</xdr:row>
          <xdr:rowOff>209550</xdr:rowOff>
        </xdr:to>
        <xdr:sp macro="" textlink="">
          <xdr:nvSpPr>
            <xdr:cNvPr id="33100" name="Check Box 332" hidden="1">
              <a:extLst>
                <a:ext uri="{63B3BB69-23CF-44E3-9099-C40C66FF867C}">
                  <a14:compatExt spid="_x0000_s33100"/>
                </a:ext>
                <a:ext uri="{FF2B5EF4-FFF2-40B4-BE49-F238E27FC236}">
                  <a16:creationId xmlns:a16="http://schemas.microsoft.com/office/drawing/2014/main" id="{00000000-0008-0000-0900-00004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21</xdr:row>
          <xdr:rowOff>200025</xdr:rowOff>
        </xdr:from>
        <xdr:to>
          <xdr:col>3</xdr:col>
          <xdr:colOff>742950</xdr:colOff>
          <xdr:row>22</xdr:row>
          <xdr:rowOff>200025</xdr:rowOff>
        </xdr:to>
        <xdr:sp macro="" textlink="">
          <xdr:nvSpPr>
            <xdr:cNvPr id="33101" name="Check Box 333" hidden="1">
              <a:extLst>
                <a:ext uri="{63B3BB69-23CF-44E3-9099-C40C66FF867C}">
                  <a14:compatExt spid="_x0000_s33101"/>
                </a:ext>
                <a:ext uri="{FF2B5EF4-FFF2-40B4-BE49-F238E27FC236}">
                  <a16:creationId xmlns:a16="http://schemas.microsoft.com/office/drawing/2014/main" id="{00000000-0008-0000-0900-00004D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200025</xdr:rowOff>
        </xdr:from>
        <xdr:to>
          <xdr:col>3</xdr:col>
          <xdr:colOff>742950</xdr:colOff>
          <xdr:row>23</xdr:row>
          <xdr:rowOff>200025</xdr:rowOff>
        </xdr:to>
        <xdr:sp macro="" textlink="">
          <xdr:nvSpPr>
            <xdr:cNvPr id="33102" name="Check Box 334" hidden="1">
              <a:extLst>
                <a:ext uri="{63B3BB69-23CF-44E3-9099-C40C66FF867C}">
                  <a14:compatExt spid="_x0000_s33102"/>
                </a:ext>
                <a:ext uri="{FF2B5EF4-FFF2-40B4-BE49-F238E27FC236}">
                  <a16:creationId xmlns:a16="http://schemas.microsoft.com/office/drawing/2014/main" id="{00000000-0008-0000-0900-00004E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33103" name="Check Box 335" hidden="1">
              <a:extLst>
                <a:ext uri="{63B3BB69-23CF-44E3-9099-C40C66FF867C}">
                  <a14:compatExt spid="_x0000_s33103"/>
                </a:ext>
                <a:ext uri="{FF2B5EF4-FFF2-40B4-BE49-F238E27FC236}">
                  <a16:creationId xmlns:a16="http://schemas.microsoft.com/office/drawing/2014/main" id="{00000000-0008-0000-0900-00004F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33104" name="Check Box 336" hidden="1">
              <a:extLst>
                <a:ext uri="{63B3BB69-23CF-44E3-9099-C40C66FF867C}">
                  <a14:compatExt spid="_x0000_s33104"/>
                </a:ext>
                <a:ext uri="{FF2B5EF4-FFF2-40B4-BE49-F238E27FC236}">
                  <a16:creationId xmlns:a16="http://schemas.microsoft.com/office/drawing/2014/main" id="{00000000-0008-0000-0900-00005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33105" name="Check Box 337" hidden="1">
              <a:extLst>
                <a:ext uri="{63B3BB69-23CF-44E3-9099-C40C66FF867C}">
                  <a14:compatExt spid="_x0000_s33105"/>
                </a:ext>
                <a:ext uri="{FF2B5EF4-FFF2-40B4-BE49-F238E27FC236}">
                  <a16:creationId xmlns:a16="http://schemas.microsoft.com/office/drawing/2014/main" id="{00000000-0008-0000-0900-00005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200025</xdr:rowOff>
        </xdr:from>
        <xdr:to>
          <xdr:col>3</xdr:col>
          <xdr:colOff>742950</xdr:colOff>
          <xdr:row>27</xdr:row>
          <xdr:rowOff>200025</xdr:rowOff>
        </xdr:to>
        <xdr:sp macro="" textlink="">
          <xdr:nvSpPr>
            <xdr:cNvPr id="33106" name="Check Box 338" hidden="1">
              <a:extLst>
                <a:ext uri="{63B3BB69-23CF-44E3-9099-C40C66FF867C}">
                  <a14:compatExt spid="_x0000_s33106"/>
                </a:ext>
                <a:ext uri="{FF2B5EF4-FFF2-40B4-BE49-F238E27FC236}">
                  <a16:creationId xmlns:a16="http://schemas.microsoft.com/office/drawing/2014/main" id="{00000000-0008-0000-0900-00005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33107" name="Check Box 339" hidden="1">
              <a:extLst>
                <a:ext uri="{63B3BB69-23CF-44E3-9099-C40C66FF867C}">
                  <a14:compatExt spid="_x0000_s33107"/>
                </a:ext>
                <a:ext uri="{FF2B5EF4-FFF2-40B4-BE49-F238E27FC236}">
                  <a16:creationId xmlns:a16="http://schemas.microsoft.com/office/drawing/2014/main" id="{00000000-0008-0000-0900-000053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200025</xdr:rowOff>
        </xdr:from>
        <xdr:to>
          <xdr:col>3</xdr:col>
          <xdr:colOff>742950</xdr:colOff>
          <xdr:row>29</xdr:row>
          <xdr:rowOff>200025</xdr:rowOff>
        </xdr:to>
        <xdr:sp macro="" textlink="">
          <xdr:nvSpPr>
            <xdr:cNvPr id="33108" name="Check Box 340" hidden="1">
              <a:extLst>
                <a:ext uri="{63B3BB69-23CF-44E3-9099-C40C66FF867C}">
                  <a14:compatExt spid="_x0000_s33108"/>
                </a:ext>
                <a:ext uri="{FF2B5EF4-FFF2-40B4-BE49-F238E27FC236}">
                  <a16:creationId xmlns:a16="http://schemas.microsoft.com/office/drawing/2014/main" id="{00000000-0008-0000-0900-000054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200025</xdr:rowOff>
        </xdr:from>
        <xdr:to>
          <xdr:col>3</xdr:col>
          <xdr:colOff>742950</xdr:colOff>
          <xdr:row>30</xdr:row>
          <xdr:rowOff>200025</xdr:rowOff>
        </xdr:to>
        <xdr:sp macro="" textlink="">
          <xdr:nvSpPr>
            <xdr:cNvPr id="33109" name="Check Box 341" hidden="1">
              <a:extLst>
                <a:ext uri="{63B3BB69-23CF-44E3-9099-C40C66FF867C}">
                  <a14:compatExt spid="_x0000_s33109"/>
                </a:ext>
                <a:ext uri="{FF2B5EF4-FFF2-40B4-BE49-F238E27FC236}">
                  <a16:creationId xmlns:a16="http://schemas.microsoft.com/office/drawing/2014/main" id="{00000000-0008-0000-0900-000055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33110" name="Check Box 342" hidden="1">
              <a:extLst>
                <a:ext uri="{63B3BB69-23CF-44E3-9099-C40C66FF867C}">
                  <a14:compatExt spid="_x0000_s33110"/>
                </a:ext>
                <a:ext uri="{FF2B5EF4-FFF2-40B4-BE49-F238E27FC236}">
                  <a16:creationId xmlns:a16="http://schemas.microsoft.com/office/drawing/2014/main" id="{00000000-0008-0000-0900-000056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200025</xdr:rowOff>
        </xdr:from>
        <xdr:to>
          <xdr:col>3</xdr:col>
          <xdr:colOff>742950</xdr:colOff>
          <xdr:row>32</xdr:row>
          <xdr:rowOff>200025</xdr:rowOff>
        </xdr:to>
        <xdr:sp macro="" textlink="">
          <xdr:nvSpPr>
            <xdr:cNvPr id="33111" name="Check Box 343" hidden="1">
              <a:extLst>
                <a:ext uri="{63B3BB69-23CF-44E3-9099-C40C66FF867C}">
                  <a14:compatExt spid="_x0000_s33111"/>
                </a:ext>
                <a:ext uri="{FF2B5EF4-FFF2-40B4-BE49-F238E27FC236}">
                  <a16:creationId xmlns:a16="http://schemas.microsoft.com/office/drawing/2014/main" id="{00000000-0008-0000-0900-000057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200025</xdr:rowOff>
        </xdr:from>
        <xdr:to>
          <xdr:col>3</xdr:col>
          <xdr:colOff>742950</xdr:colOff>
          <xdr:row>33</xdr:row>
          <xdr:rowOff>200025</xdr:rowOff>
        </xdr:to>
        <xdr:sp macro="" textlink="">
          <xdr:nvSpPr>
            <xdr:cNvPr id="33112" name="Check Box 344" hidden="1">
              <a:extLst>
                <a:ext uri="{63B3BB69-23CF-44E3-9099-C40C66FF867C}">
                  <a14:compatExt spid="_x0000_s33112"/>
                </a:ext>
                <a:ext uri="{FF2B5EF4-FFF2-40B4-BE49-F238E27FC236}">
                  <a16:creationId xmlns:a16="http://schemas.microsoft.com/office/drawing/2014/main" id="{00000000-0008-0000-0900-00005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33113" name="Check Box 345" hidden="1">
              <a:extLst>
                <a:ext uri="{63B3BB69-23CF-44E3-9099-C40C66FF867C}">
                  <a14:compatExt spid="_x0000_s33113"/>
                </a:ext>
                <a:ext uri="{FF2B5EF4-FFF2-40B4-BE49-F238E27FC236}">
                  <a16:creationId xmlns:a16="http://schemas.microsoft.com/office/drawing/2014/main" id="{00000000-0008-0000-0900-000059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36</xdr:row>
          <xdr:rowOff>123825</xdr:rowOff>
        </xdr:from>
        <xdr:to>
          <xdr:col>11</xdr:col>
          <xdr:colOff>219075</xdr:colOff>
          <xdr:row>38</xdr:row>
          <xdr:rowOff>38100</xdr:rowOff>
        </xdr:to>
        <xdr:sp macro="" textlink="">
          <xdr:nvSpPr>
            <xdr:cNvPr id="33116" name="Button 348" hidden="1">
              <a:extLst>
                <a:ext uri="{63B3BB69-23CF-44E3-9099-C40C66FF867C}">
                  <a14:compatExt spid="_x0000_s33116"/>
                </a:ext>
                <a:ext uri="{FF2B5EF4-FFF2-40B4-BE49-F238E27FC236}">
                  <a16:creationId xmlns:a16="http://schemas.microsoft.com/office/drawing/2014/main" id="{00000000-0008-0000-0900-00005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pérdidas térmicas impulsión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47625</xdr:rowOff>
        </xdr:from>
        <xdr:to>
          <xdr:col>8</xdr:col>
          <xdr:colOff>171450</xdr:colOff>
          <xdr:row>10</xdr:row>
          <xdr:rowOff>9525</xdr:rowOff>
        </xdr:to>
        <xdr:sp macro="" textlink="">
          <xdr:nvSpPr>
            <xdr:cNvPr id="41985" name="Drop Dow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41986" name="Drop Dow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41987" name="Drop Dow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41988" name="Drop Dow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41989" name="Drop Dow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41990" name="Drop Dow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41991" name="Drop Dow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41992" name="Drop Dow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41993" name="Drop Dow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41994" name="Drop Dow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41995" name="Drop Dow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41996" name="Drop Dow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41997" name="Drop Dow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41998" name="Drop Dow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41999" name="Drop Dow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42000" name="Drop Dow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42001" name="Drop Dow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42002" name="Drop Dow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42003" name="Drop Dow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42004" name="Drop Dow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42005" name="Drop Dow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42006" name="Drop Dow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42007" name="Drop Dow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42008" name="Drop Dow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42009" name="Drop Dow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8</xdr:row>
          <xdr:rowOff>47625</xdr:rowOff>
        </xdr:from>
        <xdr:to>
          <xdr:col>8</xdr:col>
          <xdr:colOff>171450</xdr:colOff>
          <xdr:row>9</xdr:row>
          <xdr:rowOff>9525</xdr:rowOff>
        </xdr:to>
        <xdr:sp macro="" textlink="">
          <xdr:nvSpPr>
            <xdr:cNvPr id="42010" name="Drop Dow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42011" name="Line 27">
          <a:extLst>
            <a:ext uri="{FF2B5EF4-FFF2-40B4-BE49-F238E27FC236}">
              <a16:creationId xmlns:a16="http://schemas.microsoft.com/office/drawing/2014/main" id="{325D59BA-D8BF-59E6-702A-7E61D4A69760}"/>
            </a:ext>
          </a:extLst>
        </xdr:cNvPr>
        <xdr:cNvSpPr>
          <a:spLocks noChangeShapeType="1"/>
        </xdr:cNvSpPr>
      </xdr:nvSpPr>
      <xdr:spPr bwMode="auto">
        <a:xfrm flipH="1">
          <a:off x="24208740" y="97459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42012" name="Drop Dow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42013" name="Drop Dow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42018" name="Drop Dow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42019" name="Drop Dow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42020" name="Drop Dow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42021" name="Drop Dow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42022" name="Drop Dow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42023" name="Drop Dow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42024" name="Drop Dow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42025" name="Drop Dow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42026" name="Drop Dow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42027" name="Drop Dow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42028" name="Drop Dow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42029" name="Drop Dow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42030" name="Drop Dow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42031" name="Drop Dow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42032" name="Drop Dow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42033" name="Drop Dow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42034" name="Drop Dow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42035" name="Drop Dow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42036" name="Drop Dow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42037" name="Drop Dow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42038" name="Drop Dow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42039" name="Drop Dow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42040" name="Drop Dow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42041" name="Drop Dow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42042" name="Drop Dow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42043" name="Drop Dow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42044" name="Drop Dow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42045" name="Drop Dow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42046" name="Drop Dow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42047" name="Drop Dow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42048" name="Drop Dow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42049" name="Drop Dow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42050" name="Drop Dow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42051" name="Drop Dow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42052" name="Drop Dow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42053" name="Drop Dow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42054" name="Drop Dow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42055" name="Drop Dow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42056" name="Drop Dow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42057" name="Drop Dow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42058" name="Drop Dow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42059" name="Drop Dow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42060" name="Drop Dow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42061" name="Drop Dow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42062" name="Drop Dow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42063" name="Drop Dow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42064" name="Drop Dow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42065" name="Drop Dow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2066" name="Drop Dow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2067" name="Drop Dow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2068" name="Drop Dow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2069" name="Drop Dow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2070" name="Drop Dow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2071" name="Drop Dow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2072" name="Drop Dow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2073" name="Drop Dow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2074" name="Drop Dow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2075" name="Drop Dow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2076" name="Drop Dow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2077" name="Drop Dow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42078" name="Drop Dow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42079" name="Drop Dow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42080" name="Drop Dow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42081" name="Drop Dow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42082" name="Drop Dow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42083" name="Drop Dow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42084" name="Drop Dow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42085" name="Drop Dow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42086" name="Drop Dow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42087" name="Drop Dow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42088" name="Drop Dow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42089" name="Drop Dow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9</xdr:row>
          <xdr:rowOff>47625</xdr:rowOff>
        </xdr:from>
        <xdr:to>
          <xdr:col>8</xdr:col>
          <xdr:colOff>180975</xdr:colOff>
          <xdr:row>10</xdr:row>
          <xdr:rowOff>9525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35842" name="Drop Dow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C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35843" name="Drop Dow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C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35844" name="Drop Dow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35845" name="Drop Dow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35846" name="Drop Dow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C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35847" name="Drop Dow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C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35848" name="Drop Dow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C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35849" name="Drop Dow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C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35850" name="Drop Dow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C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35851" name="Drop Dow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C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35852" name="Drop Dow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C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35853" name="Drop Dow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C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35854" name="Drop Dow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C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35855" name="Drop Dow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C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35856" name="Drop Dow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C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35857" name="Drop Down 17" hidden="1">
              <a:extLst>
                <a:ext uri="{63B3BB69-23CF-44E3-9099-C40C66FF867C}">
                  <a14:compatExt spid="_x0000_s35857"/>
                </a:ext>
                <a:ext uri="{FF2B5EF4-FFF2-40B4-BE49-F238E27FC236}">
                  <a16:creationId xmlns:a16="http://schemas.microsoft.com/office/drawing/2014/main" id="{00000000-0008-0000-0C00-00001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35858" name="Drop Dow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C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35859" name="Drop Down 19" hidden="1">
              <a:extLst>
                <a:ext uri="{63B3BB69-23CF-44E3-9099-C40C66FF867C}">
                  <a14:compatExt spid="_x0000_s35859"/>
                </a:ext>
                <a:ext uri="{FF2B5EF4-FFF2-40B4-BE49-F238E27FC236}">
                  <a16:creationId xmlns:a16="http://schemas.microsoft.com/office/drawing/2014/main" id="{00000000-0008-0000-0C00-00001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35860" name="Drop Down 20" hidden="1">
              <a:extLst>
                <a:ext uri="{63B3BB69-23CF-44E3-9099-C40C66FF867C}">
                  <a14:compatExt spid="_x0000_s35860"/>
                </a:ext>
                <a:ext uri="{FF2B5EF4-FFF2-40B4-BE49-F238E27FC236}">
                  <a16:creationId xmlns:a16="http://schemas.microsoft.com/office/drawing/2014/main" id="{00000000-0008-0000-0C00-00001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35861" name="Drop Down 21" hidden="1">
              <a:extLst>
                <a:ext uri="{63B3BB69-23CF-44E3-9099-C40C66FF867C}">
                  <a14:compatExt spid="_x0000_s35861"/>
                </a:ext>
                <a:ext uri="{FF2B5EF4-FFF2-40B4-BE49-F238E27FC236}">
                  <a16:creationId xmlns:a16="http://schemas.microsoft.com/office/drawing/2014/main" id="{00000000-0008-0000-0C00-00001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35862" name="Drop Down 22" hidden="1">
              <a:extLst>
                <a:ext uri="{63B3BB69-23CF-44E3-9099-C40C66FF867C}">
                  <a14:compatExt spid="_x0000_s35862"/>
                </a:ext>
                <a:ext uri="{FF2B5EF4-FFF2-40B4-BE49-F238E27FC236}">
                  <a16:creationId xmlns:a16="http://schemas.microsoft.com/office/drawing/2014/main" id="{00000000-0008-0000-0C00-00001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35863" name="Drop Down 23" hidden="1">
              <a:extLst>
                <a:ext uri="{63B3BB69-23CF-44E3-9099-C40C66FF867C}">
                  <a14:compatExt spid="_x0000_s35863"/>
                </a:ext>
                <a:ext uri="{FF2B5EF4-FFF2-40B4-BE49-F238E27FC236}">
                  <a16:creationId xmlns:a16="http://schemas.microsoft.com/office/drawing/2014/main" id="{00000000-0008-0000-0C00-00001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35864" name="Drop Down 24" hidden="1">
              <a:extLst>
                <a:ext uri="{63B3BB69-23CF-44E3-9099-C40C66FF867C}">
                  <a14:compatExt spid="_x0000_s35864"/>
                </a:ext>
                <a:ext uri="{FF2B5EF4-FFF2-40B4-BE49-F238E27FC236}">
                  <a16:creationId xmlns:a16="http://schemas.microsoft.com/office/drawing/2014/main" id="{00000000-0008-0000-0C00-00001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35865" name="Drop Down 25" hidden="1">
              <a:extLst>
                <a:ext uri="{63B3BB69-23CF-44E3-9099-C40C66FF867C}">
                  <a14:compatExt spid="_x0000_s35865"/>
                </a:ext>
                <a:ext uri="{FF2B5EF4-FFF2-40B4-BE49-F238E27FC236}">
                  <a16:creationId xmlns:a16="http://schemas.microsoft.com/office/drawing/2014/main" id="{00000000-0008-0000-0C00-00001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8</xdr:row>
          <xdr:rowOff>47625</xdr:rowOff>
        </xdr:from>
        <xdr:to>
          <xdr:col>8</xdr:col>
          <xdr:colOff>180975</xdr:colOff>
          <xdr:row>9</xdr:row>
          <xdr:rowOff>9525</xdr:rowOff>
        </xdr:to>
        <xdr:sp macro="" textlink="">
          <xdr:nvSpPr>
            <xdr:cNvPr id="35874" name="Drop Down 34" hidden="1">
              <a:extLst>
                <a:ext uri="{63B3BB69-23CF-44E3-9099-C40C66FF867C}">
                  <a14:compatExt spid="_x0000_s35874"/>
                </a:ext>
                <a:ext uri="{FF2B5EF4-FFF2-40B4-BE49-F238E27FC236}">
                  <a16:creationId xmlns:a16="http://schemas.microsoft.com/office/drawing/2014/main" id="{00000000-0008-0000-0C00-00002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35875" name="Line 35">
          <a:extLst>
            <a:ext uri="{FF2B5EF4-FFF2-40B4-BE49-F238E27FC236}">
              <a16:creationId xmlns:a16="http://schemas.microsoft.com/office/drawing/2014/main" id="{B1A58A97-56FB-C089-93DC-27F2008C2FE0}"/>
            </a:ext>
          </a:extLst>
        </xdr:cNvPr>
        <xdr:cNvSpPr>
          <a:spLocks noChangeShapeType="1"/>
        </xdr:cNvSpPr>
      </xdr:nvSpPr>
      <xdr:spPr bwMode="auto">
        <a:xfrm flipH="1">
          <a:off x="25001220" y="97459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35876" name="Drop Down 36" hidden="1">
              <a:extLst>
                <a:ext uri="{63B3BB69-23CF-44E3-9099-C40C66FF867C}">
                  <a14:compatExt spid="_x0000_s35876"/>
                </a:ext>
                <a:ext uri="{FF2B5EF4-FFF2-40B4-BE49-F238E27FC236}">
                  <a16:creationId xmlns:a16="http://schemas.microsoft.com/office/drawing/2014/main" id="{00000000-0008-0000-0C00-00002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35877" name="Drop Down 37" hidden="1">
              <a:extLst>
                <a:ext uri="{63B3BB69-23CF-44E3-9099-C40C66FF867C}">
                  <a14:compatExt spid="_x0000_s35877"/>
                </a:ext>
                <a:ext uri="{FF2B5EF4-FFF2-40B4-BE49-F238E27FC236}">
                  <a16:creationId xmlns:a16="http://schemas.microsoft.com/office/drawing/2014/main" id="{00000000-0008-0000-0C00-00002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35878" name="Drop Down 38" hidden="1">
              <a:extLst>
                <a:ext uri="{63B3BB69-23CF-44E3-9099-C40C66FF867C}">
                  <a14:compatExt spid="_x0000_s35878"/>
                </a:ext>
                <a:ext uri="{FF2B5EF4-FFF2-40B4-BE49-F238E27FC236}">
                  <a16:creationId xmlns:a16="http://schemas.microsoft.com/office/drawing/2014/main" id="{00000000-0008-0000-0C00-00002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35879" name="Drop Down 39" hidden="1">
              <a:extLst>
                <a:ext uri="{63B3BB69-23CF-44E3-9099-C40C66FF867C}">
                  <a14:compatExt spid="_x0000_s35879"/>
                </a:ext>
                <a:ext uri="{FF2B5EF4-FFF2-40B4-BE49-F238E27FC236}">
                  <a16:creationId xmlns:a16="http://schemas.microsoft.com/office/drawing/2014/main" id="{00000000-0008-0000-0C00-00002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35880" name="Drop Down 40" hidden="1">
              <a:extLst>
                <a:ext uri="{63B3BB69-23CF-44E3-9099-C40C66FF867C}">
                  <a14:compatExt spid="_x0000_s35880"/>
                </a:ext>
                <a:ext uri="{FF2B5EF4-FFF2-40B4-BE49-F238E27FC236}">
                  <a16:creationId xmlns:a16="http://schemas.microsoft.com/office/drawing/2014/main" id="{00000000-0008-0000-0C00-00002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35881" name="Drop Down 41" hidden="1">
              <a:extLst>
                <a:ext uri="{63B3BB69-23CF-44E3-9099-C40C66FF867C}">
                  <a14:compatExt spid="_x0000_s35881"/>
                </a:ext>
                <a:ext uri="{FF2B5EF4-FFF2-40B4-BE49-F238E27FC236}">
                  <a16:creationId xmlns:a16="http://schemas.microsoft.com/office/drawing/2014/main" id="{00000000-0008-0000-0C00-00002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35884" name="Drop Down 44" hidden="1">
              <a:extLst>
                <a:ext uri="{63B3BB69-23CF-44E3-9099-C40C66FF867C}">
                  <a14:compatExt spid="_x0000_s35884"/>
                </a:ext>
                <a:ext uri="{FF2B5EF4-FFF2-40B4-BE49-F238E27FC236}">
                  <a16:creationId xmlns:a16="http://schemas.microsoft.com/office/drawing/2014/main" id="{00000000-0008-0000-0C00-00002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35885" name="Drop Down 45" hidden="1">
              <a:extLst>
                <a:ext uri="{63B3BB69-23CF-44E3-9099-C40C66FF867C}">
                  <a14:compatExt spid="_x0000_s35885"/>
                </a:ext>
                <a:ext uri="{FF2B5EF4-FFF2-40B4-BE49-F238E27FC236}">
                  <a16:creationId xmlns:a16="http://schemas.microsoft.com/office/drawing/2014/main" id="{00000000-0008-0000-0C00-00002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35886" name="Drop Down 46" hidden="1">
              <a:extLst>
                <a:ext uri="{63B3BB69-23CF-44E3-9099-C40C66FF867C}">
                  <a14:compatExt spid="_x0000_s35886"/>
                </a:ext>
                <a:ext uri="{FF2B5EF4-FFF2-40B4-BE49-F238E27FC236}">
                  <a16:creationId xmlns:a16="http://schemas.microsoft.com/office/drawing/2014/main" id="{00000000-0008-0000-0C00-00002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35887" name="Drop Down 47" hidden="1">
              <a:extLst>
                <a:ext uri="{63B3BB69-23CF-44E3-9099-C40C66FF867C}">
                  <a14:compatExt spid="_x0000_s35887"/>
                </a:ext>
                <a:ext uri="{FF2B5EF4-FFF2-40B4-BE49-F238E27FC236}">
                  <a16:creationId xmlns:a16="http://schemas.microsoft.com/office/drawing/2014/main" id="{00000000-0008-0000-0C00-00002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35888" name="Drop Down 48" hidden="1">
              <a:extLst>
                <a:ext uri="{63B3BB69-23CF-44E3-9099-C40C66FF867C}">
                  <a14:compatExt spid="_x0000_s35888"/>
                </a:ext>
                <a:ext uri="{FF2B5EF4-FFF2-40B4-BE49-F238E27FC236}">
                  <a16:creationId xmlns:a16="http://schemas.microsoft.com/office/drawing/2014/main" id="{00000000-0008-0000-0C00-00003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35889" name="Drop Down 49" hidden="1">
              <a:extLst>
                <a:ext uri="{63B3BB69-23CF-44E3-9099-C40C66FF867C}">
                  <a14:compatExt spid="_x0000_s35889"/>
                </a:ext>
                <a:ext uri="{FF2B5EF4-FFF2-40B4-BE49-F238E27FC236}">
                  <a16:creationId xmlns:a16="http://schemas.microsoft.com/office/drawing/2014/main" id="{00000000-0008-0000-0C00-00003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35892" name="Drop Down 52" hidden="1">
              <a:extLst>
                <a:ext uri="{63B3BB69-23CF-44E3-9099-C40C66FF867C}">
                  <a14:compatExt spid="_x0000_s35892"/>
                </a:ext>
                <a:ext uri="{FF2B5EF4-FFF2-40B4-BE49-F238E27FC236}">
                  <a16:creationId xmlns:a16="http://schemas.microsoft.com/office/drawing/2014/main" id="{00000000-0008-0000-0C00-00003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35893" name="Drop Down 53" hidden="1">
              <a:extLst>
                <a:ext uri="{63B3BB69-23CF-44E3-9099-C40C66FF867C}">
                  <a14:compatExt spid="_x0000_s35893"/>
                </a:ext>
                <a:ext uri="{FF2B5EF4-FFF2-40B4-BE49-F238E27FC236}">
                  <a16:creationId xmlns:a16="http://schemas.microsoft.com/office/drawing/2014/main" id="{00000000-0008-0000-0C00-00003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35894" name="Drop Down 54" hidden="1">
              <a:extLst>
                <a:ext uri="{63B3BB69-23CF-44E3-9099-C40C66FF867C}">
                  <a14:compatExt spid="_x0000_s35894"/>
                </a:ext>
                <a:ext uri="{FF2B5EF4-FFF2-40B4-BE49-F238E27FC236}">
                  <a16:creationId xmlns:a16="http://schemas.microsoft.com/office/drawing/2014/main" id="{00000000-0008-0000-0C00-00003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35895" name="Drop Down 55" hidden="1">
              <a:extLst>
                <a:ext uri="{63B3BB69-23CF-44E3-9099-C40C66FF867C}">
                  <a14:compatExt spid="_x0000_s35895"/>
                </a:ext>
                <a:ext uri="{FF2B5EF4-FFF2-40B4-BE49-F238E27FC236}">
                  <a16:creationId xmlns:a16="http://schemas.microsoft.com/office/drawing/2014/main" id="{00000000-0008-0000-0C00-00003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35896" name="Drop Down 56" hidden="1">
              <a:extLst>
                <a:ext uri="{63B3BB69-23CF-44E3-9099-C40C66FF867C}">
                  <a14:compatExt spid="_x0000_s35896"/>
                </a:ext>
                <a:ext uri="{FF2B5EF4-FFF2-40B4-BE49-F238E27FC236}">
                  <a16:creationId xmlns:a16="http://schemas.microsoft.com/office/drawing/2014/main" id="{00000000-0008-0000-0C00-00003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35897" name="Drop Down 57" hidden="1">
              <a:extLst>
                <a:ext uri="{63B3BB69-23CF-44E3-9099-C40C66FF867C}">
                  <a14:compatExt spid="_x0000_s35897"/>
                </a:ext>
                <a:ext uri="{FF2B5EF4-FFF2-40B4-BE49-F238E27FC236}">
                  <a16:creationId xmlns:a16="http://schemas.microsoft.com/office/drawing/2014/main" id="{00000000-0008-0000-0C00-00003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35898" name="Drop Down 58" hidden="1">
              <a:extLst>
                <a:ext uri="{63B3BB69-23CF-44E3-9099-C40C66FF867C}">
                  <a14:compatExt spid="_x0000_s35898"/>
                </a:ext>
                <a:ext uri="{FF2B5EF4-FFF2-40B4-BE49-F238E27FC236}">
                  <a16:creationId xmlns:a16="http://schemas.microsoft.com/office/drawing/2014/main" id="{00000000-0008-0000-0C00-00003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35899" name="Drop Down 59" hidden="1">
              <a:extLst>
                <a:ext uri="{63B3BB69-23CF-44E3-9099-C40C66FF867C}">
                  <a14:compatExt spid="_x0000_s35899"/>
                </a:ext>
                <a:ext uri="{FF2B5EF4-FFF2-40B4-BE49-F238E27FC236}">
                  <a16:creationId xmlns:a16="http://schemas.microsoft.com/office/drawing/2014/main" id="{00000000-0008-0000-0C00-00003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35900" name="Drop Down 60" hidden="1">
              <a:extLst>
                <a:ext uri="{63B3BB69-23CF-44E3-9099-C40C66FF867C}">
                  <a14:compatExt spid="_x0000_s35900"/>
                </a:ext>
                <a:ext uri="{FF2B5EF4-FFF2-40B4-BE49-F238E27FC236}">
                  <a16:creationId xmlns:a16="http://schemas.microsoft.com/office/drawing/2014/main" id="{00000000-0008-0000-0C00-00003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35901" name="Drop Down 61" hidden="1">
              <a:extLst>
                <a:ext uri="{63B3BB69-23CF-44E3-9099-C40C66FF867C}">
                  <a14:compatExt spid="_x0000_s35901"/>
                </a:ext>
                <a:ext uri="{FF2B5EF4-FFF2-40B4-BE49-F238E27FC236}">
                  <a16:creationId xmlns:a16="http://schemas.microsoft.com/office/drawing/2014/main" id="{00000000-0008-0000-0C00-00003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35902" name="Drop Down 62" hidden="1">
              <a:extLst>
                <a:ext uri="{63B3BB69-23CF-44E3-9099-C40C66FF867C}">
                  <a14:compatExt spid="_x0000_s35902"/>
                </a:ext>
                <a:ext uri="{FF2B5EF4-FFF2-40B4-BE49-F238E27FC236}">
                  <a16:creationId xmlns:a16="http://schemas.microsoft.com/office/drawing/2014/main" id="{00000000-0008-0000-0C00-00003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35903" name="Drop Down 63" hidden="1">
              <a:extLst>
                <a:ext uri="{63B3BB69-23CF-44E3-9099-C40C66FF867C}">
                  <a14:compatExt spid="_x0000_s35903"/>
                </a:ext>
                <a:ext uri="{FF2B5EF4-FFF2-40B4-BE49-F238E27FC236}">
                  <a16:creationId xmlns:a16="http://schemas.microsoft.com/office/drawing/2014/main" id="{00000000-0008-0000-0C00-00003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35904" name="Drop Down 64" hidden="1">
              <a:extLst>
                <a:ext uri="{63B3BB69-23CF-44E3-9099-C40C66FF867C}">
                  <a14:compatExt spid="_x0000_s35904"/>
                </a:ext>
                <a:ext uri="{FF2B5EF4-FFF2-40B4-BE49-F238E27FC236}">
                  <a16:creationId xmlns:a16="http://schemas.microsoft.com/office/drawing/2014/main" id="{00000000-0008-0000-0C00-00004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35905" name="Drop Down 65" hidden="1">
              <a:extLst>
                <a:ext uri="{63B3BB69-23CF-44E3-9099-C40C66FF867C}">
                  <a14:compatExt spid="_x0000_s35905"/>
                </a:ext>
                <a:ext uri="{FF2B5EF4-FFF2-40B4-BE49-F238E27FC236}">
                  <a16:creationId xmlns:a16="http://schemas.microsoft.com/office/drawing/2014/main" id="{00000000-0008-0000-0C00-00004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35906" name="Drop Down 66" hidden="1">
              <a:extLst>
                <a:ext uri="{63B3BB69-23CF-44E3-9099-C40C66FF867C}">
                  <a14:compatExt spid="_x0000_s35906"/>
                </a:ext>
                <a:ext uri="{FF2B5EF4-FFF2-40B4-BE49-F238E27FC236}">
                  <a16:creationId xmlns:a16="http://schemas.microsoft.com/office/drawing/2014/main" id="{00000000-0008-0000-0C00-00004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35907" name="Drop Down 67" hidden="1">
              <a:extLst>
                <a:ext uri="{63B3BB69-23CF-44E3-9099-C40C66FF867C}">
                  <a14:compatExt spid="_x0000_s35907"/>
                </a:ext>
                <a:ext uri="{FF2B5EF4-FFF2-40B4-BE49-F238E27FC236}">
                  <a16:creationId xmlns:a16="http://schemas.microsoft.com/office/drawing/2014/main" id="{00000000-0008-0000-0C00-00004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35908" name="Drop Down 68" hidden="1">
              <a:extLst>
                <a:ext uri="{63B3BB69-23CF-44E3-9099-C40C66FF867C}">
                  <a14:compatExt spid="_x0000_s35908"/>
                </a:ext>
                <a:ext uri="{FF2B5EF4-FFF2-40B4-BE49-F238E27FC236}">
                  <a16:creationId xmlns:a16="http://schemas.microsoft.com/office/drawing/2014/main" id="{00000000-0008-0000-0C00-00004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35909" name="Drop Down 69" hidden="1">
              <a:extLst>
                <a:ext uri="{63B3BB69-23CF-44E3-9099-C40C66FF867C}">
                  <a14:compatExt spid="_x0000_s35909"/>
                </a:ext>
                <a:ext uri="{FF2B5EF4-FFF2-40B4-BE49-F238E27FC236}">
                  <a16:creationId xmlns:a16="http://schemas.microsoft.com/office/drawing/2014/main" id="{00000000-0008-0000-0C00-00004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35910" name="Drop Down 70" hidden="1">
              <a:extLst>
                <a:ext uri="{63B3BB69-23CF-44E3-9099-C40C66FF867C}">
                  <a14:compatExt spid="_x0000_s35910"/>
                </a:ext>
                <a:ext uri="{FF2B5EF4-FFF2-40B4-BE49-F238E27FC236}">
                  <a16:creationId xmlns:a16="http://schemas.microsoft.com/office/drawing/2014/main" id="{00000000-0008-0000-0C00-00004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35911" name="Drop Down 71" hidden="1">
              <a:extLst>
                <a:ext uri="{63B3BB69-23CF-44E3-9099-C40C66FF867C}">
                  <a14:compatExt spid="_x0000_s35911"/>
                </a:ext>
                <a:ext uri="{FF2B5EF4-FFF2-40B4-BE49-F238E27FC236}">
                  <a16:creationId xmlns:a16="http://schemas.microsoft.com/office/drawing/2014/main" id="{00000000-0008-0000-0C00-00004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35912" name="Drop Down 72" hidden="1">
              <a:extLst>
                <a:ext uri="{63B3BB69-23CF-44E3-9099-C40C66FF867C}">
                  <a14:compatExt spid="_x0000_s35912"/>
                </a:ext>
                <a:ext uri="{FF2B5EF4-FFF2-40B4-BE49-F238E27FC236}">
                  <a16:creationId xmlns:a16="http://schemas.microsoft.com/office/drawing/2014/main" id="{00000000-0008-0000-0C00-00004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35913" name="Drop Down 73" hidden="1">
              <a:extLst>
                <a:ext uri="{63B3BB69-23CF-44E3-9099-C40C66FF867C}">
                  <a14:compatExt spid="_x0000_s35913"/>
                </a:ext>
                <a:ext uri="{FF2B5EF4-FFF2-40B4-BE49-F238E27FC236}">
                  <a16:creationId xmlns:a16="http://schemas.microsoft.com/office/drawing/2014/main" id="{00000000-0008-0000-0C00-00004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35914" name="Drop Down 74" hidden="1">
              <a:extLst>
                <a:ext uri="{63B3BB69-23CF-44E3-9099-C40C66FF867C}">
                  <a14:compatExt spid="_x0000_s35914"/>
                </a:ext>
                <a:ext uri="{FF2B5EF4-FFF2-40B4-BE49-F238E27FC236}">
                  <a16:creationId xmlns:a16="http://schemas.microsoft.com/office/drawing/2014/main" id="{00000000-0008-0000-0C00-00004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35915" name="Drop Down 75" hidden="1">
              <a:extLst>
                <a:ext uri="{63B3BB69-23CF-44E3-9099-C40C66FF867C}">
                  <a14:compatExt spid="_x0000_s35915"/>
                </a:ext>
                <a:ext uri="{FF2B5EF4-FFF2-40B4-BE49-F238E27FC236}">
                  <a16:creationId xmlns:a16="http://schemas.microsoft.com/office/drawing/2014/main" id="{00000000-0008-0000-0C00-00004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35924" name="Drop Dow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C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35925" name="Drop Dow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C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35926" name="Drop Dow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C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35927" name="Drop Dow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C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35928" name="Drop Dow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C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35929" name="Drop Dow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C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35932" name="Drop Dow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C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35933" name="Drop Dow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C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35934" name="Drop Dow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C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35935" name="Drop Dow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C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35936" name="Drop Dow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C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35937" name="Drop Dow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C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35940" name="Drop Dow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C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35941" name="Drop Dow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C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35942" name="Drop Dow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C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35943" name="Drop Dow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C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35944" name="Drop Dow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C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35945" name="Drop Dow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C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35948" name="Drop Dow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C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5949" name="Drop Dow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C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5950" name="Drop Dow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C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5951" name="Drop Dow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C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5952" name="Drop Dow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C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5953" name="Drop Dow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C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35956" name="Drop Dow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C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5957" name="Drop Dow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C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5958" name="Drop Dow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C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5959" name="Drop Dow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C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5960" name="Drop Dow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C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5961" name="Drop Dow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C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35964" name="Drop Dow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C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35965" name="Drop Dow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C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35966" name="Drop Dow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C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35967" name="Drop Dow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C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35968" name="Drop Dow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C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35969" name="Drop Dow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C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35972" name="Drop Dow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C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35973" name="Drop Dow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C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35974" name="Drop Dow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C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35975" name="Drop Dow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C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35976" name="Drop Dow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C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35977" name="Drop Dow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C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723900</xdr:colOff>
          <xdr:row>23</xdr:row>
          <xdr:rowOff>209550</xdr:rowOff>
        </xdr:to>
        <xdr:sp macro="" textlink="">
          <xdr:nvSpPr>
            <xdr:cNvPr id="35982" name="Check Box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C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723900</xdr:colOff>
          <xdr:row>24</xdr:row>
          <xdr:rowOff>190500</xdr:rowOff>
        </xdr:to>
        <xdr:sp macro="" textlink="">
          <xdr:nvSpPr>
            <xdr:cNvPr id="35983" name="Check Box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C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723900</xdr:colOff>
          <xdr:row>25</xdr:row>
          <xdr:rowOff>200025</xdr:rowOff>
        </xdr:to>
        <xdr:sp macro="" textlink="">
          <xdr:nvSpPr>
            <xdr:cNvPr id="35984" name="Check Box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C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723900</xdr:colOff>
          <xdr:row>26</xdr:row>
          <xdr:rowOff>190500</xdr:rowOff>
        </xdr:to>
        <xdr:sp macro="" textlink="">
          <xdr:nvSpPr>
            <xdr:cNvPr id="35985" name="Check Box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C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723900</xdr:colOff>
          <xdr:row>27</xdr:row>
          <xdr:rowOff>200025</xdr:rowOff>
        </xdr:to>
        <xdr:sp macro="" textlink="">
          <xdr:nvSpPr>
            <xdr:cNvPr id="35986" name="Check Box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C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723900</xdr:colOff>
          <xdr:row>28</xdr:row>
          <xdr:rowOff>190500</xdr:rowOff>
        </xdr:to>
        <xdr:sp macro="" textlink="">
          <xdr:nvSpPr>
            <xdr:cNvPr id="35987" name="Check Box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C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723900</xdr:colOff>
          <xdr:row>29</xdr:row>
          <xdr:rowOff>200025</xdr:rowOff>
        </xdr:to>
        <xdr:sp macro="" textlink="">
          <xdr:nvSpPr>
            <xdr:cNvPr id="35988" name="Check Box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C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723900</xdr:colOff>
          <xdr:row>30</xdr:row>
          <xdr:rowOff>219075</xdr:rowOff>
        </xdr:to>
        <xdr:sp macro="" textlink="">
          <xdr:nvSpPr>
            <xdr:cNvPr id="35989" name="Check Box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C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723900</xdr:colOff>
          <xdr:row>31</xdr:row>
          <xdr:rowOff>209550</xdr:rowOff>
        </xdr:to>
        <xdr:sp macro="" textlink="">
          <xdr:nvSpPr>
            <xdr:cNvPr id="35990" name="Check Box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C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723900</xdr:colOff>
          <xdr:row>32</xdr:row>
          <xdr:rowOff>219075</xdr:rowOff>
        </xdr:to>
        <xdr:sp macro="" textlink="">
          <xdr:nvSpPr>
            <xdr:cNvPr id="35991" name="Check Box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C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723900</xdr:colOff>
          <xdr:row>33</xdr:row>
          <xdr:rowOff>200025</xdr:rowOff>
        </xdr:to>
        <xdr:sp macro="" textlink="">
          <xdr:nvSpPr>
            <xdr:cNvPr id="35992" name="Check Box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C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723900</xdr:colOff>
          <xdr:row>34</xdr:row>
          <xdr:rowOff>190500</xdr:rowOff>
        </xdr:to>
        <xdr:sp macro="" textlink="">
          <xdr:nvSpPr>
            <xdr:cNvPr id="35993" name="Check Box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C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723900</xdr:colOff>
          <xdr:row>35</xdr:row>
          <xdr:rowOff>200025</xdr:rowOff>
        </xdr:to>
        <xdr:sp macro="" textlink="">
          <xdr:nvSpPr>
            <xdr:cNvPr id="35994" name="Check Box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C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723900</xdr:colOff>
          <xdr:row>36</xdr:row>
          <xdr:rowOff>209550</xdr:rowOff>
        </xdr:to>
        <xdr:sp macro="" textlink="">
          <xdr:nvSpPr>
            <xdr:cNvPr id="35995" name="Check Box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C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723900</xdr:colOff>
          <xdr:row>37</xdr:row>
          <xdr:rowOff>200025</xdr:rowOff>
        </xdr:to>
        <xdr:sp macro="" textlink="">
          <xdr:nvSpPr>
            <xdr:cNvPr id="35996" name="Check Box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C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723900</xdr:colOff>
          <xdr:row>38</xdr:row>
          <xdr:rowOff>190500</xdr:rowOff>
        </xdr:to>
        <xdr:sp macro="" textlink="">
          <xdr:nvSpPr>
            <xdr:cNvPr id="35997" name="Check Box 157" hidden="1">
              <a:extLst>
                <a:ext uri="{63B3BB69-23CF-44E3-9099-C40C66FF867C}">
                  <a14:compatExt spid="_x0000_s35997"/>
                </a:ext>
                <a:ext uri="{FF2B5EF4-FFF2-40B4-BE49-F238E27FC236}">
                  <a16:creationId xmlns:a16="http://schemas.microsoft.com/office/drawing/2014/main" id="{00000000-0008-0000-0C00-00009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40</xdr:row>
          <xdr:rowOff>0</xdr:rowOff>
        </xdr:from>
        <xdr:to>
          <xdr:col>10</xdr:col>
          <xdr:colOff>323850</xdr:colOff>
          <xdr:row>41</xdr:row>
          <xdr:rowOff>38100</xdr:rowOff>
        </xdr:to>
        <xdr:sp macro="" textlink="">
          <xdr:nvSpPr>
            <xdr:cNvPr id="35998" name="Button 158" hidden="1">
              <a:extLst>
                <a:ext uri="{63B3BB69-23CF-44E3-9099-C40C66FF867C}">
                  <a14:compatExt spid="_x0000_s35998"/>
                </a:ext>
                <a:ext uri="{FF2B5EF4-FFF2-40B4-BE49-F238E27FC236}">
                  <a16:creationId xmlns:a16="http://schemas.microsoft.com/office/drawing/2014/main" id="{00000000-0008-0000-0C00-00009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</xdr:row>
          <xdr:rowOff>47625</xdr:rowOff>
        </xdr:from>
        <xdr:to>
          <xdr:col>6</xdr:col>
          <xdr:colOff>666750</xdr:colOff>
          <xdr:row>2</xdr:row>
          <xdr:rowOff>104775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895350</xdr:colOff>
          <xdr:row>1</xdr:row>
          <xdr:rowOff>47625</xdr:rowOff>
        </xdr:from>
        <xdr:to>
          <xdr:col>7</xdr:col>
          <xdr:colOff>514350</xdr:colOff>
          <xdr:row>2</xdr:row>
          <xdr:rowOff>95250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556260</xdr:colOff>
      <xdr:row>16</xdr:row>
      <xdr:rowOff>91440</xdr:rowOff>
    </xdr:from>
    <xdr:to>
      <xdr:col>8</xdr:col>
      <xdr:colOff>281940</xdr:colOff>
      <xdr:row>16</xdr:row>
      <xdr:rowOff>91440</xdr:rowOff>
    </xdr:to>
    <xdr:sp macro="" textlink="">
      <xdr:nvSpPr>
        <xdr:cNvPr id="28673" name="Line 1">
          <a:extLst>
            <a:ext uri="{FF2B5EF4-FFF2-40B4-BE49-F238E27FC236}">
              <a16:creationId xmlns:a16="http://schemas.microsoft.com/office/drawing/2014/main" id="{EA390A3D-8842-DBAA-EA1D-C2EF35E0F993}"/>
            </a:ext>
          </a:extLst>
        </xdr:cNvPr>
        <xdr:cNvSpPr>
          <a:spLocks noChangeShapeType="1"/>
        </xdr:cNvSpPr>
      </xdr:nvSpPr>
      <xdr:spPr bwMode="auto">
        <a:xfrm>
          <a:off x="7338060" y="2834640"/>
          <a:ext cx="7772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144780</xdr:colOff>
      <xdr:row>8</xdr:row>
      <xdr:rowOff>121920</xdr:rowOff>
    </xdr:from>
    <xdr:to>
      <xdr:col>8</xdr:col>
      <xdr:colOff>708660</xdr:colOff>
      <xdr:row>14</xdr:row>
      <xdr:rowOff>7620</xdr:rowOff>
    </xdr:to>
    <xdr:sp macro="" textlink="">
      <xdr:nvSpPr>
        <xdr:cNvPr id="28674" name="Line 2">
          <a:extLst>
            <a:ext uri="{FF2B5EF4-FFF2-40B4-BE49-F238E27FC236}">
              <a16:creationId xmlns:a16="http://schemas.microsoft.com/office/drawing/2014/main" id="{E3566003-E603-F713-5D84-9E6CAD0296FF}"/>
            </a:ext>
          </a:extLst>
        </xdr:cNvPr>
        <xdr:cNvSpPr>
          <a:spLocks noChangeShapeType="1"/>
        </xdr:cNvSpPr>
      </xdr:nvSpPr>
      <xdr:spPr bwMode="auto">
        <a:xfrm flipV="1">
          <a:off x="6926580" y="1524000"/>
          <a:ext cx="1615440" cy="8915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304800</xdr:colOff>
      <xdr:row>22</xdr:row>
      <xdr:rowOff>91440</xdr:rowOff>
    </xdr:from>
    <xdr:to>
      <xdr:col>3</xdr:col>
      <xdr:colOff>777240</xdr:colOff>
      <xdr:row>22</xdr:row>
      <xdr:rowOff>91440</xdr:rowOff>
    </xdr:to>
    <xdr:sp macro="" textlink="">
      <xdr:nvSpPr>
        <xdr:cNvPr id="28675" name="Line 3">
          <a:extLst>
            <a:ext uri="{FF2B5EF4-FFF2-40B4-BE49-F238E27FC236}">
              <a16:creationId xmlns:a16="http://schemas.microsoft.com/office/drawing/2014/main" id="{4DD58E35-CB7D-C5C2-506F-80C33D84CB23}"/>
            </a:ext>
          </a:extLst>
        </xdr:cNvPr>
        <xdr:cNvSpPr>
          <a:spLocks noChangeShapeType="1"/>
        </xdr:cNvSpPr>
      </xdr:nvSpPr>
      <xdr:spPr bwMode="auto">
        <a:xfrm>
          <a:off x="3322320" y="384048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20.xml"/><Relationship Id="rId21" Type="http://schemas.openxmlformats.org/officeDocument/2006/relationships/ctrlProp" Target="../ctrlProps/ctrlProp24.xml"/><Relationship Id="rId42" Type="http://schemas.openxmlformats.org/officeDocument/2006/relationships/ctrlProp" Target="../ctrlProps/ctrlProp45.xml"/><Relationship Id="rId63" Type="http://schemas.openxmlformats.org/officeDocument/2006/relationships/ctrlProp" Target="../ctrlProps/ctrlProp66.xml"/><Relationship Id="rId84" Type="http://schemas.openxmlformats.org/officeDocument/2006/relationships/ctrlProp" Target="../ctrlProps/ctrlProp87.xml"/><Relationship Id="rId138" Type="http://schemas.openxmlformats.org/officeDocument/2006/relationships/ctrlProp" Target="../ctrlProps/ctrlProp141.xml"/><Relationship Id="rId16" Type="http://schemas.openxmlformats.org/officeDocument/2006/relationships/ctrlProp" Target="../ctrlProps/ctrlProp19.xml"/><Relationship Id="rId107" Type="http://schemas.openxmlformats.org/officeDocument/2006/relationships/ctrlProp" Target="../ctrlProps/ctrlProp110.xml"/><Relationship Id="rId11" Type="http://schemas.openxmlformats.org/officeDocument/2006/relationships/ctrlProp" Target="../ctrlProps/ctrlProp14.xml"/><Relationship Id="rId32" Type="http://schemas.openxmlformats.org/officeDocument/2006/relationships/ctrlProp" Target="../ctrlProps/ctrlProp35.xml"/><Relationship Id="rId37" Type="http://schemas.openxmlformats.org/officeDocument/2006/relationships/ctrlProp" Target="../ctrlProps/ctrlProp40.xml"/><Relationship Id="rId53" Type="http://schemas.openxmlformats.org/officeDocument/2006/relationships/ctrlProp" Target="../ctrlProps/ctrlProp56.xml"/><Relationship Id="rId58" Type="http://schemas.openxmlformats.org/officeDocument/2006/relationships/ctrlProp" Target="../ctrlProps/ctrlProp61.xml"/><Relationship Id="rId74" Type="http://schemas.openxmlformats.org/officeDocument/2006/relationships/ctrlProp" Target="../ctrlProps/ctrlProp77.xml"/><Relationship Id="rId79" Type="http://schemas.openxmlformats.org/officeDocument/2006/relationships/ctrlProp" Target="../ctrlProps/ctrlProp82.xml"/><Relationship Id="rId102" Type="http://schemas.openxmlformats.org/officeDocument/2006/relationships/ctrlProp" Target="../ctrlProps/ctrlProp105.xml"/><Relationship Id="rId123" Type="http://schemas.openxmlformats.org/officeDocument/2006/relationships/ctrlProp" Target="../ctrlProps/ctrlProp126.xml"/><Relationship Id="rId128" Type="http://schemas.openxmlformats.org/officeDocument/2006/relationships/ctrlProp" Target="../ctrlProps/ctrlProp131.xml"/><Relationship Id="rId5" Type="http://schemas.openxmlformats.org/officeDocument/2006/relationships/ctrlProp" Target="../ctrlProps/ctrlProp8.xml"/><Relationship Id="rId90" Type="http://schemas.openxmlformats.org/officeDocument/2006/relationships/ctrlProp" Target="../ctrlProps/ctrlProp93.xml"/><Relationship Id="rId95" Type="http://schemas.openxmlformats.org/officeDocument/2006/relationships/ctrlProp" Target="../ctrlProps/ctrlProp98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43" Type="http://schemas.openxmlformats.org/officeDocument/2006/relationships/ctrlProp" Target="../ctrlProps/ctrlProp46.xml"/><Relationship Id="rId48" Type="http://schemas.openxmlformats.org/officeDocument/2006/relationships/ctrlProp" Target="../ctrlProps/ctrlProp51.xml"/><Relationship Id="rId64" Type="http://schemas.openxmlformats.org/officeDocument/2006/relationships/ctrlProp" Target="../ctrlProps/ctrlProp67.xml"/><Relationship Id="rId69" Type="http://schemas.openxmlformats.org/officeDocument/2006/relationships/ctrlProp" Target="../ctrlProps/ctrlProp72.xml"/><Relationship Id="rId113" Type="http://schemas.openxmlformats.org/officeDocument/2006/relationships/ctrlProp" Target="../ctrlProps/ctrlProp116.xml"/><Relationship Id="rId118" Type="http://schemas.openxmlformats.org/officeDocument/2006/relationships/ctrlProp" Target="../ctrlProps/ctrlProp121.xml"/><Relationship Id="rId134" Type="http://schemas.openxmlformats.org/officeDocument/2006/relationships/ctrlProp" Target="../ctrlProps/ctrlProp137.xml"/><Relationship Id="rId139" Type="http://schemas.openxmlformats.org/officeDocument/2006/relationships/ctrlProp" Target="../ctrlProps/ctrlProp142.xml"/><Relationship Id="rId80" Type="http://schemas.openxmlformats.org/officeDocument/2006/relationships/ctrlProp" Target="../ctrlProps/ctrlProp83.xml"/><Relationship Id="rId85" Type="http://schemas.openxmlformats.org/officeDocument/2006/relationships/ctrlProp" Target="../ctrlProps/ctrlProp88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33" Type="http://schemas.openxmlformats.org/officeDocument/2006/relationships/ctrlProp" Target="../ctrlProps/ctrlProp36.xml"/><Relationship Id="rId38" Type="http://schemas.openxmlformats.org/officeDocument/2006/relationships/ctrlProp" Target="../ctrlProps/ctrlProp41.xml"/><Relationship Id="rId59" Type="http://schemas.openxmlformats.org/officeDocument/2006/relationships/ctrlProp" Target="../ctrlProps/ctrlProp62.xml"/><Relationship Id="rId103" Type="http://schemas.openxmlformats.org/officeDocument/2006/relationships/ctrlProp" Target="../ctrlProps/ctrlProp106.xml"/><Relationship Id="rId108" Type="http://schemas.openxmlformats.org/officeDocument/2006/relationships/ctrlProp" Target="../ctrlProps/ctrlProp111.xml"/><Relationship Id="rId124" Type="http://schemas.openxmlformats.org/officeDocument/2006/relationships/ctrlProp" Target="../ctrlProps/ctrlProp127.xml"/><Relationship Id="rId129" Type="http://schemas.openxmlformats.org/officeDocument/2006/relationships/ctrlProp" Target="../ctrlProps/ctrlProp132.xml"/><Relationship Id="rId54" Type="http://schemas.openxmlformats.org/officeDocument/2006/relationships/ctrlProp" Target="../ctrlProps/ctrlProp57.xml"/><Relationship Id="rId70" Type="http://schemas.openxmlformats.org/officeDocument/2006/relationships/ctrlProp" Target="../ctrlProps/ctrlProp73.xml"/><Relationship Id="rId75" Type="http://schemas.openxmlformats.org/officeDocument/2006/relationships/ctrlProp" Target="../ctrlProps/ctrlProp78.xml"/><Relationship Id="rId91" Type="http://schemas.openxmlformats.org/officeDocument/2006/relationships/ctrlProp" Target="../ctrlProps/ctrlProp94.xml"/><Relationship Id="rId96" Type="http://schemas.openxmlformats.org/officeDocument/2006/relationships/ctrlProp" Target="../ctrlProps/ctrlProp99.xml"/><Relationship Id="rId140" Type="http://schemas.openxmlformats.org/officeDocument/2006/relationships/ctrlProp" Target="../ctrlProps/ctrlProp14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49" Type="http://schemas.openxmlformats.org/officeDocument/2006/relationships/ctrlProp" Target="../ctrlProps/ctrlProp52.xml"/><Relationship Id="rId114" Type="http://schemas.openxmlformats.org/officeDocument/2006/relationships/ctrlProp" Target="../ctrlProps/ctrlProp117.xml"/><Relationship Id="rId119" Type="http://schemas.openxmlformats.org/officeDocument/2006/relationships/ctrlProp" Target="../ctrlProps/ctrlProp122.xml"/><Relationship Id="rId44" Type="http://schemas.openxmlformats.org/officeDocument/2006/relationships/ctrlProp" Target="../ctrlProps/ctrlProp47.xml"/><Relationship Id="rId60" Type="http://schemas.openxmlformats.org/officeDocument/2006/relationships/ctrlProp" Target="../ctrlProps/ctrlProp63.xml"/><Relationship Id="rId65" Type="http://schemas.openxmlformats.org/officeDocument/2006/relationships/ctrlProp" Target="../ctrlProps/ctrlProp68.xml"/><Relationship Id="rId81" Type="http://schemas.openxmlformats.org/officeDocument/2006/relationships/ctrlProp" Target="../ctrlProps/ctrlProp84.xml"/><Relationship Id="rId86" Type="http://schemas.openxmlformats.org/officeDocument/2006/relationships/ctrlProp" Target="../ctrlProps/ctrlProp89.xml"/><Relationship Id="rId130" Type="http://schemas.openxmlformats.org/officeDocument/2006/relationships/ctrlProp" Target="../ctrlProps/ctrlProp133.xml"/><Relationship Id="rId135" Type="http://schemas.openxmlformats.org/officeDocument/2006/relationships/ctrlProp" Target="../ctrlProps/ctrlProp138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39" Type="http://schemas.openxmlformats.org/officeDocument/2006/relationships/ctrlProp" Target="../ctrlProps/ctrlProp42.xml"/><Relationship Id="rId109" Type="http://schemas.openxmlformats.org/officeDocument/2006/relationships/ctrlProp" Target="../ctrlProps/ctrlProp112.xml"/><Relationship Id="rId34" Type="http://schemas.openxmlformats.org/officeDocument/2006/relationships/ctrlProp" Target="../ctrlProps/ctrlProp37.xml"/><Relationship Id="rId50" Type="http://schemas.openxmlformats.org/officeDocument/2006/relationships/ctrlProp" Target="../ctrlProps/ctrlProp53.xml"/><Relationship Id="rId55" Type="http://schemas.openxmlformats.org/officeDocument/2006/relationships/ctrlProp" Target="../ctrlProps/ctrlProp58.xml"/><Relationship Id="rId76" Type="http://schemas.openxmlformats.org/officeDocument/2006/relationships/ctrlProp" Target="../ctrlProps/ctrlProp79.xml"/><Relationship Id="rId97" Type="http://schemas.openxmlformats.org/officeDocument/2006/relationships/ctrlProp" Target="../ctrlProps/ctrlProp100.xml"/><Relationship Id="rId104" Type="http://schemas.openxmlformats.org/officeDocument/2006/relationships/ctrlProp" Target="../ctrlProps/ctrlProp107.xml"/><Relationship Id="rId120" Type="http://schemas.openxmlformats.org/officeDocument/2006/relationships/ctrlProp" Target="../ctrlProps/ctrlProp123.xml"/><Relationship Id="rId125" Type="http://schemas.openxmlformats.org/officeDocument/2006/relationships/ctrlProp" Target="../ctrlProps/ctrlProp128.xml"/><Relationship Id="rId7" Type="http://schemas.openxmlformats.org/officeDocument/2006/relationships/ctrlProp" Target="../ctrlProps/ctrlProp10.xml"/><Relationship Id="rId71" Type="http://schemas.openxmlformats.org/officeDocument/2006/relationships/ctrlProp" Target="../ctrlProps/ctrlProp74.xml"/><Relationship Id="rId92" Type="http://schemas.openxmlformats.org/officeDocument/2006/relationships/ctrlProp" Target="../ctrlProps/ctrlProp9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32.xml"/><Relationship Id="rId24" Type="http://schemas.openxmlformats.org/officeDocument/2006/relationships/ctrlProp" Target="../ctrlProps/ctrlProp27.xml"/><Relationship Id="rId40" Type="http://schemas.openxmlformats.org/officeDocument/2006/relationships/ctrlProp" Target="../ctrlProps/ctrlProp43.xml"/><Relationship Id="rId45" Type="http://schemas.openxmlformats.org/officeDocument/2006/relationships/ctrlProp" Target="../ctrlProps/ctrlProp48.xml"/><Relationship Id="rId66" Type="http://schemas.openxmlformats.org/officeDocument/2006/relationships/ctrlProp" Target="../ctrlProps/ctrlProp69.xml"/><Relationship Id="rId87" Type="http://schemas.openxmlformats.org/officeDocument/2006/relationships/ctrlProp" Target="../ctrlProps/ctrlProp90.xml"/><Relationship Id="rId110" Type="http://schemas.openxmlformats.org/officeDocument/2006/relationships/ctrlProp" Target="../ctrlProps/ctrlProp113.xml"/><Relationship Id="rId115" Type="http://schemas.openxmlformats.org/officeDocument/2006/relationships/ctrlProp" Target="../ctrlProps/ctrlProp118.xml"/><Relationship Id="rId131" Type="http://schemas.openxmlformats.org/officeDocument/2006/relationships/ctrlProp" Target="../ctrlProps/ctrlProp134.xml"/><Relationship Id="rId136" Type="http://schemas.openxmlformats.org/officeDocument/2006/relationships/ctrlProp" Target="../ctrlProps/ctrlProp139.xml"/><Relationship Id="rId61" Type="http://schemas.openxmlformats.org/officeDocument/2006/relationships/ctrlProp" Target="../ctrlProps/ctrlProp64.xml"/><Relationship Id="rId82" Type="http://schemas.openxmlformats.org/officeDocument/2006/relationships/ctrlProp" Target="../ctrlProps/ctrlProp85.xml"/><Relationship Id="rId19" Type="http://schemas.openxmlformats.org/officeDocument/2006/relationships/ctrlProp" Target="../ctrlProps/ctrlProp22.xml"/><Relationship Id="rId14" Type="http://schemas.openxmlformats.org/officeDocument/2006/relationships/ctrlProp" Target="../ctrlProps/ctrlProp17.xml"/><Relationship Id="rId30" Type="http://schemas.openxmlformats.org/officeDocument/2006/relationships/ctrlProp" Target="../ctrlProps/ctrlProp33.xml"/><Relationship Id="rId35" Type="http://schemas.openxmlformats.org/officeDocument/2006/relationships/ctrlProp" Target="../ctrlProps/ctrlProp38.xml"/><Relationship Id="rId56" Type="http://schemas.openxmlformats.org/officeDocument/2006/relationships/ctrlProp" Target="../ctrlProps/ctrlProp59.xml"/><Relationship Id="rId77" Type="http://schemas.openxmlformats.org/officeDocument/2006/relationships/ctrlProp" Target="../ctrlProps/ctrlProp80.xml"/><Relationship Id="rId100" Type="http://schemas.openxmlformats.org/officeDocument/2006/relationships/ctrlProp" Target="../ctrlProps/ctrlProp103.xml"/><Relationship Id="rId105" Type="http://schemas.openxmlformats.org/officeDocument/2006/relationships/ctrlProp" Target="../ctrlProps/ctrlProp108.xml"/><Relationship Id="rId126" Type="http://schemas.openxmlformats.org/officeDocument/2006/relationships/ctrlProp" Target="../ctrlProps/ctrlProp129.xml"/><Relationship Id="rId8" Type="http://schemas.openxmlformats.org/officeDocument/2006/relationships/ctrlProp" Target="../ctrlProps/ctrlProp11.xml"/><Relationship Id="rId51" Type="http://schemas.openxmlformats.org/officeDocument/2006/relationships/ctrlProp" Target="../ctrlProps/ctrlProp54.xml"/><Relationship Id="rId72" Type="http://schemas.openxmlformats.org/officeDocument/2006/relationships/ctrlProp" Target="../ctrlProps/ctrlProp75.xml"/><Relationship Id="rId93" Type="http://schemas.openxmlformats.org/officeDocument/2006/relationships/ctrlProp" Target="../ctrlProps/ctrlProp96.xml"/><Relationship Id="rId98" Type="http://schemas.openxmlformats.org/officeDocument/2006/relationships/ctrlProp" Target="../ctrlProps/ctrlProp101.xml"/><Relationship Id="rId121" Type="http://schemas.openxmlformats.org/officeDocument/2006/relationships/ctrlProp" Target="../ctrlProps/ctrlProp124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28.xml"/><Relationship Id="rId46" Type="http://schemas.openxmlformats.org/officeDocument/2006/relationships/ctrlProp" Target="../ctrlProps/ctrlProp49.xml"/><Relationship Id="rId67" Type="http://schemas.openxmlformats.org/officeDocument/2006/relationships/ctrlProp" Target="../ctrlProps/ctrlProp70.xml"/><Relationship Id="rId116" Type="http://schemas.openxmlformats.org/officeDocument/2006/relationships/ctrlProp" Target="../ctrlProps/ctrlProp119.xml"/><Relationship Id="rId137" Type="http://schemas.openxmlformats.org/officeDocument/2006/relationships/ctrlProp" Target="../ctrlProps/ctrlProp140.xml"/><Relationship Id="rId20" Type="http://schemas.openxmlformats.org/officeDocument/2006/relationships/ctrlProp" Target="../ctrlProps/ctrlProp23.xml"/><Relationship Id="rId41" Type="http://schemas.openxmlformats.org/officeDocument/2006/relationships/ctrlProp" Target="../ctrlProps/ctrlProp44.xml"/><Relationship Id="rId62" Type="http://schemas.openxmlformats.org/officeDocument/2006/relationships/ctrlProp" Target="../ctrlProps/ctrlProp65.xml"/><Relationship Id="rId83" Type="http://schemas.openxmlformats.org/officeDocument/2006/relationships/ctrlProp" Target="../ctrlProps/ctrlProp86.xml"/><Relationship Id="rId88" Type="http://schemas.openxmlformats.org/officeDocument/2006/relationships/ctrlProp" Target="../ctrlProps/ctrlProp91.xml"/><Relationship Id="rId111" Type="http://schemas.openxmlformats.org/officeDocument/2006/relationships/ctrlProp" Target="../ctrlProps/ctrlProp114.xml"/><Relationship Id="rId132" Type="http://schemas.openxmlformats.org/officeDocument/2006/relationships/ctrlProp" Target="../ctrlProps/ctrlProp135.xml"/><Relationship Id="rId15" Type="http://schemas.openxmlformats.org/officeDocument/2006/relationships/ctrlProp" Target="../ctrlProps/ctrlProp18.xml"/><Relationship Id="rId36" Type="http://schemas.openxmlformats.org/officeDocument/2006/relationships/ctrlProp" Target="../ctrlProps/ctrlProp39.xml"/><Relationship Id="rId57" Type="http://schemas.openxmlformats.org/officeDocument/2006/relationships/ctrlProp" Target="../ctrlProps/ctrlProp60.xml"/><Relationship Id="rId106" Type="http://schemas.openxmlformats.org/officeDocument/2006/relationships/ctrlProp" Target="../ctrlProps/ctrlProp109.xml"/><Relationship Id="rId127" Type="http://schemas.openxmlformats.org/officeDocument/2006/relationships/ctrlProp" Target="../ctrlProps/ctrlProp130.xml"/><Relationship Id="rId10" Type="http://schemas.openxmlformats.org/officeDocument/2006/relationships/ctrlProp" Target="../ctrlProps/ctrlProp13.xml"/><Relationship Id="rId31" Type="http://schemas.openxmlformats.org/officeDocument/2006/relationships/ctrlProp" Target="../ctrlProps/ctrlProp34.xml"/><Relationship Id="rId52" Type="http://schemas.openxmlformats.org/officeDocument/2006/relationships/ctrlProp" Target="../ctrlProps/ctrlProp55.xml"/><Relationship Id="rId73" Type="http://schemas.openxmlformats.org/officeDocument/2006/relationships/ctrlProp" Target="../ctrlProps/ctrlProp76.xml"/><Relationship Id="rId78" Type="http://schemas.openxmlformats.org/officeDocument/2006/relationships/ctrlProp" Target="../ctrlProps/ctrlProp81.xml"/><Relationship Id="rId94" Type="http://schemas.openxmlformats.org/officeDocument/2006/relationships/ctrlProp" Target="../ctrlProps/ctrlProp97.xml"/><Relationship Id="rId99" Type="http://schemas.openxmlformats.org/officeDocument/2006/relationships/ctrlProp" Target="../ctrlProps/ctrlProp102.xml"/><Relationship Id="rId101" Type="http://schemas.openxmlformats.org/officeDocument/2006/relationships/ctrlProp" Target="../ctrlProps/ctrlProp104.xml"/><Relationship Id="rId122" Type="http://schemas.openxmlformats.org/officeDocument/2006/relationships/ctrlProp" Target="../ctrlProps/ctrlProp125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26" Type="http://schemas.openxmlformats.org/officeDocument/2006/relationships/ctrlProp" Target="../ctrlProps/ctrlProp29.xml"/><Relationship Id="rId47" Type="http://schemas.openxmlformats.org/officeDocument/2006/relationships/ctrlProp" Target="../ctrlProps/ctrlProp50.xml"/><Relationship Id="rId68" Type="http://schemas.openxmlformats.org/officeDocument/2006/relationships/ctrlProp" Target="../ctrlProps/ctrlProp71.xml"/><Relationship Id="rId89" Type="http://schemas.openxmlformats.org/officeDocument/2006/relationships/ctrlProp" Target="../ctrlProps/ctrlProp92.xml"/><Relationship Id="rId112" Type="http://schemas.openxmlformats.org/officeDocument/2006/relationships/ctrlProp" Target="../ctrlProps/ctrlProp115.xml"/><Relationship Id="rId133" Type="http://schemas.openxmlformats.org/officeDocument/2006/relationships/ctrlProp" Target="../ctrlProps/ctrlProp13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6.xml"/><Relationship Id="rId21" Type="http://schemas.openxmlformats.org/officeDocument/2006/relationships/ctrlProp" Target="../ctrlProps/ctrlProp161.xml"/><Relationship Id="rId42" Type="http://schemas.openxmlformats.org/officeDocument/2006/relationships/ctrlProp" Target="../ctrlProps/ctrlProp182.xml"/><Relationship Id="rId47" Type="http://schemas.openxmlformats.org/officeDocument/2006/relationships/ctrlProp" Target="../ctrlProps/ctrlProp187.xml"/><Relationship Id="rId63" Type="http://schemas.openxmlformats.org/officeDocument/2006/relationships/ctrlProp" Target="../ctrlProps/ctrlProp203.xml"/><Relationship Id="rId68" Type="http://schemas.openxmlformats.org/officeDocument/2006/relationships/ctrlProp" Target="../ctrlProps/ctrlProp208.xml"/><Relationship Id="rId84" Type="http://schemas.openxmlformats.org/officeDocument/2006/relationships/ctrlProp" Target="../ctrlProps/ctrlProp224.xml"/><Relationship Id="rId89" Type="http://schemas.openxmlformats.org/officeDocument/2006/relationships/ctrlProp" Target="../ctrlProps/ctrlProp229.xml"/><Relationship Id="rId16" Type="http://schemas.openxmlformats.org/officeDocument/2006/relationships/ctrlProp" Target="../ctrlProps/ctrlProp156.xml"/><Relationship Id="rId107" Type="http://schemas.openxmlformats.org/officeDocument/2006/relationships/ctrlProp" Target="../ctrlProps/ctrlProp247.xml"/><Relationship Id="rId11" Type="http://schemas.openxmlformats.org/officeDocument/2006/relationships/ctrlProp" Target="../ctrlProps/ctrlProp151.xml"/><Relationship Id="rId32" Type="http://schemas.openxmlformats.org/officeDocument/2006/relationships/ctrlProp" Target="../ctrlProps/ctrlProp172.xml"/><Relationship Id="rId37" Type="http://schemas.openxmlformats.org/officeDocument/2006/relationships/ctrlProp" Target="../ctrlProps/ctrlProp177.xml"/><Relationship Id="rId53" Type="http://schemas.openxmlformats.org/officeDocument/2006/relationships/ctrlProp" Target="../ctrlProps/ctrlProp193.xml"/><Relationship Id="rId58" Type="http://schemas.openxmlformats.org/officeDocument/2006/relationships/ctrlProp" Target="../ctrlProps/ctrlProp198.xml"/><Relationship Id="rId74" Type="http://schemas.openxmlformats.org/officeDocument/2006/relationships/ctrlProp" Target="../ctrlProps/ctrlProp214.xml"/><Relationship Id="rId79" Type="http://schemas.openxmlformats.org/officeDocument/2006/relationships/ctrlProp" Target="../ctrlProps/ctrlProp219.xml"/><Relationship Id="rId102" Type="http://schemas.openxmlformats.org/officeDocument/2006/relationships/ctrlProp" Target="../ctrlProps/ctrlProp242.xml"/><Relationship Id="rId5" Type="http://schemas.openxmlformats.org/officeDocument/2006/relationships/ctrlProp" Target="../ctrlProps/ctrlProp145.xml"/><Relationship Id="rId90" Type="http://schemas.openxmlformats.org/officeDocument/2006/relationships/ctrlProp" Target="../ctrlProps/ctrlProp230.xml"/><Relationship Id="rId95" Type="http://schemas.openxmlformats.org/officeDocument/2006/relationships/ctrlProp" Target="../ctrlProps/ctrlProp235.xml"/><Relationship Id="rId22" Type="http://schemas.openxmlformats.org/officeDocument/2006/relationships/ctrlProp" Target="../ctrlProps/ctrlProp162.xml"/><Relationship Id="rId27" Type="http://schemas.openxmlformats.org/officeDocument/2006/relationships/ctrlProp" Target="../ctrlProps/ctrlProp167.xml"/><Relationship Id="rId43" Type="http://schemas.openxmlformats.org/officeDocument/2006/relationships/ctrlProp" Target="../ctrlProps/ctrlProp183.xml"/><Relationship Id="rId48" Type="http://schemas.openxmlformats.org/officeDocument/2006/relationships/ctrlProp" Target="../ctrlProps/ctrlProp188.xml"/><Relationship Id="rId64" Type="http://schemas.openxmlformats.org/officeDocument/2006/relationships/ctrlProp" Target="../ctrlProps/ctrlProp204.xml"/><Relationship Id="rId69" Type="http://schemas.openxmlformats.org/officeDocument/2006/relationships/ctrlProp" Target="../ctrlProps/ctrlProp209.xml"/><Relationship Id="rId80" Type="http://schemas.openxmlformats.org/officeDocument/2006/relationships/ctrlProp" Target="../ctrlProps/ctrlProp220.xml"/><Relationship Id="rId85" Type="http://schemas.openxmlformats.org/officeDocument/2006/relationships/ctrlProp" Target="../ctrlProps/ctrlProp225.xml"/><Relationship Id="rId12" Type="http://schemas.openxmlformats.org/officeDocument/2006/relationships/ctrlProp" Target="../ctrlProps/ctrlProp152.xml"/><Relationship Id="rId17" Type="http://schemas.openxmlformats.org/officeDocument/2006/relationships/ctrlProp" Target="../ctrlProps/ctrlProp157.xml"/><Relationship Id="rId33" Type="http://schemas.openxmlformats.org/officeDocument/2006/relationships/ctrlProp" Target="../ctrlProps/ctrlProp173.xml"/><Relationship Id="rId38" Type="http://schemas.openxmlformats.org/officeDocument/2006/relationships/ctrlProp" Target="../ctrlProps/ctrlProp178.xml"/><Relationship Id="rId59" Type="http://schemas.openxmlformats.org/officeDocument/2006/relationships/ctrlProp" Target="../ctrlProps/ctrlProp199.xml"/><Relationship Id="rId103" Type="http://schemas.openxmlformats.org/officeDocument/2006/relationships/ctrlProp" Target="../ctrlProps/ctrlProp243.xml"/><Relationship Id="rId108" Type="http://schemas.openxmlformats.org/officeDocument/2006/relationships/ctrlProp" Target="../ctrlProps/ctrlProp248.xml"/><Relationship Id="rId20" Type="http://schemas.openxmlformats.org/officeDocument/2006/relationships/ctrlProp" Target="../ctrlProps/ctrlProp160.xml"/><Relationship Id="rId41" Type="http://schemas.openxmlformats.org/officeDocument/2006/relationships/ctrlProp" Target="../ctrlProps/ctrlProp181.xml"/><Relationship Id="rId54" Type="http://schemas.openxmlformats.org/officeDocument/2006/relationships/ctrlProp" Target="../ctrlProps/ctrlProp194.xml"/><Relationship Id="rId62" Type="http://schemas.openxmlformats.org/officeDocument/2006/relationships/ctrlProp" Target="../ctrlProps/ctrlProp202.xml"/><Relationship Id="rId70" Type="http://schemas.openxmlformats.org/officeDocument/2006/relationships/ctrlProp" Target="../ctrlProps/ctrlProp210.xml"/><Relationship Id="rId75" Type="http://schemas.openxmlformats.org/officeDocument/2006/relationships/ctrlProp" Target="../ctrlProps/ctrlProp215.xml"/><Relationship Id="rId83" Type="http://schemas.openxmlformats.org/officeDocument/2006/relationships/ctrlProp" Target="../ctrlProps/ctrlProp223.xml"/><Relationship Id="rId88" Type="http://schemas.openxmlformats.org/officeDocument/2006/relationships/ctrlProp" Target="../ctrlProps/ctrlProp228.xml"/><Relationship Id="rId91" Type="http://schemas.openxmlformats.org/officeDocument/2006/relationships/ctrlProp" Target="../ctrlProps/ctrlProp231.xml"/><Relationship Id="rId96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6.xml"/><Relationship Id="rId15" Type="http://schemas.openxmlformats.org/officeDocument/2006/relationships/ctrlProp" Target="../ctrlProps/ctrlProp155.xml"/><Relationship Id="rId23" Type="http://schemas.openxmlformats.org/officeDocument/2006/relationships/ctrlProp" Target="../ctrlProps/ctrlProp163.xml"/><Relationship Id="rId28" Type="http://schemas.openxmlformats.org/officeDocument/2006/relationships/ctrlProp" Target="../ctrlProps/ctrlProp168.xml"/><Relationship Id="rId36" Type="http://schemas.openxmlformats.org/officeDocument/2006/relationships/ctrlProp" Target="../ctrlProps/ctrlProp176.xml"/><Relationship Id="rId49" Type="http://schemas.openxmlformats.org/officeDocument/2006/relationships/ctrlProp" Target="../ctrlProps/ctrlProp189.xml"/><Relationship Id="rId57" Type="http://schemas.openxmlformats.org/officeDocument/2006/relationships/ctrlProp" Target="../ctrlProps/ctrlProp197.xml"/><Relationship Id="rId106" Type="http://schemas.openxmlformats.org/officeDocument/2006/relationships/ctrlProp" Target="../ctrlProps/ctrlProp246.xml"/><Relationship Id="rId10" Type="http://schemas.openxmlformats.org/officeDocument/2006/relationships/ctrlProp" Target="../ctrlProps/ctrlProp150.xml"/><Relationship Id="rId31" Type="http://schemas.openxmlformats.org/officeDocument/2006/relationships/ctrlProp" Target="../ctrlProps/ctrlProp171.xml"/><Relationship Id="rId44" Type="http://schemas.openxmlformats.org/officeDocument/2006/relationships/ctrlProp" Target="../ctrlProps/ctrlProp184.xml"/><Relationship Id="rId52" Type="http://schemas.openxmlformats.org/officeDocument/2006/relationships/ctrlProp" Target="../ctrlProps/ctrlProp192.xml"/><Relationship Id="rId60" Type="http://schemas.openxmlformats.org/officeDocument/2006/relationships/ctrlProp" Target="../ctrlProps/ctrlProp200.xml"/><Relationship Id="rId65" Type="http://schemas.openxmlformats.org/officeDocument/2006/relationships/ctrlProp" Target="../ctrlProps/ctrlProp205.xml"/><Relationship Id="rId73" Type="http://schemas.openxmlformats.org/officeDocument/2006/relationships/ctrlProp" Target="../ctrlProps/ctrlProp213.xml"/><Relationship Id="rId78" Type="http://schemas.openxmlformats.org/officeDocument/2006/relationships/ctrlProp" Target="../ctrlProps/ctrlProp218.xml"/><Relationship Id="rId81" Type="http://schemas.openxmlformats.org/officeDocument/2006/relationships/ctrlProp" Target="../ctrlProps/ctrlProp221.xml"/><Relationship Id="rId86" Type="http://schemas.openxmlformats.org/officeDocument/2006/relationships/ctrlProp" Target="../ctrlProps/ctrlProp226.xml"/><Relationship Id="rId94" Type="http://schemas.openxmlformats.org/officeDocument/2006/relationships/ctrlProp" Target="../ctrlProps/ctrlProp234.xml"/><Relationship Id="rId99" Type="http://schemas.openxmlformats.org/officeDocument/2006/relationships/ctrlProp" Target="../ctrlProps/ctrlProp239.xml"/><Relationship Id="rId101" Type="http://schemas.openxmlformats.org/officeDocument/2006/relationships/ctrlProp" Target="../ctrlProps/ctrlProp241.xml"/><Relationship Id="rId4" Type="http://schemas.openxmlformats.org/officeDocument/2006/relationships/ctrlProp" Target="../ctrlProps/ctrlProp144.xml"/><Relationship Id="rId9" Type="http://schemas.openxmlformats.org/officeDocument/2006/relationships/ctrlProp" Target="../ctrlProps/ctrlProp149.xml"/><Relationship Id="rId13" Type="http://schemas.openxmlformats.org/officeDocument/2006/relationships/ctrlProp" Target="../ctrlProps/ctrlProp153.xml"/><Relationship Id="rId18" Type="http://schemas.openxmlformats.org/officeDocument/2006/relationships/ctrlProp" Target="../ctrlProps/ctrlProp158.xml"/><Relationship Id="rId39" Type="http://schemas.openxmlformats.org/officeDocument/2006/relationships/ctrlProp" Target="../ctrlProps/ctrlProp179.xml"/><Relationship Id="rId34" Type="http://schemas.openxmlformats.org/officeDocument/2006/relationships/ctrlProp" Target="../ctrlProps/ctrlProp174.xml"/><Relationship Id="rId50" Type="http://schemas.openxmlformats.org/officeDocument/2006/relationships/ctrlProp" Target="../ctrlProps/ctrlProp190.xml"/><Relationship Id="rId55" Type="http://schemas.openxmlformats.org/officeDocument/2006/relationships/ctrlProp" Target="../ctrlProps/ctrlProp195.xml"/><Relationship Id="rId76" Type="http://schemas.openxmlformats.org/officeDocument/2006/relationships/ctrlProp" Target="../ctrlProps/ctrlProp216.xml"/><Relationship Id="rId97" Type="http://schemas.openxmlformats.org/officeDocument/2006/relationships/ctrlProp" Target="../ctrlProps/ctrlProp237.xml"/><Relationship Id="rId104" Type="http://schemas.openxmlformats.org/officeDocument/2006/relationships/ctrlProp" Target="../ctrlProps/ctrlProp244.xml"/><Relationship Id="rId7" Type="http://schemas.openxmlformats.org/officeDocument/2006/relationships/ctrlProp" Target="../ctrlProps/ctrlProp147.xml"/><Relationship Id="rId71" Type="http://schemas.openxmlformats.org/officeDocument/2006/relationships/ctrlProp" Target="../ctrlProps/ctrlProp211.xml"/><Relationship Id="rId92" Type="http://schemas.openxmlformats.org/officeDocument/2006/relationships/ctrlProp" Target="../ctrlProps/ctrlProp232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69.xml"/><Relationship Id="rId24" Type="http://schemas.openxmlformats.org/officeDocument/2006/relationships/ctrlProp" Target="../ctrlProps/ctrlProp164.xml"/><Relationship Id="rId40" Type="http://schemas.openxmlformats.org/officeDocument/2006/relationships/ctrlProp" Target="../ctrlProps/ctrlProp180.xml"/><Relationship Id="rId45" Type="http://schemas.openxmlformats.org/officeDocument/2006/relationships/ctrlProp" Target="../ctrlProps/ctrlProp185.xml"/><Relationship Id="rId66" Type="http://schemas.openxmlformats.org/officeDocument/2006/relationships/ctrlProp" Target="../ctrlProps/ctrlProp206.xml"/><Relationship Id="rId87" Type="http://schemas.openxmlformats.org/officeDocument/2006/relationships/ctrlProp" Target="../ctrlProps/ctrlProp227.xml"/><Relationship Id="rId61" Type="http://schemas.openxmlformats.org/officeDocument/2006/relationships/ctrlProp" Target="../ctrlProps/ctrlProp201.xml"/><Relationship Id="rId82" Type="http://schemas.openxmlformats.org/officeDocument/2006/relationships/ctrlProp" Target="../ctrlProps/ctrlProp222.xml"/><Relationship Id="rId19" Type="http://schemas.openxmlformats.org/officeDocument/2006/relationships/ctrlProp" Target="../ctrlProps/ctrlProp159.xml"/><Relationship Id="rId14" Type="http://schemas.openxmlformats.org/officeDocument/2006/relationships/ctrlProp" Target="../ctrlProps/ctrlProp154.xml"/><Relationship Id="rId30" Type="http://schemas.openxmlformats.org/officeDocument/2006/relationships/ctrlProp" Target="../ctrlProps/ctrlProp170.xml"/><Relationship Id="rId35" Type="http://schemas.openxmlformats.org/officeDocument/2006/relationships/ctrlProp" Target="../ctrlProps/ctrlProp175.xml"/><Relationship Id="rId56" Type="http://schemas.openxmlformats.org/officeDocument/2006/relationships/ctrlProp" Target="../ctrlProps/ctrlProp196.xml"/><Relationship Id="rId77" Type="http://schemas.openxmlformats.org/officeDocument/2006/relationships/ctrlProp" Target="../ctrlProps/ctrlProp217.xml"/><Relationship Id="rId100" Type="http://schemas.openxmlformats.org/officeDocument/2006/relationships/ctrlProp" Target="../ctrlProps/ctrlProp240.xml"/><Relationship Id="rId105" Type="http://schemas.openxmlformats.org/officeDocument/2006/relationships/ctrlProp" Target="../ctrlProps/ctrlProp245.xml"/><Relationship Id="rId8" Type="http://schemas.openxmlformats.org/officeDocument/2006/relationships/ctrlProp" Target="../ctrlProps/ctrlProp148.xml"/><Relationship Id="rId51" Type="http://schemas.openxmlformats.org/officeDocument/2006/relationships/ctrlProp" Target="../ctrlProps/ctrlProp191.xml"/><Relationship Id="rId72" Type="http://schemas.openxmlformats.org/officeDocument/2006/relationships/ctrlProp" Target="../ctrlProps/ctrlProp212.xml"/><Relationship Id="rId93" Type="http://schemas.openxmlformats.org/officeDocument/2006/relationships/ctrlProp" Target="../ctrlProps/ctrlProp233.xml"/><Relationship Id="rId98" Type="http://schemas.openxmlformats.org/officeDocument/2006/relationships/ctrlProp" Target="../ctrlProps/ctrlProp238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165.xml"/><Relationship Id="rId46" Type="http://schemas.openxmlformats.org/officeDocument/2006/relationships/ctrlProp" Target="../ctrlProps/ctrlProp186.xml"/><Relationship Id="rId67" Type="http://schemas.openxmlformats.org/officeDocument/2006/relationships/ctrlProp" Target="../ctrlProps/ctrlProp20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1.xml"/><Relationship Id="rId117" Type="http://schemas.openxmlformats.org/officeDocument/2006/relationships/ctrlProp" Target="../ctrlProps/ctrlProp362.xml"/><Relationship Id="rId21" Type="http://schemas.openxmlformats.org/officeDocument/2006/relationships/ctrlProp" Target="../ctrlProps/ctrlProp266.xml"/><Relationship Id="rId42" Type="http://schemas.openxmlformats.org/officeDocument/2006/relationships/ctrlProp" Target="../ctrlProps/ctrlProp287.xml"/><Relationship Id="rId47" Type="http://schemas.openxmlformats.org/officeDocument/2006/relationships/ctrlProp" Target="../ctrlProps/ctrlProp292.xml"/><Relationship Id="rId63" Type="http://schemas.openxmlformats.org/officeDocument/2006/relationships/ctrlProp" Target="../ctrlProps/ctrlProp308.xml"/><Relationship Id="rId68" Type="http://schemas.openxmlformats.org/officeDocument/2006/relationships/ctrlProp" Target="../ctrlProps/ctrlProp313.xml"/><Relationship Id="rId84" Type="http://schemas.openxmlformats.org/officeDocument/2006/relationships/ctrlProp" Target="../ctrlProps/ctrlProp329.xml"/><Relationship Id="rId89" Type="http://schemas.openxmlformats.org/officeDocument/2006/relationships/ctrlProp" Target="../ctrlProps/ctrlProp334.xml"/><Relationship Id="rId112" Type="http://schemas.openxmlformats.org/officeDocument/2006/relationships/ctrlProp" Target="../ctrlProps/ctrlProp357.xml"/><Relationship Id="rId16" Type="http://schemas.openxmlformats.org/officeDocument/2006/relationships/ctrlProp" Target="../ctrlProps/ctrlProp261.xml"/><Relationship Id="rId107" Type="http://schemas.openxmlformats.org/officeDocument/2006/relationships/ctrlProp" Target="../ctrlProps/ctrlProp352.xml"/><Relationship Id="rId11" Type="http://schemas.openxmlformats.org/officeDocument/2006/relationships/ctrlProp" Target="../ctrlProps/ctrlProp256.xml"/><Relationship Id="rId32" Type="http://schemas.openxmlformats.org/officeDocument/2006/relationships/ctrlProp" Target="../ctrlProps/ctrlProp277.xml"/><Relationship Id="rId37" Type="http://schemas.openxmlformats.org/officeDocument/2006/relationships/ctrlProp" Target="../ctrlProps/ctrlProp282.xml"/><Relationship Id="rId53" Type="http://schemas.openxmlformats.org/officeDocument/2006/relationships/ctrlProp" Target="../ctrlProps/ctrlProp298.xml"/><Relationship Id="rId58" Type="http://schemas.openxmlformats.org/officeDocument/2006/relationships/ctrlProp" Target="../ctrlProps/ctrlProp303.xml"/><Relationship Id="rId74" Type="http://schemas.openxmlformats.org/officeDocument/2006/relationships/ctrlProp" Target="../ctrlProps/ctrlProp319.xml"/><Relationship Id="rId79" Type="http://schemas.openxmlformats.org/officeDocument/2006/relationships/ctrlProp" Target="../ctrlProps/ctrlProp324.xml"/><Relationship Id="rId102" Type="http://schemas.openxmlformats.org/officeDocument/2006/relationships/ctrlProp" Target="../ctrlProps/ctrlProp347.xml"/><Relationship Id="rId123" Type="http://schemas.openxmlformats.org/officeDocument/2006/relationships/ctrlProp" Target="../ctrlProps/ctrlProp368.xml"/><Relationship Id="rId5" Type="http://schemas.openxmlformats.org/officeDocument/2006/relationships/ctrlProp" Target="../ctrlProps/ctrlProp250.xml"/><Relationship Id="rId90" Type="http://schemas.openxmlformats.org/officeDocument/2006/relationships/ctrlProp" Target="../ctrlProps/ctrlProp335.xml"/><Relationship Id="rId95" Type="http://schemas.openxmlformats.org/officeDocument/2006/relationships/ctrlProp" Target="../ctrlProps/ctrlProp340.xml"/><Relationship Id="rId22" Type="http://schemas.openxmlformats.org/officeDocument/2006/relationships/ctrlProp" Target="../ctrlProps/ctrlProp267.xml"/><Relationship Id="rId27" Type="http://schemas.openxmlformats.org/officeDocument/2006/relationships/ctrlProp" Target="../ctrlProps/ctrlProp272.xml"/><Relationship Id="rId43" Type="http://schemas.openxmlformats.org/officeDocument/2006/relationships/ctrlProp" Target="../ctrlProps/ctrlProp288.xml"/><Relationship Id="rId48" Type="http://schemas.openxmlformats.org/officeDocument/2006/relationships/ctrlProp" Target="../ctrlProps/ctrlProp293.xml"/><Relationship Id="rId64" Type="http://schemas.openxmlformats.org/officeDocument/2006/relationships/ctrlProp" Target="../ctrlProps/ctrlProp309.xml"/><Relationship Id="rId69" Type="http://schemas.openxmlformats.org/officeDocument/2006/relationships/ctrlProp" Target="../ctrlProps/ctrlProp314.xml"/><Relationship Id="rId113" Type="http://schemas.openxmlformats.org/officeDocument/2006/relationships/ctrlProp" Target="../ctrlProps/ctrlProp358.xml"/><Relationship Id="rId118" Type="http://schemas.openxmlformats.org/officeDocument/2006/relationships/ctrlProp" Target="../ctrlProps/ctrlProp363.xml"/><Relationship Id="rId80" Type="http://schemas.openxmlformats.org/officeDocument/2006/relationships/ctrlProp" Target="../ctrlProps/ctrlProp325.xml"/><Relationship Id="rId85" Type="http://schemas.openxmlformats.org/officeDocument/2006/relationships/ctrlProp" Target="../ctrlProps/ctrlProp330.xml"/><Relationship Id="rId12" Type="http://schemas.openxmlformats.org/officeDocument/2006/relationships/ctrlProp" Target="../ctrlProps/ctrlProp257.xml"/><Relationship Id="rId17" Type="http://schemas.openxmlformats.org/officeDocument/2006/relationships/ctrlProp" Target="../ctrlProps/ctrlProp262.xml"/><Relationship Id="rId33" Type="http://schemas.openxmlformats.org/officeDocument/2006/relationships/ctrlProp" Target="../ctrlProps/ctrlProp278.xml"/><Relationship Id="rId38" Type="http://schemas.openxmlformats.org/officeDocument/2006/relationships/ctrlProp" Target="../ctrlProps/ctrlProp283.xml"/><Relationship Id="rId59" Type="http://schemas.openxmlformats.org/officeDocument/2006/relationships/ctrlProp" Target="../ctrlProps/ctrlProp304.xml"/><Relationship Id="rId103" Type="http://schemas.openxmlformats.org/officeDocument/2006/relationships/ctrlProp" Target="../ctrlProps/ctrlProp348.xml"/><Relationship Id="rId108" Type="http://schemas.openxmlformats.org/officeDocument/2006/relationships/ctrlProp" Target="../ctrlProps/ctrlProp353.xml"/><Relationship Id="rId124" Type="http://schemas.openxmlformats.org/officeDocument/2006/relationships/ctrlProp" Target="../ctrlProps/ctrlProp369.xml"/><Relationship Id="rId54" Type="http://schemas.openxmlformats.org/officeDocument/2006/relationships/ctrlProp" Target="../ctrlProps/ctrlProp299.xml"/><Relationship Id="rId70" Type="http://schemas.openxmlformats.org/officeDocument/2006/relationships/ctrlProp" Target="../ctrlProps/ctrlProp315.xml"/><Relationship Id="rId75" Type="http://schemas.openxmlformats.org/officeDocument/2006/relationships/ctrlProp" Target="../ctrlProps/ctrlProp320.xml"/><Relationship Id="rId91" Type="http://schemas.openxmlformats.org/officeDocument/2006/relationships/ctrlProp" Target="../ctrlProps/ctrlProp336.xml"/><Relationship Id="rId96" Type="http://schemas.openxmlformats.org/officeDocument/2006/relationships/ctrlProp" Target="../ctrlProps/ctrlProp34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1.xml"/><Relationship Id="rId23" Type="http://schemas.openxmlformats.org/officeDocument/2006/relationships/ctrlProp" Target="../ctrlProps/ctrlProp268.xml"/><Relationship Id="rId28" Type="http://schemas.openxmlformats.org/officeDocument/2006/relationships/ctrlProp" Target="../ctrlProps/ctrlProp273.xml"/><Relationship Id="rId49" Type="http://schemas.openxmlformats.org/officeDocument/2006/relationships/ctrlProp" Target="../ctrlProps/ctrlProp294.xml"/><Relationship Id="rId114" Type="http://schemas.openxmlformats.org/officeDocument/2006/relationships/ctrlProp" Target="../ctrlProps/ctrlProp359.xml"/><Relationship Id="rId119" Type="http://schemas.openxmlformats.org/officeDocument/2006/relationships/ctrlProp" Target="../ctrlProps/ctrlProp364.xml"/><Relationship Id="rId44" Type="http://schemas.openxmlformats.org/officeDocument/2006/relationships/ctrlProp" Target="../ctrlProps/ctrlProp289.xml"/><Relationship Id="rId60" Type="http://schemas.openxmlformats.org/officeDocument/2006/relationships/ctrlProp" Target="../ctrlProps/ctrlProp305.xml"/><Relationship Id="rId65" Type="http://schemas.openxmlformats.org/officeDocument/2006/relationships/ctrlProp" Target="../ctrlProps/ctrlProp310.xml"/><Relationship Id="rId81" Type="http://schemas.openxmlformats.org/officeDocument/2006/relationships/ctrlProp" Target="../ctrlProps/ctrlProp326.xml"/><Relationship Id="rId86" Type="http://schemas.openxmlformats.org/officeDocument/2006/relationships/ctrlProp" Target="../ctrlProps/ctrlProp331.xml"/><Relationship Id="rId13" Type="http://schemas.openxmlformats.org/officeDocument/2006/relationships/ctrlProp" Target="../ctrlProps/ctrlProp258.xml"/><Relationship Id="rId18" Type="http://schemas.openxmlformats.org/officeDocument/2006/relationships/ctrlProp" Target="../ctrlProps/ctrlProp263.xml"/><Relationship Id="rId39" Type="http://schemas.openxmlformats.org/officeDocument/2006/relationships/ctrlProp" Target="../ctrlProps/ctrlProp284.xml"/><Relationship Id="rId109" Type="http://schemas.openxmlformats.org/officeDocument/2006/relationships/ctrlProp" Target="../ctrlProps/ctrlProp354.xml"/><Relationship Id="rId34" Type="http://schemas.openxmlformats.org/officeDocument/2006/relationships/ctrlProp" Target="../ctrlProps/ctrlProp279.xml"/><Relationship Id="rId50" Type="http://schemas.openxmlformats.org/officeDocument/2006/relationships/ctrlProp" Target="../ctrlProps/ctrlProp295.xml"/><Relationship Id="rId55" Type="http://schemas.openxmlformats.org/officeDocument/2006/relationships/ctrlProp" Target="../ctrlProps/ctrlProp300.xml"/><Relationship Id="rId76" Type="http://schemas.openxmlformats.org/officeDocument/2006/relationships/ctrlProp" Target="../ctrlProps/ctrlProp321.xml"/><Relationship Id="rId97" Type="http://schemas.openxmlformats.org/officeDocument/2006/relationships/ctrlProp" Target="../ctrlProps/ctrlProp342.xml"/><Relationship Id="rId104" Type="http://schemas.openxmlformats.org/officeDocument/2006/relationships/ctrlProp" Target="../ctrlProps/ctrlProp349.xml"/><Relationship Id="rId120" Type="http://schemas.openxmlformats.org/officeDocument/2006/relationships/ctrlProp" Target="../ctrlProps/ctrlProp365.xml"/><Relationship Id="rId125" Type="http://schemas.openxmlformats.org/officeDocument/2006/relationships/ctrlProp" Target="../ctrlProps/ctrlProp370.xml"/><Relationship Id="rId7" Type="http://schemas.openxmlformats.org/officeDocument/2006/relationships/ctrlProp" Target="../ctrlProps/ctrlProp252.xml"/><Relationship Id="rId71" Type="http://schemas.openxmlformats.org/officeDocument/2006/relationships/ctrlProp" Target="../ctrlProps/ctrlProp316.xml"/><Relationship Id="rId92" Type="http://schemas.openxmlformats.org/officeDocument/2006/relationships/ctrlProp" Target="../ctrlProps/ctrlProp337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274.xml"/><Relationship Id="rId24" Type="http://schemas.openxmlformats.org/officeDocument/2006/relationships/ctrlProp" Target="../ctrlProps/ctrlProp269.xml"/><Relationship Id="rId40" Type="http://schemas.openxmlformats.org/officeDocument/2006/relationships/ctrlProp" Target="../ctrlProps/ctrlProp285.xml"/><Relationship Id="rId45" Type="http://schemas.openxmlformats.org/officeDocument/2006/relationships/ctrlProp" Target="../ctrlProps/ctrlProp290.xml"/><Relationship Id="rId66" Type="http://schemas.openxmlformats.org/officeDocument/2006/relationships/ctrlProp" Target="../ctrlProps/ctrlProp311.xml"/><Relationship Id="rId87" Type="http://schemas.openxmlformats.org/officeDocument/2006/relationships/ctrlProp" Target="../ctrlProps/ctrlProp332.xml"/><Relationship Id="rId110" Type="http://schemas.openxmlformats.org/officeDocument/2006/relationships/ctrlProp" Target="../ctrlProps/ctrlProp355.xml"/><Relationship Id="rId115" Type="http://schemas.openxmlformats.org/officeDocument/2006/relationships/ctrlProp" Target="../ctrlProps/ctrlProp360.xml"/><Relationship Id="rId61" Type="http://schemas.openxmlformats.org/officeDocument/2006/relationships/ctrlProp" Target="../ctrlProps/ctrlProp306.xml"/><Relationship Id="rId82" Type="http://schemas.openxmlformats.org/officeDocument/2006/relationships/ctrlProp" Target="../ctrlProps/ctrlProp327.xml"/><Relationship Id="rId19" Type="http://schemas.openxmlformats.org/officeDocument/2006/relationships/ctrlProp" Target="../ctrlProps/ctrlProp264.xml"/><Relationship Id="rId14" Type="http://schemas.openxmlformats.org/officeDocument/2006/relationships/ctrlProp" Target="../ctrlProps/ctrlProp259.xml"/><Relationship Id="rId30" Type="http://schemas.openxmlformats.org/officeDocument/2006/relationships/ctrlProp" Target="../ctrlProps/ctrlProp275.xml"/><Relationship Id="rId35" Type="http://schemas.openxmlformats.org/officeDocument/2006/relationships/ctrlProp" Target="../ctrlProps/ctrlProp280.xml"/><Relationship Id="rId56" Type="http://schemas.openxmlformats.org/officeDocument/2006/relationships/ctrlProp" Target="../ctrlProps/ctrlProp301.xml"/><Relationship Id="rId77" Type="http://schemas.openxmlformats.org/officeDocument/2006/relationships/ctrlProp" Target="../ctrlProps/ctrlProp322.xml"/><Relationship Id="rId100" Type="http://schemas.openxmlformats.org/officeDocument/2006/relationships/ctrlProp" Target="../ctrlProps/ctrlProp345.xml"/><Relationship Id="rId105" Type="http://schemas.openxmlformats.org/officeDocument/2006/relationships/ctrlProp" Target="../ctrlProps/ctrlProp350.xml"/><Relationship Id="rId8" Type="http://schemas.openxmlformats.org/officeDocument/2006/relationships/ctrlProp" Target="../ctrlProps/ctrlProp253.xml"/><Relationship Id="rId51" Type="http://schemas.openxmlformats.org/officeDocument/2006/relationships/ctrlProp" Target="../ctrlProps/ctrlProp296.xml"/><Relationship Id="rId72" Type="http://schemas.openxmlformats.org/officeDocument/2006/relationships/ctrlProp" Target="../ctrlProps/ctrlProp317.xml"/><Relationship Id="rId93" Type="http://schemas.openxmlformats.org/officeDocument/2006/relationships/ctrlProp" Target="../ctrlProps/ctrlProp338.xml"/><Relationship Id="rId98" Type="http://schemas.openxmlformats.org/officeDocument/2006/relationships/ctrlProp" Target="../ctrlProps/ctrlProp343.xml"/><Relationship Id="rId121" Type="http://schemas.openxmlformats.org/officeDocument/2006/relationships/ctrlProp" Target="../ctrlProps/ctrlProp366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70.xml"/><Relationship Id="rId46" Type="http://schemas.openxmlformats.org/officeDocument/2006/relationships/ctrlProp" Target="../ctrlProps/ctrlProp291.xml"/><Relationship Id="rId67" Type="http://schemas.openxmlformats.org/officeDocument/2006/relationships/ctrlProp" Target="../ctrlProps/ctrlProp312.xml"/><Relationship Id="rId116" Type="http://schemas.openxmlformats.org/officeDocument/2006/relationships/ctrlProp" Target="../ctrlProps/ctrlProp361.xml"/><Relationship Id="rId20" Type="http://schemas.openxmlformats.org/officeDocument/2006/relationships/ctrlProp" Target="../ctrlProps/ctrlProp265.xml"/><Relationship Id="rId41" Type="http://schemas.openxmlformats.org/officeDocument/2006/relationships/ctrlProp" Target="../ctrlProps/ctrlProp286.xml"/><Relationship Id="rId62" Type="http://schemas.openxmlformats.org/officeDocument/2006/relationships/ctrlProp" Target="../ctrlProps/ctrlProp307.xml"/><Relationship Id="rId83" Type="http://schemas.openxmlformats.org/officeDocument/2006/relationships/ctrlProp" Target="../ctrlProps/ctrlProp328.xml"/><Relationship Id="rId88" Type="http://schemas.openxmlformats.org/officeDocument/2006/relationships/ctrlProp" Target="../ctrlProps/ctrlProp333.xml"/><Relationship Id="rId111" Type="http://schemas.openxmlformats.org/officeDocument/2006/relationships/ctrlProp" Target="../ctrlProps/ctrlProp356.xml"/><Relationship Id="rId15" Type="http://schemas.openxmlformats.org/officeDocument/2006/relationships/ctrlProp" Target="../ctrlProps/ctrlProp260.xml"/><Relationship Id="rId36" Type="http://schemas.openxmlformats.org/officeDocument/2006/relationships/ctrlProp" Target="../ctrlProps/ctrlProp281.xml"/><Relationship Id="rId57" Type="http://schemas.openxmlformats.org/officeDocument/2006/relationships/ctrlProp" Target="../ctrlProps/ctrlProp302.xml"/><Relationship Id="rId106" Type="http://schemas.openxmlformats.org/officeDocument/2006/relationships/ctrlProp" Target="../ctrlProps/ctrlProp351.xml"/><Relationship Id="rId10" Type="http://schemas.openxmlformats.org/officeDocument/2006/relationships/ctrlProp" Target="../ctrlProps/ctrlProp255.xml"/><Relationship Id="rId31" Type="http://schemas.openxmlformats.org/officeDocument/2006/relationships/ctrlProp" Target="../ctrlProps/ctrlProp276.xml"/><Relationship Id="rId52" Type="http://schemas.openxmlformats.org/officeDocument/2006/relationships/ctrlProp" Target="../ctrlProps/ctrlProp297.xml"/><Relationship Id="rId73" Type="http://schemas.openxmlformats.org/officeDocument/2006/relationships/ctrlProp" Target="../ctrlProps/ctrlProp318.xml"/><Relationship Id="rId78" Type="http://schemas.openxmlformats.org/officeDocument/2006/relationships/ctrlProp" Target="../ctrlProps/ctrlProp323.xml"/><Relationship Id="rId94" Type="http://schemas.openxmlformats.org/officeDocument/2006/relationships/ctrlProp" Target="../ctrlProps/ctrlProp339.xml"/><Relationship Id="rId99" Type="http://schemas.openxmlformats.org/officeDocument/2006/relationships/ctrlProp" Target="../ctrlProps/ctrlProp344.xml"/><Relationship Id="rId101" Type="http://schemas.openxmlformats.org/officeDocument/2006/relationships/ctrlProp" Target="../ctrlProps/ctrlProp346.xml"/><Relationship Id="rId122" Type="http://schemas.openxmlformats.org/officeDocument/2006/relationships/ctrlProp" Target="../ctrlProps/ctrlProp367.xml"/><Relationship Id="rId4" Type="http://schemas.openxmlformats.org/officeDocument/2006/relationships/ctrlProp" Target="../ctrlProps/ctrlProp249.xml"/><Relationship Id="rId9" Type="http://schemas.openxmlformats.org/officeDocument/2006/relationships/ctrlProp" Target="../ctrlProps/ctrlProp25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84.xml"/><Relationship Id="rId21" Type="http://schemas.openxmlformats.org/officeDocument/2006/relationships/ctrlProp" Target="../ctrlProps/ctrlProp388.xml"/><Relationship Id="rId42" Type="http://schemas.openxmlformats.org/officeDocument/2006/relationships/ctrlProp" Target="../ctrlProps/ctrlProp409.xml"/><Relationship Id="rId63" Type="http://schemas.openxmlformats.org/officeDocument/2006/relationships/ctrlProp" Target="../ctrlProps/ctrlProp430.xml"/><Relationship Id="rId84" Type="http://schemas.openxmlformats.org/officeDocument/2006/relationships/ctrlProp" Target="../ctrlProps/ctrlProp451.xml"/><Relationship Id="rId138" Type="http://schemas.openxmlformats.org/officeDocument/2006/relationships/ctrlProp" Target="../ctrlProps/ctrlProp505.xml"/><Relationship Id="rId16" Type="http://schemas.openxmlformats.org/officeDocument/2006/relationships/ctrlProp" Target="../ctrlProps/ctrlProp383.xml"/><Relationship Id="rId107" Type="http://schemas.openxmlformats.org/officeDocument/2006/relationships/ctrlProp" Target="../ctrlProps/ctrlProp474.xml"/><Relationship Id="rId11" Type="http://schemas.openxmlformats.org/officeDocument/2006/relationships/ctrlProp" Target="../ctrlProps/ctrlProp378.xml"/><Relationship Id="rId32" Type="http://schemas.openxmlformats.org/officeDocument/2006/relationships/ctrlProp" Target="../ctrlProps/ctrlProp399.xml"/><Relationship Id="rId37" Type="http://schemas.openxmlformats.org/officeDocument/2006/relationships/ctrlProp" Target="../ctrlProps/ctrlProp404.xml"/><Relationship Id="rId53" Type="http://schemas.openxmlformats.org/officeDocument/2006/relationships/ctrlProp" Target="../ctrlProps/ctrlProp420.xml"/><Relationship Id="rId58" Type="http://schemas.openxmlformats.org/officeDocument/2006/relationships/ctrlProp" Target="../ctrlProps/ctrlProp425.xml"/><Relationship Id="rId74" Type="http://schemas.openxmlformats.org/officeDocument/2006/relationships/ctrlProp" Target="../ctrlProps/ctrlProp441.xml"/><Relationship Id="rId79" Type="http://schemas.openxmlformats.org/officeDocument/2006/relationships/ctrlProp" Target="../ctrlProps/ctrlProp446.xml"/><Relationship Id="rId102" Type="http://schemas.openxmlformats.org/officeDocument/2006/relationships/ctrlProp" Target="../ctrlProps/ctrlProp469.xml"/><Relationship Id="rId123" Type="http://schemas.openxmlformats.org/officeDocument/2006/relationships/ctrlProp" Target="../ctrlProps/ctrlProp490.xml"/><Relationship Id="rId128" Type="http://schemas.openxmlformats.org/officeDocument/2006/relationships/ctrlProp" Target="../ctrlProps/ctrlProp495.xml"/><Relationship Id="rId5" Type="http://schemas.openxmlformats.org/officeDocument/2006/relationships/ctrlProp" Target="../ctrlProps/ctrlProp372.xml"/><Relationship Id="rId90" Type="http://schemas.openxmlformats.org/officeDocument/2006/relationships/ctrlProp" Target="../ctrlProps/ctrlProp457.xml"/><Relationship Id="rId95" Type="http://schemas.openxmlformats.org/officeDocument/2006/relationships/ctrlProp" Target="../ctrlProps/ctrlProp462.xml"/><Relationship Id="rId22" Type="http://schemas.openxmlformats.org/officeDocument/2006/relationships/ctrlProp" Target="../ctrlProps/ctrlProp389.xml"/><Relationship Id="rId27" Type="http://schemas.openxmlformats.org/officeDocument/2006/relationships/ctrlProp" Target="../ctrlProps/ctrlProp394.xml"/><Relationship Id="rId43" Type="http://schemas.openxmlformats.org/officeDocument/2006/relationships/ctrlProp" Target="../ctrlProps/ctrlProp410.xml"/><Relationship Id="rId48" Type="http://schemas.openxmlformats.org/officeDocument/2006/relationships/ctrlProp" Target="../ctrlProps/ctrlProp415.xml"/><Relationship Id="rId64" Type="http://schemas.openxmlformats.org/officeDocument/2006/relationships/ctrlProp" Target="../ctrlProps/ctrlProp431.xml"/><Relationship Id="rId69" Type="http://schemas.openxmlformats.org/officeDocument/2006/relationships/ctrlProp" Target="../ctrlProps/ctrlProp436.xml"/><Relationship Id="rId113" Type="http://schemas.openxmlformats.org/officeDocument/2006/relationships/ctrlProp" Target="../ctrlProps/ctrlProp480.xml"/><Relationship Id="rId118" Type="http://schemas.openxmlformats.org/officeDocument/2006/relationships/ctrlProp" Target="../ctrlProps/ctrlProp485.xml"/><Relationship Id="rId134" Type="http://schemas.openxmlformats.org/officeDocument/2006/relationships/ctrlProp" Target="../ctrlProps/ctrlProp501.xml"/><Relationship Id="rId80" Type="http://schemas.openxmlformats.org/officeDocument/2006/relationships/ctrlProp" Target="../ctrlProps/ctrlProp447.xml"/><Relationship Id="rId85" Type="http://schemas.openxmlformats.org/officeDocument/2006/relationships/ctrlProp" Target="../ctrlProps/ctrlProp452.xml"/><Relationship Id="rId12" Type="http://schemas.openxmlformats.org/officeDocument/2006/relationships/ctrlProp" Target="../ctrlProps/ctrlProp379.xml"/><Relationship Id="rId17" Type="http://schemas.openxmlformats.org/officeDocument/2006/relationships/ctrlProp" Target="../ctrlProps/ctrlProp384.xml"/><Relationship Id="rId33" Type="http://schemas.openxmlformats.org/officeDocument/2006/relationships/ctrlProp" Target="../ctrlProps/ctrlProp400.xml"/><Relationship Id="rId38" Type="http://schemas.openxmlformats.org/officeDocument/2006/relationships/ctrlProp" Target="../ctrlProps/ctrlProp405.xml"/><Relationship Id="rId59" Type="http://schemas.openxmlformats.org/officeDocument/2006/relationships/ctrlProp" Target="../ctrlProps/ctrlProp426.xml"/><Relationship Id="rId103" Type="http://schemas.openxmlformats.org/officeDocument/2006/relationships/ctrlProp" Target="../ctrlProps/ctrlProp470.xml"/><Relationship Id="rId108" Type="http://schemas.openxmlformats.org/officeDocument/2006/relationships/ctrlProp" Target="../ctrlProps/ctrlProp475.xml"/><Relationship Id="rId124" Type="http://schemas.openxmlformats.org/officeDocument/2006/relationships/ctrlProp" Target="../ctrlProps/ctrlProp491.xml"/><Relationship Id="rId129" Type="http://schemas.openxmlformats.org/officeDocument/2006/relationships/ctrlProp" Target="../ctrlProps/ctrlProp496.xml"/><Relationship Id="rId54" Type="http://schemas.openxmlformats.org/officeDocument/2006/relationships/ctrlProp" Target="../ctrlProps/ctrlProp421.xml"/><Relationship Id="rId70" Type="http://schemas.openxmlformats.org/officeDocument/2006/relationships/ctrlProp" Target="../ctrlProps/ctrlProp437.xml"/><Relationship Id="rId75" Type="http://schemas.openxmlformats.org/officeDocument/2006/relationships/ctrlProp" Target="../ctrlProps/ctrlProp442.xml"/><Relationship Id="rId91" Type="http://schemas.openxmlformats.org/officeDocument/2006/relationships/ctrlProp" Target="../ctrlProps/ctrlProp458.xml"/><Relationship Id="rId96" Type="http://schemas.openxmlformats.org/officeDocument/2006/relationships/ctrlProp" Target="../ctrlProps/ctrlProp46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73.xml"/><Relationship Id="rId23" Type="http://schemas.openxmlformats.org/officeDocument/2006/relationships/ctrlProp" Target="../ctrlProps/ctrlProp390.xml"/><Relationship Id="rId28" Type="http://schemas.openxmlformats.org/officeDocument/2006/relationships/ctrlProp" Target="../ctrlProps/ctrlProp395.xml"/><Relationship Id="rId49" Type="http://schemas.openxmlformats.org/officeDocument/2006/relationships/ctrlProp" Target="../ctrlProps/ctrlProp416.xml"/><Relationship Id="rId114" Type="http://schemas.openxmlformats.org/officeDocument/2006/relationships/ctrlProp" Target="../ctrlProps/ctrlProp481.xml"/><Relationship Id="rId119" Type="http://schemas.openxmlformats.org/officeDocument/2006/relationships/ctrlProp" Target="../ctrlProps/ctrlProp486.xml"/><Relationship Id="rId44" Type="http://schemas.openxmlformats.org/officeDocument/2006/relationships/ctrlProp" Target="../ctrlProps/ctrlProp411.xml"/><Relationship Id="rId60" Type="http://schemas.openxmlformats.org/officeDocument/2006/relationships/ctrlProp" Target="../ctrlProps/ctrlProp427.xml"/><Relationship Id="rId65" Type="http://schemas.openxmlformats.org/officeDocument/2006/relationships/ctrlProp" Target="../ctrlProps/ctrlProp432.xml"/><Relationship Id="rId81" Type="http://schemas.openxmlformats.org/officeDocument/2006/relationships/ctrlProp" Target="../ctrlProps/ctrlProp448.xml"/><Relationship Id="rId86" Type="http://schemas.openxmlformats.org/officeDocument/2006/relationships/ctrlProp" Target="../ctrlProps/ctrlProp453.xml"/><Relationship Id="rId130" Type="http://schemas.openxmlformats.org/officeDocument/2006/relationships/ctrlProp" Target="../ctrlProps/ctrlProp497.xml"/><Relationship Id="rId135" Type="http://schemas.openxmlformats.org/officeDocument/2006/relationships/ctrlProp" Target="../ctrlProps/ctrlProp502.xml"/><Relationship Id="rId13" Type="http://schemas.openxmlformats.org/officeDocument/2006/relationships/ctrlProp" Target="../ctrlProps/ctrlProp380.xml"/><Relationship Id="rId18" Type="http://schemas.openxmlformats.org/officeDocument/2006/relationships/ctrlProp" Target="../ctrlProps/ctrlProp385.xml"/><Relationship Id="rId39" Type="http://schemas.openxmlformats.org/officeDocument/2006/relationships/ctrlProp" Target="../ctrlProps/ctrlProp406.xml"/><Relationship Id="rId109" Type="http://schemas.openxmlformats.org/officeDocument/2006/relationships/ctrlProp" Target="../ctrlProps/ctrlProp476.xml"/><Relationship Id="rId34" Type="http://schemas.openxmlformats.org/officeDocument/2006/relationships/ctrlProp" Target="../ctrlProps/ctrlProp401.xml"/><Relationship Id="rId50" Type="http://schemas.openxmlformats.org/officeDocument/2006/relationships/ctrlProp" Target="../ctrlProps/ctrlProp417.xml"/><Relationship Id="rId55" Type="http://schemas.openxmlformats.org/officeDocument/2006/relationships/ctrlProp" Target="../ctrlProps/ctrlProp422.xml"/><Relationship Id="rId76" Type="http://schemas.openxmlformats.org/officeDocument/2006/relationships/ctrlProp" Target="../ctrlProps/ctrlProp443.xml"/><Relationship Id="rId97" Type="http://schemas.openxmlformats.org/officeDocument/2006/relationships/ctrlProp" Target="../ctrlProps/ctrlProp464.xml"/><Relationship Id="rId104" Type="http://schemas.openxmlformats.org/officeDocument/2006/relationships/ctrlProp" Target="../ctrlProps/ctrlProp471.xml"/><Relationship Id="rId120" Type="http://schemas.openxmlformats.org/officeDocument/2006/relationships/ctrlProp" Target="../ctrlProps/ctrlProp487.xml"/><Relationship Id="rId125" Type="http://schemas.openxmlformats.org/officeDocument/2006/relationships/ctrlProp" Target="../ctrlProps/ctrlProp492.xml"/><Relationship Id="rId7" Type="http://schemas.openxmlformats.org/officeDocument/2006/relationships/ctrlProp" Target="../ctrlProps/ctrlProp374.xml"/><Relationship Id="rId71" Type="http://schemas.openxmlformats.org/officeDocument/2006/relationships/ctrlProp" Target="../ctrlProps/ctrlProp438.xml"/><Relationship Id="rId92" Type="http://schemas.openxmlformats.org/officeDocument/2006/relationships/ctrlProp" Target="../ctrlProps/ctrlProp45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396.xml"/><Relationship Id="rId24" Type="http://schemas.openxmlformats.org/officeDocument/2006/relationships/ctrlProp" Target="../ctrlProps/ctrlProp391.xml"/><Relationship Id="rId40" Type="http://schemas.openxmlformats.org/officeDocument/2006/relationships/ctrlProp" Target="../ctrlProps/ctrlProp407.xml"/><Relationship Id="rId45" Type="http://schemas.openxmlformats.org/officeDocument/2006/relationships/ctrlProp" Target="../ctrlProps/ctrlProp412.xml"/><Relationship Id="rId66" Type="http://schemas.openxmlformats.org/officeDocument/2006/relationships/ctrlProp" Target="../ctrlProps/ctrlProp433.xml"/><Relationship Id="rId87" Type="http://schemas.openxmlformats.org/officeDocument/2006/relationships/ctrlProp" Target="../ctrlProps/ctrlProp454.xml"/><Relationship Id="rId110" Type="http://schemas.openxmlformats.org/officeDocument/2006/relationships/ctrlProp" Target="../ctrlProps/ctrlProp477.xml"/><Relationship Id="rId115" Type="http://schemas.openxmlformats.org/officeDocument/2006/relationships/ctrlProp" Target="../ctrlProps/ctrlProp482.xml"/><Relationship Id="rId131" Type="http://schemas.openxmlformats.org/officeDocument/2006/relationships/ctrlProp" Target="../ctrlProps/ctrlProp498.xml"/><Relationship Id="rId136" Type="http://schemas.openxmlformats.org/officeDocument/2006/relationships/ctrlProp" Target="../ctrlProps/ctrlProp503.xml"/><Relationship Id="rId61" Type="http://schemas.openxmlformats.org/officeDocument/2006/relationships/ctrlProp" Target="../ctrlProps/ctrlProp428.xml"/><Relationship Id="rId82" Type="http://schemas.openxmlformats.org/officeDocument/2006/relationships/ctrlProp" Target="../ctrlProps/ctrlProp449.xml"/><Relationship Id="rId19" Type="http://schemas.openxmlformats.org/officeDocument/2006/relationships/ctrlProp" Target="../ctrlProps/ctrlProp386.xml"/><Relationship Id="rId14" Type="http://schemas.openxmlformats.org/officeDocument/2006/relationships/ctrlProp" Target="../ctrlProps/ctrlProp381.xml"/><Relationship Id="rId30" Type="http://schemas.openxmlformats.org/officeDocument/2006/relationships/ctrlProp" Target="../ctrlProps/ctrlProp397.xml"/><Relationship Id="rId35" Type="http://schemas.openxmlformats.org/officeDocument/2006/relationships/ctrlProp" Target="../ctrlProps/ctrlProp402.xml"/><Relationship Id="rId56" Type="http://schemas.openxmlformats.org/officeDocument/2006/relationships/ctrlProp" Target="../ctrlProps/ctrlProp423.xml"/><Relationship Id="rId77" Type="http://schemas.openxmlformats.org/officeDocument/2006/relationships/ctrlProp" Target="../ctrlProps/ctrlProp444.xml"/><Relationship Id="rId100" Type="http://schemas.openxmlformats.org/officeDocument/2006/relationships/ctrlProp" Target="../ctrlProps/ctrlProp467.xml"/><Relationship Id="rId105" Type="http://schemas.openxmlformats.org/officeDocument/2006/relationships/ctrlProp" Target="../ctrlProps/ctrlProp472.xml"/><Relationship Id="rId126" Type="http://schemas.openxmlformats.org/officeDocument/2006/relationships/ctrlProp" Target="../ctrlProps/ctrlProp493.xml"/><Relationship Id="rId8" Type="http://schemas.openxmlformats.org/officeDocument/2006/relationships/ctrlProp" Target="../ctrlProps/ctrlProp375.xml"/><Relationship Id="rId51" Type="http://schemas.openxmlformats.org/officeDocument/2006/relationships/ctrlProp" Target="../ctrlProps/ctrlProp418.xml"/><Relationship Id="rId72" Type="http://schemas.openxmlformats.org/officeDocument/2006/relationships/ctrlProp" Target="../ctrlProps/ctrlProp439.xml"/><Relationship Id="rId93" Type="http://schemas.openxmlformats.org/officeDocument/2006/relationships/ctrlProp" Target="../ctrlProps/ctrlProp460.xml"/><Relationship Id="rId98" Type="http://schemas.openxmlformats.org/officeDocument/2006/relationships/ctrlProp" Target="../ctrlProps/ctrlProp465.xml"/><Relationship Id="rId121" Type="http://schemas.openxmlformats.org/officeDocument/2006/relationships/ctrlProp" Target="../ctrlProps/ctrlProp488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92.xml"/><Relationship Id="rId46" Type="http://schemas.openxmlformats.org/officeDocument/2006/relationships/ctrlProp" Target="../ctrlProps/ctrlProp413.xml"/><Relationship Id="rId67" Type="http://schemas.openxmlformats.org/officeDocument/2006/relationships/ctrlProp" Target="../ctrlProps/ctrlProp434.xml"/><Relationship Id="rId116" Type="http://schemas.openxmlformats.org/officeDocument/2006/relationships/ctrlProp" Target="../ctrlProps/ctrlProp483.xml"/><Relationship Id="rId137" Type="http://schemas.openxmlformats.org/officeDocument/2006/relationships/ctrlProp" Target="../ctrlProps/ctrlProp504.xml"/><Relationship Id="rId20" Type="http://schemas.openxmlformats.org/officeDocument/2006/relationships/ctrlProp" Target="../ctrlProps/ctrlProp387.xml"/><Relationship Id="rId41" Type="http://schemas.openxmlformats.org/officeDocument/2006/relationships/ctrlProp" Target="../ctrlProps/ctrlProp408.xml"/><Relationship Id="rId62" Type="http://schemas.openxmlformats.org/officeDocument/2006/relationships/ctrlProp" Target="../ctrlProps/ctrlProp429.xml"/><Relationship Id="rId83" Type="http://schemas.openxmlformats.org/officeDocument/2006/relationships/ctrlProp" Target="../ctrlProps/ctrlProp450.xml"/><Relationship Id="rId88" Type="http://schemas.openxmlformats.org/officeDocument/2006/relationships/ctrlProp" Target="../ctrlProps/ctrlProp455.xml"/><Relationship Id="rId111" Type="http://schemas.openxmlformats.org/officeDocument/2006/relationships/ctrlProp" Target="../ctrlProps/ctrlProp478.xml"/><Relationship Id="rId132" Type="http://schemas.openxmlformats.org/officeDocument/2006/relationships/ctrlProp" Target="../ctrlProps/ctrlProp499.xml"/><Relationship Id="rId15" Type="http://schemas.openxmlformats.org/officeDocument/2006/relationships/ctrlProp" Target="../ctrlProps/ctrlProp382.xml"/><Relationship Id="rId36" Type="http://schemas.openxmlformats.org/officeDocument/2006/relationships/ctrlProp" Target="../ctrlProps/ctrlProp403.xml"/><Relationship Id="rId57" Type="http://schemas.openxmlformats.org/officeDocument/2006/relationships/ctrlProp" Target="../ctrlProps/ctrlProp424.xml"/><Relationship Id="rId106" Type="http://schemas.openxmlformats.org/officeDocument/2006/relationships/ctrlProp" Target="../ctrlProps/ctrlProp473.xml"/><Relationship Id="rId127" Type="http://schemas.openxmlformats.org/officeDocument/2006/relationships/ctrlProp" Target="../ctrlProps/ctrlProp494.xml"/><Relationship Id="rId10" Type="http://schemas.openxmlformats.org/officeDocument/2006/relationships/ctrlProp" Target="../ctrlProps/ctrlProp377.xml"/><Relationship Id="rId31" Type="http://schemas.openxmlformats.org/officeDocument/2006/relationships/ctrlProp" Target="../ctrlProps/ctrlProp398.xml"/><Relationship Id="rId52" Type="http://schemas.openxmlformats.org/officeDocument/2006/relationships/ctrlProp" Target="../ctrlProps/ctrlProp419.xml"/><Relationship Id="rId73" Type="http://schemas.openxmlformats.org/officeDocument/2006/relationships/ctrlProp" Target="../ctrlProps/ctrlProp440.xml"/><Relationship Id="rId78" Type="http://schemas.openxmlformats.org/officeDocument/2006/relationships/ctrlProp" Target="../ctrlProps/ctrlProp445.xml"/><Relationship Id="rId94" Type="http://schemas.openxmlformats.org/officeDocument/2006/relationships/ctrlProp" Target="../ctrlProps/ctrlProp461.xml"/><Relationship Id="rId99" Type="http://schemas.openxmlformats.org/officeDocument/2006/relationships/ctrlProp" Target="../ctrlProps/ctrlProp466.xml"/><Relationship Id="rId101" Type="http://schemas.openxmlformats.org/officeDocument/2006/relationships/ctrlProp" Target="../ctrlProps/ctrlProp468.xml"/><Relationship Id="rId122" Type="http://schemas.openxmlformats.org/officeDocument/2006/relationships/ctrlProp" Target="../ctrlProps/ctrlProp489.xml"/><Relationship Id="rId4" Type="http://schemas.openxmlformats.org/officeDocument/2006/relationships/ctrlProp" Target="../ctrlProps/ctrlProp371.xml"/><Relationship Id="rId9" Type="http://schemas.openxmlformats.org/officeDocument/2006/relationships/ctrlProp" Target="../ctrlProps/ctrlProp376.xml"/><Relationship Id="rId26" Type="http://schemas.openxmlformats.org/officeDocument/2006/relationships/ctrlProp" Target="../ctrlProps/ctrlProp393.xml"/><Relationship Id="rId47" Type="http://schemas.openxmlformats.org/officeDocument/2006/relationships/ctrlProp" Target="../ctrlProps/ctrlProp414.xml"/><Relationship Id="rId68" Type="http://schemas.openxmlformats.org/officeDocument/2006/relationships/ctrlProp" Target="../ctrlProps/ctrlProp435.xml"/><Relationship Id="rId89" Type="http://schemas.openxmlformats.org/officeDocument/2006/relationships/ctrlProp" Target="../ctrlProps/ctrlProp456.xml"/><Relationship Id="rId112" Type="http://schemas.openxmlformats.org/officeDocument/2006/relationships/ctrlProp" Target="../ctrlProps/ctrlProp479.xml"/><Relationship Id="rId133" Type="http://schemas.openxmlformats.org/officeDocument/2006/relationships/ctrlProp" Target="../ctrlProps/ctrlProp500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28.xml"/><Relationship Id="rId21" Type="http://schemas.openxmlformats.org/officeDocument/2006/relationships/ctrlProp" Target="../ctrlProps/ctrlProp523.xml"/><Relationship Id="rId42" Type="http://schemas.openxmlformats.org/officeDocument/2006/relationships/ctrlProp" Target="../ctrlProps/ctrlProp544.xml"/><Relationship Id="rId47" Type="http://schemas.openxmlformats.org/officeDocument/2006/relationships/ctrlProp" Target="../ctrlProps/ctrlProp549.xml"/><Relationship Id="rId63" Type="http://schemas.openxmlformats.org/officeDocument/2006/relationships/ctrlProp" Target="../ctrlProps/ctrlProp565.xml"/><Relationship Id="rId68" Type="http://schemas.openxmlformats.org/officeDocument/2006/relationships/ctrlProp" Target="../ctrlProps/ctrlProp570.xml"/><Relationship Id="rId84" Type="http://schemas.openxmlformats.org/officeDocument/2006/relationships/ctrlProp" Target="../ctrlProps/ctrlProp586.xml"/><Relationship Id="rId89" Type="http://schemas.openxmlformats.org/officeDocument/2006/relationships/ctrlProp" Target="../ctrlProps/ctrlProp591.xml"/><Relationship Id="rId16" Type="http://schemas.openxmlformats.org/officeDocument/2006/relationships/ctrlProp" Target="../ctrlProps/ctrlProp518.xml"/><Relationship Id="rId107" Type="http://schemas.openxmlformats.org/officeDocument/2006/relationships/ctrlProp" Target="../ctrlProps/ctrlProp609.xml"/><Relationship Id="rId11" Type="http://schemas.openxmlformats.org/officeDocument/2006/relationships/ctrlProp" Target="../ctrlProps/ctrlProp513.xml"/><Relationship Id="rId32" Type="http://schemas.openxmlformats.org/officeDocument/2006/relationships/ctrlProp" Target="../ctrlProps/ctrlProp534.xml"/><Relationship Id="rId37" Type="http://schemas.openxmlformats.org/officeDocument/2006/relationships/ctrlProp" Target="../ctrlProps/ctrlProp539.xml"/><Relationship Id="rId53" Type="http://schemas.openxmlformats.org/officeDocument/2006/relationships/ctrlProp" Target="../ctrlProps/ctrlProp555.xml"/><Relationship Id="rId58" Type="http://schemas.openxmlformats.org/officeDocument/2006/relationships/ctrlProp" Target="../ctrlProps/ctrlProp560.xml"/><Relationship Id="rId74" Type="http://schemas.openxmlformats.org/officeDocument/2006/relationships/ctrlProp" Target="../ctrlProps/ctrlProp576.xml"/><Relationship Id="rId79" Type="http://schemas.openxmlformats.org/officeDocument/2006/relationships/ctrlProp" Target="../ctrlProps/ctrlProp581.xml"/><Relationship Id="rId102" Type="http://schemas.openxmlformats.org/officeDocument/2006/relationships/ctrlProp" Target="../ctrlProps/ctrlProp604.xml"/><Relationship Id="rId5" Type="http://schemas.openxmlformats.org/officeDocument/2006/relationships/ctrlProp" Target="../ctrlProps/ctrlProp507.xml"/><Relationship Id="rId90" Type="http://schemas.openxmlformats.org/officeDocument/2006/relationships/ctrlProp" Target="../ctrlProps/ctrlProp592.xml"/><Relationship Id="rId95" Type="http://schemas.openxmlformats.org/officeDocument/2006/relationships/ctrlProp" Target="../ctrlProps/ctrlProp597.xml"/><Relationship Id="rId22" Type="http://schemas.openxmlformats.org/officeDocument/2006/relationships/ctrlProp" Target="../ctrlProps/ctrlProp524.xml"/><Relationship Id="rId27" Type="http://schemas.openxmlformats.org/officeDocument/2006/relationships/ctrlProp" Target="../ctrlProps/ctrlProp529.xml"/><Relationship Id="rId43" Type="http://schemas.openxmlformats.org/officeDocument/2006/relationships/ctrlProp" Target="../ctrlProps/ctrlProp545.xml"/><Relationship Id="rId48" Type="http://schemas.openxmlformats.org/officeDocument/2006/relationships/ctrlProp" Target="../ctrlProps/ctrlProp550.xml"/><Relationship Id="rId64" Type="http://schemas.openxmlformats.org/officeDocument/2006/relationships/ctrlProp" Target="../ctrlProps/ctrlProp566.xml"/><Relationship Id="rId69" Type="http://schemas.openxmlformats.org/officeDocument/2006/relationships/ctrlProp" Target="../ctrlProps/ctrlProp571.xml"/><Relationship Id="rId80" Type="http://schemas.openxmlformats.org/officeDocument/2006/relationships/ctrlProp" Target="../ctrlProps/ctrlProp582.xml"/><Relationship Id="rId85" Type="http://schemas.openxmlformats.org/officeDocument/2006/relationships/ctrlProp" Target="../ctrlProps/ctrlProp587.xml"/><Relationship Id="rId12" Type="http://schemas.openxmlformats.org/officeDocument/2006/relationships/ctrlProp" Target="../ctrlProps/ctrlProp514.xml"/><Relationship Id="rId17" Type="http://schemas.openxmlformats.org/officeDocument/2006/relationships/ctrlProp" Target="../ctrlProps/ctrlProp519.xml"/><Relationship Id="rId33" Type="http://schemas.openxmlformats.org/officeDocument/2006/relationships/ctrlProp" Target="../ctrlProps/ctrlProp535.xml"/><Relationship Id="rId38" Type="http://schemas.openxmlformats.org/officeDocument/2006/relationships/ctrlProp" Target="../ctrlProps/ctrlProp540.xml"/><Relationship Id="rId59" Type="http://schemas.openxmlformats.org/officeDocument/2006/relationships/ctrlProp" Target="../ctrlProps/ctrlProp561.xml"/><Relationship Id="rId103" Type="http://schemas.openxmlformats.org/officeDocument/2006/relationships/ctrlProp" Target="../ctrlProps/ctrlProp605.xml"/><Relationship Id="rId108" Type="http://schemas.openxmlformats.org/officeDocument/2006/relationships/ctrlProp" Target="../ctrlProps/ctrlProp610.xml"/><Relationship Id="rId20" Type="http://schemas.openxmlformats.org/officeDocument/2006/relationships/ctrlProp" Target="../ctrlProps/ctrlProp522.xml"/><Relationship Id="rId41" Type="http://schemas.openxmlformats.org/officeDocument/2006/relationships/ctrlProp" Target="../ctrlProps/ctrlProp543.xml"/><Relationship Id="rId54" Type="http://schemas.openxmlformats.org/officeDocument/2006/relationships/ctrlProp" Target="../ctrlProps/ctrlProp556.xml"/><Relationship Id="rId62" Type="http://schemas.openxmlformats.org/officeDocument/2006/relationships/ctrlProp" Target="../ctrlProps/ctrlProp564.xml"/><Relationship Id="rId70" Type="http://schemas.openxmlformats.org/officeDocument/2006/relationships/ctrlProp" Target="../ctrlProps/ctrlProp572.xml"/><Relationship Id="rId75" Type="http://schemas.openxmlformats.org/officeDocument/2006/relationships/ctrlProp" Target="../ctrlProps/ctrlProp577.xml"/><Relationship Id="rId83" Type="http://schemas.openxmlformats.org/officeDocument/2006/relationships/ctrlProp" Target="../ctrlProps/ctrlProp585.xml"/><Relationship Id="rId88" Type="http://schemas.openxmlformats.org/officeDocument/2006/relationships/ctrlProp" Target="../ctrlProps/ctrlProp590.xml"/><Relationship Id="rId91" Type="http://schemas.openxmlformats.org/officeDocument/2006/relationships/ctrlProp" Target="../ctrlProps/ctrlProp593.xml"/><Relationship Id="rId96" Type="http://schemas.openxmlformats.org/officeDocument/2006/relationships/ctrlProp" Target="../ctrlProps/ctrlProp59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08.xml"/><Relationship Id="rId15" Type="http://schemas.openxmlformats.org/officeDocument/2006/relationships/ctrlProp" Target="../ctrlProps/ctrlProp517.xml"/><Relationship Id="rId23" Type="http://schemas.openxmlformats.org/officeDocument/2006/relationships/ctrlProp" Target="../ctrlProps/ctrlProp525.xml"/><Relationship Id="rId28" Type="http://schemas.openxmlformats.org/officeDocument/2006/relationships/ctrlProp" Target="../ctrlProps/ctrlProp530.xml"/><Relationship Id="rId36" Type="http://schemas.openxmlformats.org/officeDocument/2006/relationships/ctrlProp" Target="../ctrlProps/ctrlProp538.xml"/><Relationship Id="rId49" Type="http://schemas.openxmlformats.org/officeDocument/2006/relationships/ctrlProp" Target="../ctrlProps/ctrlProp551.xml"/><Relationship Id="rId57" Type="http://schemas.openxmlformats.org/officeDocument/2006/relationships/ctrlProp" Target="../ctrlProps/ctrlProp559.xml"/><Relationship Id="rId106" Type="http://schemas.openxmlformats.org/officeDocument/2006/relationships/ctrlProp" Target="../ctrlProps/ctrlProp608.xml"/><Relationship Id="rId10" Type="http://schemas.openxmlformats.org/officeDocument/2006/relationships/ctrlProp" Target="../ctrlProps/ctrlProp512.xml"/><Relationship Id="rId31" Type="http://schemas.openxmlformats.org/officeDocument/2006/relationships/ctrlProp" Target="../ctrlProps/ctrlProp533.xml"/><Relationship Id="rId44" Type="http://schemas.openxmlformats.org/officeDocument/2006/relationships/ctrlProp" Target="../ctrlProps/ctrlProp546.xml"/><Relationship Id="rId52" Type="http://schemas.openxmlformats.org/officeDocument/2006/relationships/ctrlProp" Target="../ctrlProps/ctrlProp554.xml"/><Relationship Id="rId60" Type="http://schemas.openxmlformats.org/officeDocument/2006/relationships/ctrlProp" Target="../ctrlProps/ctrlProp562.xml"/><Relationship Id="rId65" Type="http://schemas.openxmlformats.org/officeDocument/2006/relationships/ctrlProp" Target="../ctrlProps/ctrlProp567.xml"/><Relationship Id="rId73" Type="http://schemas.openxmlformats.org/officeDocument/2006/relationships/ctrlProp" Target="../ctrlProps/ctrlProp575.xml"/><Relationship Id="rId78" Type="http://schemas.openxmlformats.org/officeDocument/2006/relationships/ctrlProp" Target="../ctrlProps/ctrlProp580.xml"/><Relationship Id="rId81" Type="http://schemas.openxmlformats.org/officeDocument/2006/relationships/ctrlProp" Target="../ctrlProps/ctrlProp583.xml"/><Relationship Id="rId86" Type="http://schemas.openxmlformats.org/officeDocument/2006/relationships/ctrlProp" Target="../ctrlProps/ctrlProp588.xml"/><Relationship Id="rId94" Type="http://schemas.openxmlformats.org/officeDocument/2006/relationships/ctrlProp" Target="../ctrlProps/ctrlProp596.xml"/><Relationship Id="rId99" Type="http://schemas.openxmlformats.org/officeDocument/2006/relationships/ctrlProp" Target="../ctrlProps/ctrlProp601.xml"/><Relationship Id="rId101" Type="http://schemas.openxmlformats.org/officeDocument/2006/relationships/ctrlProp" Target="../ctrlProps/ctrlProp603.xml"/><Relationship Id="rId4" Type="http://schemas.openxmlformats.org/officeDocument/2006/relationships/ctrlProp" Target="../ctrlProps/ctrlProp506.xml"/><Relationship Id="rId9" Type="http://schemas.openxmlformats.org/officeDocument/2006/relationships/ctrlProp" Target="../ctrlProps/ctrlProp511.xml"/><Relationship Id="rId13" Type="http://schemas.openxmlformats.org/officeDocument/2006/relationships/ctrlProp" Target="../ctrlProps/ctrlProp515.xml"/><Relationship Id="rId18" Type="http://schemas.openxmlformats.org/officeDocument/2006/relationships/ctrlProp" Target="../ctrlProps/ctrlProp520.xml"/><Relationship Id="rId39" Type="http://schemas.openxmlformats.org/officeDocument/2006/relationships/ctrlProp" Target="../ctrlProps/ctrlProp541.xml"/><Relationship Id="rId34" Type="http://schemas.openxmlformats.org/officeDocument/2006/relationships/ctrlProp" Target="../ctrlProps/ctrlProp536.xml"/><Relationship Id="rId50" Type="http://schemas.openxmlformats.org/officeDocument/2006/relationships/ctrlProp" Target="../ctrlProps/ctrlProp552.xml"/><Relationship Id="rId55" Type="http://schemas.openxmlformats.org/officeDocument/2006/relationships/ctrlProp" Target="../ctrlProps/ctrlProp557.xml"/><Relationship Id="rId76" Type="http://schemas.openxmlformats.org/officeDocument/2006/relationships/ctrlProp" Target="../ctrlProps/ctrlProp578.xml"/><Relationship Id="rId97" Type="http://schemas.openxmlformats.org/officeDocument/2006/relationships/ctrlProp" Target="../ctrlProps/ctrlProp599.xml"/><Relationship Id="rId104" Type="http://schemas.openxmlformats.org/officeDocument/2006/relationships/ctrlProp" Target="../ctrlProps/ctrlProp606.xml"/><Relationship Id="rId7" Type="http://schemas.openxmlformats.org/officeDocument/2006/relationships/ctrlProp" Target="../ctrlProps/ctrlProp509.xml"/><Relationship Id="rId71" Type="http://schemas.openxmlformats.org/officeDocument/2006/relationships/ctrlProp" Target="../ctrlProps/ctrlProp573.xml"/><Relationship Id="rId92" Type="http://schemas.openxmlformats.org/officeDocument/2006/relationships/ctrlProp" Target="../ctrlProps/ctrlProp59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531.xml"/><Relationship Id="rId24" Type="http://schemas.openxmlformats.org/officeDocument/2006/relationships/ctrlProp" Target="../ctrlProps/ctrlProp526.xml"/><Relationship Id="rId40" Type="http://schemas.openxmlformats.org/officeDocument/2006/relationships/ctrlProp" Target="../ctrlProps/ctrlProp542.xml"/><Relationship Id="rId45" Type="http://schemas.openxmlformats.org/officeDocument/2006/relationships/ctrlProp" Target="../ctrlProps/ctrlProp547.xml"/><Relationship Id="rId66" Type="http://schemas.openxmlformats.org/officeDocument/2006/relationships/ctrlProp" Target="../ctrlProps/ctrlProp568.xml"/><Relationship Id="rId87" Type="http://schemas.openxmlformats.org/officeDocument/2006/relationships/ctrlProp" Target="../ctrlProps/ctrlProp589.xml"/><Relationship Id="rId61" Type="http://schemas.openxmlformats.org/officeDocument/2006/relationships/ctrlProp" Target="../ctrlProps/ctrlProp563.xml"/><Relationship Id="rId82" Type="http://schemas.openxmlformats.org/officeDocument/2006/relationships/ctrlProp" Target="../ctrlProps/ctrlProp584.xml"/><Relationship Id="rId19" Type="http://schemas.openxmlformats.org/officeDocument/2006/relationships/ctrlProp" Target="../ctrlProps/ctrlProp521.xml"/><Relationship Id="rId14" Type="http://schemas.openxmlformats.org/officeDocument/2006/relationships/ctrlProp" Target="../ctrlProps/ctrlProp516.xml"/><Relationship Id="rId30" Type="http://schemas.openxmlformats.org/officeDocument/2006/relationships/ctrlProp" Target="../ctrlProps/ctrlProp532.xml"/><Relationship Id="rId35" Type="http://schemas.openxmlformats.org/officeDocument/2006/relationships/ctrlProp" Target="../ctrlProps/ctrlProp537.xml"/><Relationship Id="rId56" Type="http://schemas.openxmlformats.org/officeDocument/2006/relationships/ctrlProp" Target="../ctrlProps/ctrlProp558.xml"/><Relationship Id="rId77" Type="http://schemas.openxmlformats.org/officeDocument/2006/relationships/ctrlProp" Target="../ctrlProps/ctrlProp579.xml"/><Relationship Id="rId100" Type="http://schemas.openxmlformats.org/officeDocument/2006/relationships/ctrlProp" Target="../ctrlProps/ctrlProp602.xml"/><Relationship Id="rId105" Type="http://schemas.openxmlformats.org/officeDocument/2006/relationships/ctrlProp" Target="../ctrlProps/ctrlProp607.xml"/><Relationship Id="rId8" Type="http://schemas.openxmlformats.org/officeDocument/2006/relationships/ctrlProp" Target="../ctrlProps/ctrlProp510.xml"/><Relationship Id="rId51" Type="http://schemas.openxmlformats.org/officeDocument/2006/relationships/ctrlProp" Target="../ctrlProps/ctrlProp553.xml"/><Relationship Id="rId72" Type="http://schemas.openxmlformats.org/officeDocument/2006/relationships/ctrlProp" Target="../ctrlProps/ctrlProp574.xml"/><Relationship Id="rId93" Type="http://schemas.openxmlformats.org/officeDocument/2006/relationships/ctrlProp" Target="../ctrlProps/ctrlProp595.xml"/><Relationship Id="rId98" Type="http://schemas.openxmlformats.org/officeDocument/2006/relationships/ctrlProp" Target="../ctrlProps/ctrlProp600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27.xml"/><Relationship Id="rId46" Type="http://schemas.openxmlformats.org/officeDocument/2006/relationships/ctrlProp" Target="../ctrlProps/ctrlProp548.xml"/><Relationship Id="rId67" Type="http://schemas.openxmlformats.org/officeDocument/2006/relationships/ctrlProp" Target="../ctrlProps/ctrlProp569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3.xml"/><Relationship Id="rId21" Type="http://schemas.openxmlformats.org/officeDocument/2006/relationships/ctrlProp" Target="../ctrlProps/ctrlProp628.xml"/><Relationship Id="rId42" Type="http://schemas.openxmlformats.org/officeDocument/2006/relationships/ctrlProp" Target="../ctrlProps/ctrlProp649.xml"/><Relationship Id="rId47" Type="http://schemas.openxmlformats.org/officeDocument/2006/relationships/ctrlProp" Target="../ctrlProps/ctrlProp654.xml"/><Relationship Id="rId63" Type="http://schemas.openxmlformats.org/officeDocument/2006/relationships/ctrlProp" Target="../ctrlProps/ctrlProp670.xml"/><Relationship Id="rId68" Type="http://schemas.openxmlformats.org/officeDocument/2006/relationships/ctrlProp" Target="../ctrlProps/ctrlProp675.xml"/><Relationship Id="rId84" Type="http://schemas.openxmlformats.org/officeDocument/2006/relationships/ctrlProp" Target="../ctrlProps/ctrlProp691.xml"/><Relationship Id="rId89" Type="http://schemas.openxmlformats.org/officeDocument/2006/relationships/ctrlProp" Target="../ctrlProps/ctrlProp696.xml"/><Relationship Id="rId16" Type="http://schemas.openxmlformats.org/officeDocument/2006/relationships/ctrlProp" Target="../ctrlProps/ctrlProp623.xml"/><Relationship Id="rId11" Type="http://schemas.openxmlformats.org/officeDocument/2006/relationships/ctrlProp" Target="../ctrlProps/ctrlProp618.xml"/><Relationship Id="rId32" Type="http://schemas.openxmlformats.org/officeDocument/2006/relationships/ctrlProp" Target="../ctrlProps/ctrlProp639.xml"/><Relationship Id="rId37" Type="http://schemas.openxmlformats.org/officeDocument/2006/relationships/ctrlProp" Target="../ctrlProps/ctrlProp644.xml"/><Relationship Id="rId53" Type="http://schemas.openxmlformats.org/officeDocument/2006/relationships/ctrlProp" Target="../ctrlProps/ctrlProp660.xml"/><Relationship Id="rId58" Type="http://schemas.openxmlformats.org/officeDocument/2006/relationships/ctrlProp" Target="../ctrlProps/ctrlProp665.xml"/><Relationship Id="rId74" Type="http://schemas.openxmlformats.org/officeDocument/2006/relationships/ctrlProp" Target="../ctrlProps/ctrlProp681.xml"/><Relationship Id="rId79" Type="http://schemas.openxmlformats.org/officeDocument/2006/relationships/ctrlProp" Target="../ctrlProps/ctrlProp686.xml"/><Relationship Id="rId5" Type="http://schemas.openxmlformats.org/officeDocument/2006/relationships/ctrlProp" Target="../ctrlProps/ctrlProp612.xml"/><Relationship Id="rId90" Type="http://schemas.openxmlformats.org/officeDocument/2006/relationships/ctrlProp" Target="../ctrlProps/ctrlProp697.xml"/><Relationship Id="rId95" Type="http://schemas.openxmlformats.org/officeDocument/2006/relationships/ctrlProp" Target="../ctrlProps/ctrlProp702.xml"/><Relationship Id="rId22" Type="http://schemas.openxmlformats.org/officeDocument/2006/relationships/ctrlProp" Target="../ctrlProps/ctrlProp629.xml"/><Relationship Id="rId27" Type="http://schemas.openxmlformats.org/officeDocument/2006/relationships/ctrlProp" Target="../ctrlProps/ctrlProp634.xml"/><Relationship Id="rId43" Type="http://schemas.openxmlformats.org/officeDocument/2006/relationships/ctrlProp" Target="../ctrlProps/ctrlProp650.xml"/><Relationship Id="rId48" Type="http://schemas.openxmlformats.org/officeDocument/2006/relationships/ctrlProp" Target="../ctrlProps/ctrlProp655.xml"/><Relationship Id="rId64" Type="http://schemas.openxmlformats.org/officeDocument/2006/relationships/ctrlProp" Target="../ctrlProps/ctrlProp671.xml"/><Relationship Id="rId69" Type="http://schemas.openxmlformats.org/officeDocument/2006/relationships/ctrlProp" Target="../ctrlProps/ctrlProp676.xml"/><Relationship Id="rId80" Type="http://schemas.openxmlformats.org/officeDocument/2006/relationships/ctrlProp" Target="../ctrlProps/ctrlProp687.xml"/><Relationship Id="rId85" Type="http://schemas.openxmlformats.org/officeDocument/2006/relationships/ctrlProp" Target="../ctrlProps/ctrlProp69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619.xml"/><Relationship Id="rId17" Type="http://schemas.openxmlformats.org/officeDocument/2006/relationships/ctrlProp" Target="../ctrlProps/ctrlProp624.xml"/><Relationship Id="rId25" Type="http://schemas.openxmlformats.org/officeDocument/2006/relationships/ctrlProp" Target="../ctrlProps/ctrlProp632.xml"/><Relationship Id="rId33" Type="http://schemas.openxmlformats.org/officeDocument/2006/relationships/ctrlProp" Target="../ctrlProps/ctrlProp640.xml"/><Relationship Id="rId38" Type="http://schemas.openxmlformats.org/officeDocument/2006/relationships/ctrlProp" Target="../ctrlProps/ctrlProp645.xml"/><Relationship Id="rId46" Type="http://schemas.openxmlformats.org/officeDocument/2006/relationships/ctrlProp" Target="../ctrlProps/ctrlProp653.xml"/><Relationship Id="rId59" Type="http://schemas.openxmlformats.org/officeDocument/2006/relationships/ctrlProp" Target="../ctrlProps/ctrlProp666.xml"/><Relationship Id="rId67" Type="http://schemas.openxmlformats.org/officeDocument/2006/relationships/ctrlProp" Target="../ctrlProps/ctrlProp674.xml"/><Relationship Id="rId20" Type="http://schemas.openxmlformats.org/officeDocument/2006/relationships/ctrlProp" Target="../ctrlProps/ctrlProp627.xml"/><Relationship Id="rId41" Type="http://schemas.openxmlformats.org/officeDocument/2006/relationships/ctrlProp" Target="../ctrlProps/ctrlProp648.xml"/><Relationship Id="rId54" Type="http://schemas.openxmlformats.org/officeDocument/2006/relationships/ctrlProp" Target="../ctrlProps/ctrlProp661.xml"/><Relationship Id="rId62" Type="http://schemas.openxmlformats.org/officeDocument/2006/relationships/ctrlProp" Target="../ctrlProps/ctrlProp669.xml"/><Relationship Id="rId70" Type="http://schemas.openxmlformats.org/officeDocument/2006/relationships/ctrlProp" Target="../ctrlProps/ctrlProp677.xml"/><Relationship Id="rId75" Type="http://schemas.openxmlformats.org/officeDocument/2006/relationships/ctrlProp" Target="../ctrlProps/ctrlProp682.xml"/><Relationship Id="rId83" Type="http://schemas.openxmlformats.org/officeDocument/2006/relationships/ctrlProp" Target="../ctrlProps/ctrlProp690.xml"/><Relationship Id="rId88" Type="http://schemas.openxmlformats.org/officeDocument/2006/relationships/ctrlProp" Target="../ctrlProps/ctrlProp695.xml"/><Relationship Id="rId91" Type="http://schemas.openxmlformats.org/officeDocument/2006/relationships/ctrlProp" Target="../ctrlProps/ctrlProp698.xml"/><Relationship Id="rId96" Type="http://schemas.openxmlformats.org/officeDocument/2006/relationships/ctrlProp" Target="../ctrlProps/ctrlProp70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13.xml"/><Relationship Id="rId15" Type="http://schemas.openxmlformats.org/officeDocument/2006/relationships/ctrlProp" Target="../ctrlProps/ctrlProp622.xml"/><Relationship Id="rId23" Type="http://schemas.openxmlformats.org/officeDocument/2006/relationships/ctrlProp" Target="../ctrlProps/ctrlProp630.xml"/><Relationship Id="rId28" Type="http://schemas.openxmlformats.org/officeDocument/2006/relationships/ctrlProp" Target="../ctrlProps/ctrlProp635.xml"/><Relationship Id="rId36" Type="http://schemas.openxmlformats.org/officeDocument/2006/relationships/ctrlProp" Target="../ctrlProps/ctrlProp643.xml"/><Relationship Id="rId49" Type="http://schemas.openxmlformats.org/officeDocument/2006/relationships/ctrlProp" Target="../ctrlProps/ctrlProp656.xml"/><Relationship Id="rId57" Type="http://schemas.openxmlformats.org/officeDocument/2006/relationships/ctrlProp" Target="../ctrlProps/ctrlProp664.xml"/><Relationship Id="rId10" Type="http://schemas.openxmlformats.org/officeDocument/2006/relationships/ctrlProp" Target="../ctrlProps/ctrlProp617.xml"/><Relationship Id="rId31" Type="http://schemas.openxmlformats.org/officeDocument/2006/relationships/ctrlProp" Target="../ctrlProps/ctrlProp638.xml"/><Relationship Id="rId44" Type="http://schemas.openxmlformats.org/officeDocument/2006/relationships/ctrlProp" Target="../ctrlProps/ctrlProp651.xml"/><Relationship Id="rId52" Type="http://schemas.openxmlformats.org/officeDocument/2006/relationships/ctrlProp" Target="../ctrlProps/ctrlProp659.xml"/><Relationship Id="rId60" Type="http://schemas.openxmlformats.org/officeDocument/2006/relationships/ctrlProp" Target="../ctrlProps/ctrlProp667.xml"/><Relationship Id="rId65" Type="http://schemas.openxmlformats.org/officeDocument/2006/relationships/ctrlProp" Target="../ctrlProps/ctrlProp672.xml"/><Relationship Id="rId73" Type="http://schemas.openxmlformats.org/officeDocument/2006/relationships/ctrlProp" Target="../ctrlProps/ctrlProp680.xml"/><Relationship Id="rId78" Type="http://schemas.openxmlformats.org/officeDocument/2006/relationships/ctrlProp" Target="../ctrlProps/ctrlProp685.xml"/><Relationship Id="rId81" Type="http://schemas.openxmlformats.org/officeDocument/2006/relationships/ctrlProp" Target="../ctrlProps/ctrlProp688.xml"/><Relationship Id="rId86" Type="http://schemas.openxmlformats.org/officeDocument/2006/relationships/ctrlProp" Target="../ctrlProps/ctrlProp693.xml"/><Relationship Id="rId94" Type="http://schemas.openxmlformats.org/officeDocument/2006/relationships/ctrlProp" Target="../ctrlProps/ctrlProp701.xml"/><Relationship Id="rId4" Type="http://schemas.openxmlformats.org/officeDocument/2006/relationships/ctrlProp" Target="../ctrlProps/ctrlProp611.xml"/><Relationship Id="rId9" Type="http://schemas.openxmlformats.org/officeDocument/2006/relationships/ctrlProp" Target="../ctrlProps/ctrlProp616.xml"/><Relationship Id="rId13" Type="http://schemas.openxmlformats.org/officeDocument/2006/relationships/ctrlProp" Target="../ctrlProps/ctrlProp620.xml"/><Relationship Id="rId18" Type="http://schemas.openxmlformats.org/officeDocument/2006/relationships/ctrlProp" Target="../ctrlProps/ctrlProp625.xml"/><Relationship Id="rId39" Type="http://schemas.openxmlformats.org/officeDocument/2006/relationships/ctrlProp" Target="../ctrlProps/ctrlProp646.xml"/><Relationship Id="rId34" Type="http://schemas.openxmlformats.org/officeDocument/2006/relationships/ctrlProp" Target="../ctrlProps/ctrlProp641.xml"/><Relationship Id="rId50" Type="http://schemas.openxmlformats.org/officeDocument/2006/relationships/ctrlProp" Target="../ctrlProps/ctrlProp657.xml"/><Relationship Id="rId55" Type="http://schemas.openxmlformats.org/officeDocument/2006/relationships/ctrlProp" Target="../ctrlProps/ctrlProp662.xml"/><Relationship Id="rId76" Type="http://schemas.openxmlformats.org/officeDocument/2006/relationships/ctrlProp" Target="../ctrlProps/ctrlProp683.xml"/><Relationship Id="rId97" Type="http://schemas.openxmlformats.org/officeDocument/2006/relationships/ctrlProp" Target="../ctrlProps/ctrlProp704.xml"/><Relationship Id="rId7" Type="http://schemas.openxmlformats.org/officeDocument/2006/relationships/ctrlProp" Target="../ctrlProps/ctrlProp614.xml"/><Relationship Id="rId71" Type="http://schemas.openxmlformats.org/officeDocument/2006/relationships/ctrlProp" Target="../ctrlProps/ctrlProp678.xml"/><Relationship Id="rId92" Type="http://schemas.openxmlformats.org/officeDocument/2006/relationships/ctrlProp" Target="../ctrlProps/ctrlProp69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6.xml"/><Relationship Id="rId24" Type="http://schemas.openxmlformats.org/officeDocument/2006/relationships/ctrlProp" Target="../ctrlProps/ctrlProp631.xml"/><Relationship Id="rId40" Type="http://schemas.openxmlformats.org/officeDocument/2006/relationships/ctrlProp" Target="../ctrlProps/ctrlProp647.xml"/><Relationship Id="rId45" Type="http://schemas.openxmlformats.org/officeDocument/2006/relationships/ctrlProp" Target="../ctrlProps/ctrlProp652.xml"/><Relationship Id="rId66" Type="http://schemas.openxmlformats.org/officeDocument/2006/relationships/ctrlProp" Target="../ctrlProps/ctrlProp673.xml"/><Relationship Id="rId87" Type="http://schemas.openxmlformats.org/officeDocument/2006/relationships/ctrlProp" Target="../ctrlProps/ctrlProp694.xml"/><Relationship Id="rId61" Type="http://schemas.openxmlformats.org/officeDocument/2006/relationships/ctrlProp" Target="../ctrlProps/ctrlProp668.xml"/><Relationship Id="rId82" Type="http://schemas.openxmlformats.org/officeDocument/2006/relationships/ctrlProp" Target="../ctrlProps/ctrlProp689.xml"/><Relationship Id="rId19" Type="http://schemas.openxmlformats.org/officeDocument/2006/relationships/ctrlProp" Target="../ctrlProps/ctrlProp626.xml"/><Relationship Id="rId14" Type="http://schemas.openxmlformats.org/officeDocument/2006/relationships/ctrlProp" Target="../ctrlProps/ctrlProp621.xml"/><Relationship Id="rId30" Type="http://schemas.openxmlformats.org/officeDocument/2006/relationships/ctrlProp" Target="../ctrlProps/ctrlProp637.xml"/><Relationship Id="rId35" Type="http://schemas.openxmlformats.org/officeDocument/2006/relationships/ctrlProp" Target="../ctrlProps/ctrlProp642.xml"/><Relationship Id="rId56" Type="http://schemas.openxmlformats.org/officeDocument/2006/relationships/ctrlProp" Target="../ctrlProps/ctrlProp663.xml"/><Relationship Id="rId77" Type="http://schemas.openxmlformats.org/officeDocument/2006/relationships/ctrlProp" Target="../ctrlProps/ctrlProp684.xml"/><Relationship Id="rId8" Type="http://schemas.openxmlformats.org/officeDocument/2006/relationships/ctrlProp" Target="../ctrlProps/ctrlProp615.xml"/><Relationship Id="rId51" Type="http://schemas.openxmlformats.org/officeDocument/2006/relationships/ctrlProp" Target="../ctrlProps/ctrlProp658.xml"/><Relationship Id="rId72" Type="http://schemas.openxmlformats.org/officeDocument/2006/relationships/ctrlProp" Target="../ctrlProps/ctrlProp679.xml"/><Relationship Id="rId93" Type="http://schemas.openxmlformats.org/officeDocument/2006/relationships/ctrlProp" Target="../ctrlProps/ctrlProp700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8.xml"/><Relationship Id="rId21" Type="http://schemas.openxmlformats.org/officeDocument/2006/relationships/ctrlProp" Target="../ctrlProps/ctrlProp723.xml"/><Relationship Id="rId42" Type="http://schemas.openxmlformats.org/officeDocument/2006/relationships/ctrlProp" Target="../ctrlProps/ctrlProp744.xml"/><Relationship Id="rId47" Type="http://schemas.openxmlformats.org/officeDocument/2006/relationships/ctrlProp" Target="../ctrlProps/ctrlProp749.xml"/><Relationship Id="rId63" Type="http://schemas.openxmlformats.org/officeDocument/2006/relationships/ctrlProp" Target="../ctrlProps/ctrlProp765.xml"/><Relationship Id="rId68" Type="http://schemas.openxmlformats.org/officeDocument/2006/relationships/ctrlProp" Target="../ctrlProps/ctrlProp770.xml"/><Relationship Id="rId84" Type="http://schemas.openxmlformats.org/officeDocument/2006/relationships/ctrlProp" Target="../ctrlProps/ctrlProp786.xml"/><Relationship Id="rId89" Type="http://schemas.openxmlformats.org/officeDocument/2006/relationships/ctrlProp" Target="../ctrlProps/ctrlProp791.xml"/><Relationship Id="rId16" Type="http://schemas.openxmlformats.org/officeDocument/2006/relationships/ctrlProp" Target="../ctrlProps/ctrlProp718.xml"/><Relationship Id="rId11" Type="http://schemas.openxmlformats.org/officeDocument/2006/relationships/ctrlProp" Target="../ctrlProps/ctrlProp713.xml"/><Relationship Id="rId32" Type="http://schemas.openxmlformats.org/officeDocument/2006/relationships/ctrlProp" Target="../ctrlProps/ctrlProp734.xml"/><Relationship Id="rId37" Type="http://schemas.openxmlformats.org/officeDocument/2006/relationships/ctrlProp" Target="../ctrlProps/ctrlProp739.xml"/><Relationship Id="rId53" Type="http://schemas.openxmlformats.org/officeDocument/2006/relationships/ctrlProp" Target="../ctrlProps/ctrlProp755.xml"/><Relationship Id="rId58" Type="http://schemas.openxmlformats.org/officeDocument/2006/relationships/ctrlProp" Target="../ctrlProps/ctrlProp760.xml"/><Relationship Id="rId74" Type="http://schemas.openxmlformats.org/officeDocument/2006/relationships/ctrlProp" Target="../ctrlProps/ctrlProp776.xml"/><Relationship Id="rId79" Type="http://schemas.openxmlformats.org/officeDocument/2006/relationships/ctrlProp" Target="../ctrlProps/ctrlProp781.xml"/><Relationship Id="rId102" Type="http://schemas.openxmlformats.org/officeDocument/2006/relationships/ctrlProp" Target="../ctrlProps/ctrlProp804.xml"/><Relationship Id="rId5" Type="http://schemas.openxmlformats.org/officeDocument/2006/relationships/ctrlProp" Target="../ctrlProps/ctrlProp707.xml"/><Relationship Id="rId90" Type="http://schemas.openxmlformats.org/officeDocument/2006/relationships/ctrlProp" Target="../ctrlProps/ctrlProp792.xml"/><Relationship Id="rId95" Type="http://schemas.openxmlformats.org/officeDocument/2006/relationships/ctrlProp" Target="../ctrlProps/ctrlProp797.xml"/><Relationship Id="rId22" Type="http://schemas.openxmlformats.org/officeDocument/2006/relationships/ctrlProp" Target="../ctrlProps/ctrlProp724.xml"/><Relationship Id="rId27" Type="http://schemas.openxmlformats.org/officeDocument/2006/relationships/ctrlProp" Target="../ctrlProps/ctrlProp729.xml"/><Relationship Id="rId43" Type="http://schemas.openxmlformats.org/officeDocument/2006/relationships/ctrlProp" Target="../ctrlProps/ctrlProp745.xml"/><Relationship Id="rId48" Type="http://schemas.openxmlformats.org/officeDocument/2006/relationships/ctrlProp" Target="../ctrlProps/ctrlProp750.xml"/><Relationship Id="rId64" Type="http://schemas.openxmlformats.org/officeDocument/2006/relationships/ctrlProp" Target="../ctrlProps/ctrlProp766.xml"/><Relationship Id="rId69" Type="http://schemas.openxmlformats.org/officeDocument/2006/relationships/ctrlProp" Target="../ctrlProps/ctrlProp771.xml"/><Relationship Id="rId80" Type="http://schemas.openxmlformats.org/officeDocument/2006/relationships/ctrlProp" Target="../ctrlProps/ctrlProp782.xml"/><Relationship Id="rId85" Type="http://schemas.openxmlformats.org/officeDocument/2006/relationships/ctrlProp" Target="../ctrlProps/ctrlProp787.xml"/><Relationship Id="rId12" Type="http://schemas.openxmlformats.org/officeDocument/2006/relationships/ctrlProp" Target="../ctrlProps/ctrlProp714.xml"/><Relationship Id="rId17" Type="http://schemas.openxmlformats.org/officeDocument/2006/relationships/ctrlProp" Target="../ctrlProps/ctrlProp719.xml"/><Relationship Id="rId33" Type="http://schemas.openxmlformats.org/officeDocument/2006/relationships/ctrlProp" Target="../ctrlProps/ctrlProp735.xml"/><Relationship Id="rId38" Type="http://schemas.openxmlformats.org/officeDocument/2006/relationships/ctrlProp" Target="../ctrlProps/ctrlProp740.xml"/><Relationship Id="rId59" Type="http://schemas.openxmlformats.org/officeDocument/2006/relationships/ctrlProp" Target="../ctrlProps/ctrlProp761.xml"/><Relationship Id="rId103" Type="http://schemas.openxmlformats.org/officeDocument/2006/relationships/ctrlProp" Target="../ctrlProps/ctrlProp805.xml"/><Relationship Id="rId20" Type="http://schemas.openxmlformats.org/officeDocument/2006/relationships/ctrlProp" Target="../ctrlProps/ctrlProp722.xml"/><Relationship Id="rId41" Type="http://schemas.openxmlformats.org/officeDocument/2006/relationships/ctrlProp" Target="../ctrlProps/ctrlProp743.xml"/><Relationship Id="rId54" Type="http://schemas.openxmlformats.org/officeDocument/2006/relationships/ctrlProp" Target="../ctrlProps/ctrlProp756.xml"/><Relationship Id="rId62" Type="http://schemas.openxmlformats.org/officeDocument/2006/relationships/ctrlProp" Target="../ctrlProps/ctrlProp764.xml"/><Relationship Id="rId70" Type="http://schemas.openxmlformats.org/officeDocument/2006/relationships/ctrlProp" Target="../ctrlProps/ctrlProp772.xml"/><Relationship Id="rId75" Type="http://schemas.openxmlformats.org/officeDocument/2006/relationships/ctrlProp" Target="../ctrlProps/ctrlProp777.xml"/><Relationship Id="rId83" Type="http://schemas.openxmlformats.org/officeDocument/2006/relationships/ctrlProp" Target="../ctrlProps/ctrlProp785.xml"/><Relationship Id="rId88" Type="http://schemas.openxmlformats.org/officeDocument/2006/relationships/ctrlProp" Target="../ctrlProps/ctrlProp790.xml"/><Relationship Id="rId91" Type="http://schemas.openxmlformats.org/officeDocument/2006/relationships/ctrlProp" Target="../ctrlProps/ctrlProp793.xml"/><Relationship Id="rId96" Type="http://schemas.openxmlformats.org/officeDocument/2006/relationships/ctrlProp" Target="../ctrlProps/ctrlProp79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708.xml"/><Relationship Id="rId15" Type="http://schemas.openxmlformats.org/officeDocument/2006/relationships/ctrlProp" Target="../ctrlProps/ctrlProp717.xml"/><Relationship Id="rId23" Type="http://schemas.openxmlformats.org/officeDocument/2006/relationships/ctrlProp" Target="../ctrlProps/ctrlProp725.xml"/><Relationship Id="rId28" Type="http://schemas.openxmlformats.org/officeDocument/2006/relationships/ctrlProp" Target="../ctrlProps/ctrlProp730.xml"/><Relationship Id="rId36" Type="http://schemas.openxmlformats.org/officeDocument/2006/relationships/ctrlProp" Target="../ctrlProps/ctrlProp738.xml"/><Relationship Id="rId49" Type="http://schemas.openxmlformats.org/officeDocument/2006/relationships/ctrlProp" Target="../ctrlProps/ctrlProp751.xml"/><Relationship Id="rId57" Type="http://schemas.openxmlformats.org/officeDocument/2006/relationships/ctrlProp" Target="../ctrlProps/ctrlProp759.xml"/><Relationship Id="rId106" Type="http://schemas.openxmlformats.org/officeDocument/2006/relationships/ctrlProp" Target="../ctrlProps/ctrlProp808.xml"/><Relationship Id="rId10" Type="http://schemas.openxmlformats.org/officeDocument/2006/relationships/ctrlProp" Target="../ctrlProps/ctrlProp712.xml"/><Relationship Id="rId31" Type="http://schemas.openxmlformats.org/officeDocument/2006/relationships/ctrlProp" Target="../ctrlProps/ctrlProp733.xml"/><Relationship Id="rId44" Type="http://schemas.openxmlformats.org/officeDocument/2006/relationships/ctrlProp" Target="../ctrlProps/ctrlProp746.xml"/><Relationship Id="rId52" Type="http://schemas.openxmlformats.org/officeDocument/2006/relationships/ctrlProp" Target="../ctrlProps/ctrlProp754.xml"/><Relationship Id="rId60" Type="http://schemas.openxmlformats.org/officeDocument/2006/relationships/ctrlProp" Target="../ctrlProps/ctrlProp762.xml"/><Relationship Id="rId65" Type="http://schemas.openxmlformats.org/officeDocument/2006/relationships/ctrlProp" Target="../ctrlProps/ctrlProp767.xml"/><Relationship Id="rId73" Type="http://schemas.openxmlformats.org/officeDocument/2006/relationships/ctrlProp" Target="../ctrlProps/ctrlProp775.xml"/><Relationship Id="rId78" Type="http://schemas.openxmlformats.org/officeDocument/2006/relationships/ctrlProp" Target="../ctrlProps/ctrlProp780.xml"/><Relationship Id="rId81" Type="http://schemas.openxmlformats.org/officeDocument/2006/relationships/ctrlProp" Target="../ctrlProps/ctrlProp783.xml"/><Relationship Id="rId86" Type="http://schemas.openxmlformats.org/officeDocument/2006/relationships/ctrlProp" Target="../ctrlProps/ctrlProp788.xml"/><Relationship Id="rId94" Type="http://schemas.openxmlformats.org/officeDocument/2006/relationships/ctrlProp" Target="../ctrlProps/ctrlProp796.xml"/><Relationship Id="rId99" Type="http://schemas.openxmlformats.org/officeDocument/2006/relationships/ctrlProp" Target="../ctrlProps/ctrlProp801.xml"/><Relationship Id="rId101" Type="http://schemas.openxmlformats.org/officeDocument/2006/relationships/ctrlProp" Target="../ctrlProps/ctrlProp803.xml"/><Relationship Id="rId4" Type="http://schemas.openxmlformats.org/officeDocument/2006/relationships/ctrlProp" Target="../ctrlProps/ctrlProp706.xml"/><Relationship Id="rId9" Type="http://schemas.openxmlformats.org/officeDocument/2006/relationships/ctrlProp" Target="../ctrlProps/ctrlProp711.xml"/><Relationship Id="rId13" Type="http://schemas.openxmlformats.org/officeDocument/2006/relationships/ctrlProp" Target="../ctrlProps/ctrlProp715.xml"/><Relationship Id="rId18" Type="http://schemas.openxmlformats.org/officeDocument/2006/relationships/ctrlProp" Target="../ctrlProps/ctrlProp720.xml"/><Relationship Id="rId39" Type="http://schemas.openxmlformats.org/officeDocument/2006/relationships/ctrlProp" Target="../ctrlProps/ctrlProp741.xml"/><Relationship Id="rId34" Type="http://schemas.openxmlformats.org/officeDocument/2006/relationships/ctrlProp" Target="../ctrlProps/ctrlProp736.xml"/><Relationship Id="rId50" Type="http://schemas.openxmlformats.org/officeDocument/2006/relationships/ctrlProp" Target="../ctrlProps/ctrlProp752.xml"/><Relationship Id="rId55" Type="http://schemas.openxmlformats.org/officeDocument/2006/relationships/ctrlProp" Target="../ctrlProps/ctrlProp757.xml"/><Relationship Id="rId76" Type="http://schemas.openxmlformats.org/officeDocument/2006/relationships/ctrlProp" Target="../ctrlProps/ctrlProp778.xml"/><Relationship Id="rId97" Type="http://schemas.openxmlformats.org/officeDocument/2006/relationships/ctrlProp" Target="../ctrlProps/ctrlProp799.xml"/><Relationship Id="rId104" Type="http://schemas.openxmlformats.org/officeDocument/2006/relationships/ctrlProp" Target="../ctrlProps/ctrlProp806.xml"/><Relationship Id="rId7" Type="http://schemas.openxmlformats.org/officeDocument/2006/relationships/ctrlProp" Target="../ctrlProps/ctrlProp709.xml"/><Relationship Id="rId71" Type="http://schemas.openxmlformats.org/officeDocument/2006/relationships/ctrlProp" Target="../ctrlProps/ctrlProp773.xml"/><Relationship Id="rId92" Type="http://schemas.openxmlformats.org/officeDocument/2006/relationships/ctrlProp" Target="../ctrlProps/ctrlProp794.xml"/><Relationship Id="rId2" Type="http://schemas.openxmlformats.org/officeDocument/2006/relationships/vmlDrawing" Target="../drawings/vmlDrawing9.vml"/><Relationship Id="rId29" Type="http://schemas.openxmlformats.org/officeDocument/2006/relationships/ctrlProp" Target="../ctrlProps/ctrlProp731.xml"/><Relationship Id="rId24" Type="http://schemas.openxmlformats.org/officeDocument/2006/relationships/ctrlProp" Target="../ctrlProps/ctrlProp726.xml"/><Relationship Id="rId40" Type="http://schemas.openxmlformats.org/officeDocument/2006/relationships/ctrlProp" Target="../ctrlProps/ctrlProp742.xml"/><Relationship Id="rId45" Type="http://schemas.openxmlformats.org/officeDocument/2006/relationships/ctrlProp" Target="../ctrlProps/ctrlProp747.xml"/><Relationship Id="rId66" Type="http://schemas.openxmlformats.org/officeDocument/2006/relationships/ctrlProp" Target="../ctrlProps/ctrlProp768.xml"/><Relationship Id="rId87" Type="http://schemas.openxmlformats.org/officeDocument/2006/relationships/ctrlProp" Target="../ctrlProps/ctrlProp789.xml"/><Relationship Id="rId61" Type="http://schemas.openxmlformats.org/officeDocument/2006/relationships/ctrlProp" Target="../ctrlProps/ctrlProp763.xml"/><Relationship Id="rId82" Type="http://schemas.openxmlformats.org/officeDocument/2006/relationships/ctrlProp" Target="../ctrlProps/ctrlProp784.xml"/><Relationship Id="rId19" Type="http://schemas.openxmlformats.org/officeDocument/2006/relationships/ctrlProp" Target="../ctrlProps/ctrlProp721.xml"/><Relationship Id="rId14" Type="http://schemas.openxmlformats.org/officeDocument/2006/relationships/ctrlProp" Target="../ctrlProps/ctrlProp716.xml"/><Relationship Id="rId30" Type="http://schemas.openxmlformats.org/officeDocument/2006/relationships/ctrlProp" Target="../ctrlProps/ctrlProp732.xml"/><Relationship Id="rId35" Type="http://schemas.openxmlformats.org/officeDocument/2006/relationships/ctrlProp" Target="../ctrlProps/ctrlProp737.xml"/><Relationship Id="rId56" Type="http://schemas.openxmlformats.org/officeDocument/2006/relationships/ctrlProp" Target="../ctrlProps/ctrlProp758.xml"/><Relationship Id="rId77" Type="http://schemas.openxmlformats.org/officeDocument/2006/relationships/ctrlProp" Target="../ctrlProps/ctrlProp779.xml"/><Relationship Id="rId100" Type="http://schemas.openxmlformats.org/officeDocument/2006/relationships/ctrlProp" Target="../ctrlProps/ctrlProp802.xml"/><Relationship Id="rId105" Type="http://schemas.openxmlformats.org/officeDocument/2006/relationships/ctrlProp" Target="../ctrlProps/ctrlProp807.xml"/><Relationship Id="rId8" Type="http://schemas.openxmlformats.org/officeDocument/2006/relationships/ctrlProp" Target="../ctrlProps/ctrlProp710.xml"/><Relationship Id="rId51" Type="http://schemas.openxmlformats.org/officeDocument/2006/relationships/ctrlProp" Target="../ctrlProps/ctrlProp753.xml"/><Relationship Id="rId72" Type="http://schemas.openxmlformats.org/officeDocument/2006/relationships/ctrlProp" Target="../ctrlProps/ctrlProp774.xml"/><Relationship Id="rId93" Type="http://schemas.openxmlformats.org/officeDocument/2006/relationships/ctrlProp" Target="../ctrlProps/ctrlProp795.xml"/><Relationship Id="rId98" Type="http://schemas.openxmlformats.org/officeDocument/2006/relationships/ctrlProp" Target="../ctrlProps/ctrlProp800.xml"/><Relationship Id="rId3" Type="http://schemas.openxmlformats.org/officeDocument/2006/relationships/ctrlProp" Target="../ctrlProps/ctrlProp705.xml"/><Relationship Id="rId25" Type="http://schemas.openxmlformats.org/officeDocument/2006/relationships/ctrlProp" Target="../ctrlProps/ctrlProp727.xml"/><Relationship Id="rId46" Type="http://schemas.openxmlformats.org/officeDocument/2006/relationships/ctrlProp" Target="../ctrlProps/ctrlProp748.xml"/><Relationship Id="rId67" Type="http://schemas.openxmlformats.org/officeDocument/2006/relationships/ctrlProp" Target="../ctrlProps/ctrlProp769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31.xml"/><Relationship Id="rId117" Type="http://schemas.openxmlformats.org/officeDocument/2006/relationships/ctrlProp" Target="../ctrlProps/ctrlProp922.xml"/><Relationship Id="rId21" Type="http://schemas.openxmlformats.org/officeDocument/2006/relationships/ctrlProp" Target="../ctrlProps/ctrlProp826.xml"/><Relationship Id="rId42" Type="http://schemas.openxmlformats.org/officeDocument/2006/relationships/ctrlProp" Target="../ctrlProps/ctrlProp847.xml"/><Relationship Id="rId47" Type="http://schemas.openxmlformats.org/officeDocument/2006/relationships/ctrlProp" Target="../ctrlProps/ctrlProp852.xml"/><Relationship Id="rId63" Type="http://schemas.openxmlformats.org/officeDocument/2006/relationships/ctrlProp" Target="../ctrlProps/ctrlProp868.xml"/><Relationship Id="rId68" Type="http://schemas.openxmlformats.org/officeDocument/2006/relationships/ctrlProp" Target="../ctrlProps/ctrlProp873.xml"/><Relationship Id="rId84" Type="http://schemas.openxmlformats.org/officeDocument/2006/relationships/ctrlProp" Target="../ctrlProps/ctrlProp889.xml"/><Relationship Id="rId89" Type="http://schemas.openxmlformats.org/officeDocument/2006/relationships/ctrlProp" Target="../ctrlProps/ctrlProp894.xml"/><Relationship Id="rId112" Type="http://schemas.openxmlformats.org/officeDocument/2006/relationships/ctrlProp" Target="../ctrlProps/ctrlProp917.xml"/><Relationship Id="rId16" Type="http://schemas.openxmlformats.org/officeDocument/2006/relationships/ctrlProp" Target="../ctrlProps/ctrlProp821.xml"/><Relationship Id="rId107" Type="http://schemas.openxmlformats.org/officeDocument/2006/relationships/ctrlProp" Target="../ctrlProps/ctrlProp912.xml"/><Relationship Id="rId11" Type="http://schemas.openxmlformats.org/officeDocument/2006/relationships/ctrlProp" Target="../ctrlProps/ctrlProp816.xml"/><Relationship Id="rId32" Type="http://schemas.openxmlformats.org/officeDocument/2006/relationships/ctrlProp" Target="../ctrlProps/ctrlProp837.xml"/><Relationship Id="rId37" Type="http://schemas.openxmlformats.org/officeDocument/2006/relationships/ctrlProp" Target="../ctrlProps/ctrlProp842.xml"/><Relationship Id="rId53" Type="http://schemas.openxmlformats.org/officeDocument/2006/relationships/ctrlProp" Target="../ctrlProps/ctrlProp858.xml"/><Relationship Id="rId58" Type="http://schemas.openxmlformats.org/officeDocument/2006/relationships/ctrlProp" Target="../ctrlProps/ctrlProp863.xml"/><Relationship Id="rId74" Type="http://schemas.openxmlformats.org/officeDocument/2006/relationships/ctrlProp" Target="../ctrlProps/ctrlProp879.xml"/><Relationship Id="rId79" Type="http://schemas.openxmlformats.org/officeDocument/2006/relationships/ctrlProp" Target="../ctrlProps/ctrlProp884.xml"/><Relationship Id="rId102" Type="http://schemas.openxmlformats.org/officeDocument/2006/relationships/ctrlProp" Target="../ctrlProps/ctrlProp907.xml"/><Relationship Id="rId123" Type="http://schemas.openxmlformats.org/officeDocument/2006/relationships/ctrlProp" Target="../ctrlProps/ctrlProp928.xml"/><Relationship Id="rId5" Type="http://schemas.openxmlformats.org/officeDocument/2006/relationships/ctrlProp" Target="../ctrlProps/ctrlProp810.xml"/><Relationship Id="rId90" Type="http://schemas.openxmlformats.org/officeDocument/2006/relationships/ctrlProp" Target="../ctrlProps/ctrlProp895.xml"/><Relationship Id="rId95" Type="http://schemas.openxmlformats.org/officeDocument/2006/relationships/ctrlProp" Target="../ctrlProps/ctrlProp900.xml"/><Relationship Id="rId22" Type="http://schemas.openxmlformats.org/officeDocument/2006/relationships/ctrlProp" Target="../ctrlProps/ctrlProp827.xml"/><Relationship Id="rId27" Type="http://schemas.openxmlformats.org/officeDocument/2006/relationships/ctrlProp" Target="../ctrlProps/ctrlProp832.xml"/><Relationship Id="rId43" Type="http://schemas.openxmlformats.org/officeDocument/2006/relationships/ctrlProp" Target="../ctrlProps/ctrlProp848.xml"/><Relationship Id="rId48" Type="http://schemas.openxmlformats.org/officeDocument/2006/relationships/ctrlProp" Target="../ctrlProps/ctrlProp853.xml"/><Relationship Id="rId64" Type="http://schemas.openxmlformats.org/officeDocument/2006/relationships/ctrlProp" Target="../ctrlProps/ctrlProp869.xml"/><Relationship Id="rId69" Type="http://schemas.openxmlformats.org/officeDocument/2006/relationships/ctrlProp" Target="../ctrlProps/ctrlProp874.xml"/><Relationship Id="rId113" Type="http://schemas.openxmlformats.org/officeDocument/2006/relationships/ctrlProp" Target="../ctrlProps/ctrlProp918.xml"/><Relationship Id="rId118" Type="http://schemas.openxmlformats.org/officeDocument/2006/relationships/ctrlProp" Target="../ctrlProps/ctrlProp923.xml"/><Relationship Id="rId80" Type="http://schemas.openxmlformats.org/officeDocument/2006/relationships/ctrlProp" Target="../ctrlProps/ctrlProp885.xml"/><Relationship Id="rId85" Type="http://schemas.openxmlformats.org/officeDocument/2006/relationships/ctrlProp" Target="../ctrlProps/ctrlProp890.xml"/><Relationship Id="rId12" Type="http://schemas.openxmlformats.org/officeDocument/2006/relationships/ctrlProp" Target="../ctrlProps/ctrlProp817.xml"/><Relationship Id="rId17" Type="http://schemas.openxmlformats.org/officeDocument/2006/relationships/ctrlProp" Target="../ctrlProps/ctrlProp822.xml"/><Relationship Id="rId33" Type="http://schemas.openxmlformats.org/officeDocument/2006/relationships/ctrlProp" Target="../ctrlProps/ctrlProp838.xml"/><Relationship Id="rId38" Type="http://schemas.openxmlformats.org/officeDocument/2006/relationships/ctrlProp" Target="../ctrlProps/ctrlProp843.xml"/><Relationship Id="rId59" Type="http://schemas.openxmlformats.org/officeDocument/2006/relationships/ctrlProp" Target="../ctrlProps/ctrlProp864.xml"/><Relationship Id="rId103" Type="http://schemas.openxmlformats.org/officeDocument/2006/relationships/ctrlProp" Target="../ctrlProps/ctrlProp908.xml"/><Relationship Id="rId108" Type="http://schemas.openxmlformats.org/officeDocument/2006/relationships/ctrlProp" Target="../ctrlProps/ctrlProp913.xml"/><Relationship Id="rId124" Type="http://schemas.openxmlformats.org/officeDocument/2006/relationships/ctrlProp" Target="../ctrlProps/ctrlProp929.xml"/><Relationship Id="rId54" Type="http://schemas.openxmlformats.org/officeDocument/2006/relationships/ctrlProp" Target="../ctrlProps/ctrlProp859.xml"/><Relationship Id="rId70" Type="http://schemas.openxmlformats.org/officeDocument/2006/relationships/ctrlProp" Target="../ctrlProps/ctrlProp875.xml"/><Relationship Id="rId75" Type="http://schemas.openxmlformats.org/officeDocument/2006/relationships/ctrlProp" Target="../ctrlProps/ctrlProp880.xml"/><Relationship Id="rId91" Type="http://schemas.openxmlformats.org/officeDocument/2006/relationships/ctrlProp" Target="../ctrlProps/ctrlProp896.xml"/><Relationship Id="rId96" Type="http://schemas.openxmlformats.org/officeDocument/2006/relationships/ctrlProp" Target="../ctrlProps/ctrlProp90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811.xml"/><Relationship Id="rId23" Type="http://schemas.openxmlformats.org/officeDocument/2006/relationships/ctrlProp" Target="../ctrlProps/ctrlProp828.xml"/><Relationship Id="rId28" Type="http://schemas.openxmlformats.org/officeDocument/2006/relationships/ctrlProp" Target="../ctrlProps/ctrlProp833.xml"/><Relationship Id="rId49" Type="http://schemas.openxmlformats.org/officeDocument/2006/relationships/ctrlProp" Target="../ctrlProps/ctrlProp854.xml"/><Relationship Id="rId114" Type="http://schemas.openxmlformats.org/officeDocument/2006/relationships/ctrlProp" Target="../ctrlProps/ctrlProp919.xml"/><Relationship Id="rId119" Type="http://schemas.openxmlformats.org/officeDocument/2006/relationships/ctrlProp" Target="../ctrlProps/ctrlProp924.xml"/><Relationship Id="rId44" Type="http://schemas.openxmlformats.org/officeDocument/2006/relationships/ctrlProp" Target="../ctrlProps/ctrlProp849.xml"/><Relationship Id="rId60" Type="http://schemas.openxmlformats.org/officeDocument/2006/relationships/ctrlProp" Target="../ctrlProps/ctrlProp865.xml"/><Relationship Id="rId65" Type="http://schemas.openxmlformats.org/officeDocument/2006/relationships/ctrlProp" Target="../ctrlProps/ctrlProp870.xml"/><Relationship Id="rId81" Type="http://schemas.openxmlformats.org/officeDocument/2006/relationships/ctrlProp" Target="../ctrlProps/ctrlProp886.xml"/><Relationship Id="rId86" Type="http://schemas.openxmlformats.org/officeDocument/2006/relationships/ctrlProp" Target="../ctrlProps/ctrlProp891.xml"/><Relationship Id="rId4" Type="http://schemas.openxmlformats.org/officeDocument/2006/relationships/ctrlProp" Target="../ctrlProps/ctrlProp809.xml"/><Relationship Id="rId9" Type="http://schemas.openxmlformats.org/officeDocument/2006/relationships/ctrlProp" Target="../ctrlProps/ctrlProp814.xml"/><Relationship Id="rId13" Type="http://schemas.openxmlformats.org/officeDocument/2006/relationships/ctrlProp" Target="../ctrlProps/ctrlProp818.xml"/><Relationship Id="rId18" Type="http://schemas.openxmlformats.org/officeDocument/2006/relationships/ctrlProp" Target="../ctrlProps/ctrlProp823.xml"/><Relationship Id="rId39" Type="http://schemas.openxmlformats.org/officeDocument/2006/relationships/ctrlProp" Target="../ctrlProps/ctrlProp844.xml"/><Relationship Id="rId109" Type="http://schemas.openxmlformats.org/officeDocument/2006/relationships/ctrlProp" Target="../ctrlProps/ctrlProp914.xml"/><Relationship Id="rId34" Type="http://schemas.openxmlformats.org/officeDocument/2006/relationships/ctrlProp" Target="../ctrlProps/ctrlProp839.xml"/><Relationship Id="rId50" Type="http://schemas.openxmlformats.org/officeDocument/2006/relationships/ctrlProp" Target="../ctrlProps/ctrlProp855.xml"/><Relationship Id="rId55" Type="http://schemas.openxmlformats.org/officeDocument/2006/relationships/ctrlProp" Target="../ctrlProps/ctrlProp860.xml"/><Relationship Id="rId76" Type="http://schemas.openxmlformats.org/officeDocument/2006/relationships/ctrlProp" Target="../ctrlProps/ctrlProp881.xml"/><Relationship Id="rId97" Type="http://schemas.openxmlformats.org/officeDocument/2006/relationships/ctrlProp" Target="../ctrlProps/ctrlProp902.xml"/><Relationship Id="rId104" Type="http://schemas.openxmlformats.org/officeDocument/2006/relationships/ctrlProp" Target="../ctrlProps/ctrlProp909.xml"/><Relationship Id="rId120" Type="http://schemas.openxmlformats.org/officeDocument/2006/relationships/ctrlProp" Target="../ctrlProps/ctrlProp925.xml"/><Relationship Id="rId7" Type="http://schemas.openxmlformats.org/officeDocument/2006/relationships/ctrlProp" Target="../ctrlProps/ctrlProp812.xml"/><Relationship Id="rId71" Type="http://schemas.openxmlformats.org/officeDocument/2006/relationships/ctrlProp" Target="../ctrlProps/ctrlProp876.xml"/><Relationship Id="rId92" Type="http://schemas.openxmlformats.org/officeDocument/2006/relationships/ctrlProp" Target="../ctrlProps/ctrlProp897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834.xml"/><Relationship Id="rId24" Type="http://schemas.openxmlformats.org/officeDocument/2006/relationships/ctrlProp" Target="../ctrlProps/ctrlProp829.xml"/><Relationship Id="rId40" Type="http://schemas.openxmlformats.org/officeDocument/2006/relationships/ctrlProp" Target="../ctrlProps/ctrlProp845.xml"/><Relationship Id="rId45" Type="http://schemas.openxmlformats.org/officeDocument/2006/relationships/ctrlProp" Target="../ctrlProps/ctrlProp850.xml"/><Relationship Id="rId66" Type="http://schemas.openxmlformats.org/officeDocument/2006/relationships/ctrlProp" Target="../ctrlProps/ctrlProp871.xml"/><Relationship Id="rId87" Type="http://schemas.openxmlformats.org/officeDocument/2006/relationships/ctrlProp" Target="../ctrlProps/ctrlProp892.xml"/><Relationship Id="rId110" Type="http://schemas.openxmlformats.org/officeDocument/2006/relationships/ctrlProp" Target="../ctrlProps/ctrlProp915.xml"/><Relationship Id="rId115" Type="http://schemas.openxmlformats.org/officeDocument/2006/relationships/ctrlProp" Target="../ctrlProps/ctrlProp920.xml"/><Relationship Id="rId61" Type="http://schemas.openxmlformats.org/officeDocument/2006/relationships/ctrlProp" Target="../ctrlProps/ctrlProp866.xml"/><Relationship Id="rId82" Type="http://schemas.openxmlformats.org/officeDocument/2006/relationships/ctrlProp" Target="../ctrlProps/ctrlProp887.xml"/><Relationship Id="rId19" Type="http://schemas.openxmlformats.org/officeDocument/2006/relationships/ctrlProp" Target="../ctrlProps/ctrlProp824.xml"/><Relationship Id="rId14" Type="http://schemas.openxmlformats.org/officeDocument/2006/relationships/ctrlProp" Target="../ctrlProps/ctrlProp819.xml"/><Relationship Id="rId30" Type="http://schemas.openxmlformats.org/officeDocument/2006/relationships/ctrlProp" Target="../ctrlProps/ctrlProp835.xml"/><Relationship Id="rId35" Type="http://schemas.openxmlformats.org/officeDocument/2006/relationships/ctrlProp" Target="../ctrlProps/ctrlProp840.xml"/><Relationship Id="rId56" Type="http://schemas.openxmlformats.org/officeDocument/2006/relationships/ctrlProp" Target="../ctrlProps/ctrlProp861.xml"/><Relationship Id="rId77" Type="http://schemas.openxmlformats.org/officeDocument/2006/relationships/ctrlProp" Target="../ctrlProps/ctrlProp882.xml"/><Relationship Id="rId100" Type="http://schemas.openxmlformats.org/officeDocument/2006/relationships/ctrlProp" Target="../ctrlProps/ctrlProp905.xml"/><Relationship Id="rId105" Type="http://schemas.openxmlformats.org/officeDocument/2006/relationships/ctrlProp" Target="../ctrlProps/ctrlProp910.xml"/><Relationship Id="rId8" Type="http://schemas.openxmlformats.org/officeDocument/2006/relationships/ctrlProp" Target="../ctrlProps/ctrlProp813.xml"/><Relationship Id="rId51" Type="http://schemas.openxmlformats.org/officeDocument/2006/relationships/ctrlProp" Target="../ctrlProps/ctrlProp856.xml"/><Relationship Id="rId72" Type="http://schemas.openxmlformats.org/officeDocument/2006/relationships/ctrlProp" Target="../ctrlProps/ctrlProp877.xml"/><Relationship Id="rId93" Type="http://schemas.openxmlformats.org/officeDocument/2006/relationships/ctrlProp" Target="../ctrlProps/ctrlProp898.xml"/><Relationship Id="rId98" Type="http://schemas.openxmlformats.org/officeDocument/2006/relationships/ctrlProp" Target="../ctrlProps/ctrlProp903.xml"/><Relationship Id="rId121" Type="http://schemas.openxmlformats.org/officeDocument/2006/relationships/ctrlProp" Target="../ctrlProps/ctrlProp926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830.xml"/><Relationship Id="rId46" Type="http://schemas.openxmlformats.org/officeDocument/2006/relationships/ctrlProp" Target="../ctrlProps/ctrlProp851.xml"/><Relationship Id="rId67" Type="http://schemas.openxmlformats.org/officeDocument/2006/relationships/ctrlProp" Target="../ctrlProps/ctrlProp872.xml"/><Relationship Id="rId116" Type="http://schemas.openxmlformats.org/officeDocument/2006/relationships/ctrlProp" Target="../ctrlProps/ctrlProp921.xml"/><Relationship Id="rId20" Type="http://schemas.openxmlformats.org/officeDocument/2006/relationships/ctrlProp" Target="../ctrlProps/ctrlProp825.xml"/><Relationship Id="rId41" Type="http://schemas.openxmlformats.org/officeDocument/2006/relationships/ctrlProp" Target="../ctrlProps/ctrlProp846.xml"/><Relationship Id="rId62" Type="http://schemas.openxmlformats.org/officeDocument/2006/relationships/ctrlProp" Target="../ctrlProps/ctrlProp867.xml"/><Relationship Id="rId83" Type="http://schemas.openxmlformats.org/officeDocument/2006/relationships/ctrlProp" Target="../ctrlProps/ctrlProp888.xml"/><Relationship Id="rId88" Type="http://schemas.openxmlformats.org/officeDocument/2006/relationships/ctrlProp" Target="../ctrlProps/ctrlProp893.xml"/><Relationship Id="rId111" Type="http://schemas.openxmlformats.org/officeDocument/2006/relationships/ctrlProp" Target="../ctrlProps/ctrlProp916.xml"/><Relationship Id="rId15" Type="http://schemas.openxmlformats.org/officeDocument/2006/relationships/ctrlProp" Target="../ctrlProps/ctrlProp820.xml"/><Relationship Id="rId36" Type="http://schemas.openxmlformats.org/officeDocument/2006/relationships/ctrlProp" Target="../ctrlProps/ctrlProp841.xml"/><Relationship Id="rId57" Type="http://schemas.openxmlformats.org/officeDocument/2006/relationships/ctrlProp" Target="../ctrlProps/ctrlProp862.xml"/><Relationship Id="rId106" Type="http://schemas.openxmlformats.org/officeDocument/2006/relationships/ctrlProp" Target="../ctrlProps/ctrlProp911.xml"/><Relationship Id="rId10" Type="http://schemas.openxmlformats.org/officeDocument/2006/relationships/ctrlProp" Target="../ctrlProps/ctrlProp815.xml"/><Relationship Id="rId31" Type="http://schemas.openxmlformats.org/officeDocument/2006/relationships/ctrlProp" Target="../ctrlProps/ctrlProp836.xml"/><Relationship Id="rId52" Type="http://schemas.openxmlformats.org/officeDocument/2006/relationships/ctrlProp" Target="../ctrlProps/ctrlProp857.xml"/><Relationship Id="rId73" Type="http://schemas.openxmlformats.org/officeDocument/2006/relationships/ctrlProp" Target="../ctrlProps/ctrlProp878.xml"/><Relationship Id="rId78" Type="http://schemas.openxmlformats.org/officeDocument/2006/relationships/ctrlProp" Target="../ctrlProps/ctrlProp883.xml"/><Relationship Id="rId94" Type="http://schemas.openxmlformats.org/officeDocument/2006/relationships/ctrlProp" Target="../ctrlProps/ctrlProp899.xml"/><Relationship Id="rId99" Type="http://schemas.openxmlformats.org/officeDocument/2006/relationships/ctrlProp" Target="../ctrlProps/ctrlProp904.xml"/><Relationship Id="rId101" Type="http://schemas.openxmlformats.org/officeDocument/2006/relationships/ctrlProp" Target="../ctrlProps/ctrlProp906.xml"/><Relationship Id="rId122" Type="http://schemas.openxmlformats.org/officeDocument/2006/relationships/ctrlProp" Target="../ctrlProps/ctrlProp92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931.xml"/><Relationship Id="rId4" Type="http://schemas.openxmlformats.org/officeDocument/2006/relationships/ctrlProp" Target="../ctrlProps/ctrlProp93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0CE7-41BC-4698-80FA-27D73EE2F2E6}">
  <sheetPr codeName="Hoja12"/>
  <dimension ref="C1:X37"/>
  <sheetViews>
    <sheetView showGridLines="0" zoomScale="75" zoomScaleNormal="75" workbookViewId="0">
      <selection activeCell="A15" sqref="A15"/>
    </sheetView>
  </sheetViews>
  <sheetFormatPr baseColWidth="10" defaultRowHeight="12.75" x14ac:dyDescent="0.2"/>
  <cols>
    <col min="1" max="1" width="4.140625" customWidth="1"/>
    <col min="2" max="2" width="4.5703125" customWidth="1"/>
    <col min="8" max="8" width="13.28515625" customWidth="1"/>
    <col min="12" max="12" width="11" customWidth="1"/>
    <col min="13" max="13" width="12.28515625" customWidth="1"/>
    <col min="14" max="14" width="5.140625" customWidth="1"/>
  </cols>
  <sheetData>
    <row r="1" spans="3:24" ht="6" customHeight="1" x14ac:dyDescent="0.2"/>
    <row r="2" spans="3:24" ht="12.75" customHeight="1" x14ac:dyDescent="0.2"/>
    <row r="3" spans="3:24" ht="12.75" customHeight="1" x14ac:dyDescent="0.2">
      <c r="C3" s="775"/>
      <c r="D3" s="775"/>
      <c r="E3" s="775"/>
      <c r="F3" s="775"/>
    </row>
    <row r="4" spans="3:24" ht="12.75" customHeight="1" x14ac:dyDescent="0.2">
      <c r="C4" s="775"/>
      <c r="D4" s="775"/>
      <c r="E4" s="775"/>
      <c r="F4" s="775"/>
    </row>
    <row r="5" spans="3:24" ht="12.75" customHeight="1" x14ac:dyDescent="0.2">
      <c r="C5" s="775"/>
      <c r="D5" s="775"/>
      <c r="E5" s="775"/>
      <c r="F5" s="775"/>
    </row>
    <row r="6" spans="3:24" ht="12.75" customHeight="1" x14ac:dyDescent="0.2">
      <c r="C6" s="775"/>
      <c r="D6" s="775"/>
      <c r="E6" s="775"/>
      <c r="F6" s="775"/>
    </row>
    <row r="7" spans="3:24" ht="15.75" customHeight="1" x14ac:dyDescent="0.25">
      <c r="C7" s="775"/>
      <c r="D7" s="775"/>
      <c r="E7" s="775"/>
      <c r="F7" s="775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</row>
    <row r="8" spans="3:24" ht="15.75" x14ac:dyDescent="0.25">
      <c r="C8" s="776"/>
      <c r="D8" s="776"/>
      <c r="E8" s="776"/>
      <c r="F8" s="776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</row>
    <row r="10" spans="3:24" x14ac:dyDescent="0.2">
      <c r="C10" s="415"/>
      <c r="D10" s="415"/>
      <c r="E10" s="415"/>
      <c r="F10" s="415"/>
      <c r="G10" s="415"/>
      <c r="H10" s="415"/>
      <c r="I10" s="415"/>
      <c r="J10" s="415"/>
      <c r="K10" s="415"/>
      <c r="L10" s="415"/>
    </row>
    <row r="11" spans="3:24" ht="16.5" x14ac:dyDescent="0.25">
      <c r="C11" s="420" t="s">
        <v>737</v>
      </c>
      <c r="D11" s="420"/>
      <c r="E11" s="420"/>
      <c r="F11" s="420"/>
      <c r="G11" s="420"/>
      <c r="H11" s="420"/>
      <c r="I11" s="420"/>
      <c r="J11" s="420"/>
      <c r="K11" s="420"/>
      <c r="L11" s="420"/>
      <c r="M11" s="421"/>
    </row>
    <row r="12" spans="3:24" ht="15.75" customHeight="1" x14ac:dyDescent="0.25">
      <c r="C12" s="420" t="s">
        <v>738</v>
      </c>
      <c r="D12" s="420"/>
      <c r="E12" s="420"/>
      <c r="F12" s="420"/>
      <c r="G12" s="420"/>
      <c r="H12" s="420"/>
      <c r="I12" s="420"/>
      <c r="J12" s="420"/>
      <c r="K12" s="420"/>
      <c r="L12" s="420"/>
      <c r="M12" s="421"/>
    </row>
    <row r="13" spans="3:24" x14ac:dyDescent="0.2">
      <c r="C13" s="415"/>
      <c r="D13" s="415"/>
      <c r="E13" s="415"/>
      <c r="F13" s="415"/>
      <c r="G13" s="415"/>
      <c r="H13" s="415"/>
      <c r="I13" s="415"/>
      <c r="J13" s="415"/>
      <c r="K13" s="415"/>
      <c r="L13" s="415"/>
      <c r="M13" s="3"/>
    </row>
    <row r="14" spans="3:24" ht="15.75" x14ac:dyDescent="0.25">
      <c r="C14" s="777"/>
      <c r="D14" s="777"/>
      <c r="E14" s="777"/>
      <c r="F14" s="777"/>
      <c r="G14" s="777"/>
      <c r="H14" s="777"/>
      <c r="I14" s="777"/>
      <c r="J14" s="777"/>
      <c r="K14" s="777"/>
      <c r="L14" s="777"/>
      <c r="M14" s="777"/>
    </row>
    <row r="15" spans="3:24" ht="12" customHeight="1" x14ac:dyDescent="0.2">
      <c r="C15" s="386"/>
      <c r="D15" s="386"/>
      <c r="E15" s="386"/>
      <c r="F15" s="386"/>
      <c r="G15" s="386"/>
      <c r="H15" s="386"/>
      <c r="I15" s="386"/>
      <c r="J15" s="386"/>
      <c r="K15" s="386"/>
      <c r="L15" s="386"/>
    </row>
    <row r="16" spans="3:24" x14ac:dyDescent="0.2">
      <c r="C16" s="416" t="s">
        <v>344</v>
      </c>
      <c r="D16" t="s">
        <v>710</v>
      </c>
    </row>
    <row r="17" spans="3:13" x14ac:dyDescent="0.2">
      <c r="C17" s="3"/>
      <c r="M17" s="237"/>
    </row>
    <row r="18" spans="3:13" x14ac:dyDescent="0.2">
      <c r="C18" s="417" t="s">
        <v>345</v>
      </c>
      <c r="D18" s="773" t="s">
        <v>711</v>
      </c>
      <c r="E18" s="773"/>
      <c r="F18" s="773"/>
      <c r="G18" s="773"/>
      <c r="H18" s="773"/>
    </row>
    <row r="19" spans="3:13" x14ac:dyDescent="0.2">
      <c r="C19" s="418" t="s">
        <v>345</v>
      </c>
      <c r="D19" s="773"/>
      <c r="E19" s="773"/>
      <c r="F19" s="773"/>
      <c r="G19" s="773"/>
      <c r="H19" s="773"/>
    </row>
    <row r="20" spans="3:13" x14ac:dyDescent="0.2">
      <c r="C20" s="3"/>
      <c r="I20" s="250"/>
    </row>
    <row r="21" spans="3:13" x14ac:dyDescent="0.2">
      <c r="C21" s="169" t="s">
        <v>345</v>
      </c>
      <c r="D21" t="s">
        <v>712</v>
      </c>
      <c r="I21" s="250"/>
    </row>
    <row r="23" spans="3:13" x14ac:dyDescent="0.2">
      <c r="C23" s="419" t="s">
        <v>345</v>
      </c>
      <c r="D23" t="s">
        <v>713</v>
      </c>
    </row>
    <row r="25" spans="3:13" x14ac:dyDescent="0.2">
      <c r="C25" s="367" t="s">
        <v>653</v>
      </c>
      <c r="D25" s="774" t="s">
        <v>714</v>
      </c>
      <c r="E25" s="773"/>
      <c r="F25" s="773"/>
      <c r="G25" s="773"/>
      <c r="H25" s="773"/>
    </row>
    <row r="26" spans="3:13" x14ac:dyDescent="0.2">
      <c r="C26" s="414" t="s">
        <v>653</v>
      </c>
      <c r="D26" s="773"/>
      <c r="E26" s="773"/>
      <c r="F26" s="773"/>
      <c r="G26" s="773"/>
      <c r="H26" s="773"/>
    </row>
    <row r="28" spans="3:13" ht="13.5" thickBot="1" x14ac:dyDescent="0.25">
      <c r="C28" s="422"/>
      <c r="D28" s="422"/>
      <c r="E28" s="422"/>
      <c r="F28" s="422"/>
      <c r="G28" s="422"/>
      <c r="H28" s="422"/>
      <c r="I28" s="422"/>
      <c r="J28" s="422"/>
      <c r="K28" s="422"/>
      <c r="L28" s="422"/>
    </row>
    <row r="29" spans="3:13" ht="13.5" thickTop="1" x14ac:dyDescent="0.2"/>
    <row r="37" spans="3:3" x14ac:dyDescent="0.2">
      <c r="C37" s="688"/>
    </row>
  </sheetData>
  <mergeCells count="5">
    <mergeCell ref="D18:H19"/>
    <mergeCell ref="D25:H26"/>
    <mergeCell ref="C3:F7"/>
    <mergeCell ref="C8:F8"/>
    <mergeCell ref="C14:M14"/>
  </mergeCells>
  <phoneticPr fontId="56" type="noConversion"/>
  <pageMargins left="0.75" right="0.75" top="1" bottom="1" header="0" footer="0"/>
  <pageSetup paperSize="9" orientation="landscape" horizontalDpi="180" verticalDpi="18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28496-8390-496A-9B0B-FCF7C407A2D4}">
  <sheetPr codeName="Hoja11">
    <pageSetUpPr fitToPage="1"/>
  </sheetPr>
  <dimension ref="B1:AA92"/>
  <sheetViews>
    <sheetView showGridLines="0" tabSelected="1" topLeftCell="D46" zoomScaleNormal="100" workbookViewId="0">
      <selection activeCell="N86" sqref="N86"/>
    </sheetView>
  </sheetViews>
  <sheetFormatPr baseColWidth="10" defaultColWidth="11.42578125" defaultRowHeight="12.75" x14ac:dyDescent="0.2"/>
  <cols>
    <col min="1" max="1" width="3.5703125" style="294" customWidth="1"/>
    <col min="2" max="2" width="4.7109375" style="294" customWidth="1"/>
    <col min="3" max="3" width="11.42578125" style="294"/>
    <col min="4" max="4" width="14.7109375" style="294" customWidth="1"/>
    <col min="5" max="5" width="14.5703125" style="294" customWidth="1"/>
    <col min="6" max="6" width="13" style="294" customWidth="1"/>
    <col min="7" max="7" width="20" style="294" customWidth="1"/>
    <col min="8" max="8" width="14.42578125" style="294" customWidth="1"/>
    <col min="9" max="9" width="11.42578125" style="294"/>
    <col min="10" max="10" width="33.85546875" style="294" customWidth="1"/>
    <col min="11" max="11" width="4.42578125" style="294" customWidth="1"/>
    <col min="12" max="12" width="4.28515625" style="294" customWidth="1"/>
    <col min="13" max="16384" width="11.42578125" style="294"/>
  </cols>
  <sheetData>
    <row r="1" spans="2:11" ht="20.25" x14ac:dyDescent="0.3">
      <c r="B1" s="424" t="s">
        <v>715</v>
      </c>
      <c r="C1" s="424"/>
      <c r="D1" s="423"/>
      <c r="E1" s="423"/>
      <c r="F1" s="423"/>
      <c r="G1" s="423"/>
      <c r="H1" s="423"/>
      <c r="I1" s="423"/>
      <c r="J1" s="423"/>
      <c r="K1" s="423"/>
    </row>
    <row r="3" spans="2:11" ht="15.75" x14ac:dyDescent="0.25">
      <c r="B3" s="758" t="s">
        <v>269</v>
      </c>
      <c r="C3" s="758"/>
      <c r="D3" s="758"/>
      <c r="E3" s="758"/>
      <c r="F3" s="758"/>
      <c r="G3" s="758"/>
      <c r="H3" s="758"/>
      <c r="I3" s="758"/>
      <c r="J3" s="758"/>
      <c r="K3" s="758"/>
    </row>
    <row r="4" spans="2:11" ht="15" x14ac:dyDescent="0.2">
      <c r="C4" s="292" t="s">
        <v>266</v>
      </c>
      <c r="D4" s="292"/>
      <c r="E4" s="292"/>
      <c r="G4" s="759" t="s">
        <v>743</v>
      </c>
      <c r="H4" s="759"/>
      <c r="I4" s="759"/>
      <c r="J4" s="759"/>
      <c r="K4" s="451"/>
    </row>
    <row r="5" spans="2:11" ht="59.25" customHeight="1" x14ac:dyDescent="0.2">
      <c r="C5" s="754" t="s">
        <v>744</v>
      </c>
      <c r="D5" s="292"/>
      <c r="E5" s="292"/>
      <c r="G5" s="767" t="s">
        <v>746</v>
      </c>
      <c r="H5" s="768"/>
      <c r="I5" s="768"/>
      <c r="J5" s="768"/>
      <c r="K5" s="768"/>
    </row>
    <row r="6" spans="2:11" ht="15" x14ac:dyDescent="0.2">
      <c r="C6" s="292" t="s">
        <v>372</v>
      </c>
      <c r="D6" s="292"/>
      <c r="E6" s="292"/>
      <c r="G6" s="426">
        <v>46183</v>
      </c>
      <c r="H6" s="425"/>
      <c r="I6" s="425"/>
      <c r="J6" s="425"/>
      <c r="K6" s="450"/>
    </row>
    <row r="7" spans="2:11" ht="15" x14ac:dyDescent="0.2">
      <c r="C7" s="292" t="s">
        <v>267</v>
      </c>
      <c r="D7" s="292"/>
      <c r="E7" s="292"/>
      <c r="G7" s="760" t="s">
        <v>745</v>
      </c>
      <c r="H7" s="760"/>
      <c r="I7" s="760"/>
      <c r="J7" s="760"/>
      <c r="K7" s="450"/>
    </row>
    <row r="8" spans="2:11" ht="15.75" thickBot="1" x14ac:dyDescent="0.25">
      <c r="B8" s="429"/>
      <c r="C8" s="430" t="s">
        <v>271</v>
      </c>
      <c r="D8" s="430"/>
      <c r="E8" s="430"/>
      <c r="F8" s="429"/>
      <c r="G8" s="761" t="str">
        <f>Datos!G5</f>
        <v>SALAMANCA</v>
      </c>
      <c r="H8" s="761"/>
      <c r="I8" s="761"/>
      <c r="J8" s="431" t="s">
        <v>277</v>
      </c>
      <c r="K8" s="429"/>
    </row>
    <row r="9" spans="2:11" ht="15.75" thickTop="1" x14ac:dyDescent="0.2">
      <c r="C9" s="292"/>
      <c r="D9" s="292"/>
      <c r="E9" s="292"/>
      <c r="G9" s="332"/>
      <c r="H9" s="332"/>
      <c r="I9" s="332"/>
      <c r="J9" s="432"/>
    </row>
    <row r="11" spans="2:11" ht="15.75" x14ac:dyDescent="0.25">
      <c r="B11" s="758" t="s">
        <v>268</v>
      </c>
      <c r="C11" s="758"/>
      <c r="D11" s="758"/>
      <c r="E11" s="758"/>
      <c r="F11" s="758"/>
      <c r="G11" s="758"/>
      <c r="H11" s="758"/>
      <c r="I11" s="758"/>
      <c r="J11" s="758"/>
      <c r="K11" s="758"/>
    </row>
    <row r="12" spans="2:11" ht="15" x14ac:dyDescent="0.2">
      <c r="C12" s="436" t="s">
        <v>270</v>
      </c>
      <c r="D12" s="437"/>
      <c r="E12" s="438"/>
      <c r="F12" s="762" t="s">
        <v>642</v>
      </c>
      <c r="G12" s="762"/>
      <c r="H12" s="439">
        <v>10</v>
      </c>
    </row>
    <row r="13" spans="2:11" ht="15" x14ac:dyDescent="0.2">
      <c r="C13" s="441" t="s">
        <v>641</v>
      </c>
      <c r="D13" s="442"/>
      <c r="E13" s="443"/>
      <c r="F13" s="763" t="s">
        <v>643</v>
      </c>
      <c r="G13" s="763"/>
      <c r="H13" s="445">
        <f>IF(OR(Datos!$AA$51=1,Datos!$AA$51=2,Datos!$AA$51=3),Datos!F58,Datos!E54)</f>
        <v>40</v>
      </c>
    </row>
    <row r="14" spans="2:11" ht="15" x14ac:dyDescent="0.2">
      <c r="C14" s="441" t="s">
        <v>308</v>
      </c>
      <c r="D14" s="442"/>
      <c r="E14" s="443"/>
      <c r="F14" s="764" t="s">
        <v>307</v>
      </c>
      <c r="G14" s="764"/>
      <c r="H14" s="447">
        <v>28</v>
      </c>
      <c r="J14" s="432" t="s">
        <v>635</v>
      </c>
    </row>
    <row r="15" spans="2:11" ht="15" x14ac:dyDescent="0.2">
      <c r="C15" s="441" t="s">
        <v>306</v>
      </c>
      <c r="D15" s="442"/>
      <c r="E15" s="443"/>
      <c r="F15" s="765" t="s">
        <v>12</v>
      </c>
      <c r="G15" s="765"/>
      <c r="H15" s="689">
        <v>60</v>
      </c>
    </row>
    <row r="16" spans="2:11" ht="15" x14ac:dyDescent="0.2">
      <c r="C16" s="441" t="s">
        <v>512</v>
      </c>
      <c r="D16" s="442"/>
      <c r="E16" s="443"/>
      <c r="F16" s="444"/>
      <c r="G16" s="443"/>
      <c r="H16" s="751">
        <v>0.95</v>
      </c>
      <c r="J16" s="490" t="s">
        <v>645</v>
      </c>
    </row>
    <row r="17" spans="3:10" ht="15.75" thickBot="1" x14ac:dyDescent="0.25">
      <c r="C17" s="428" t="s">
        <v>644</v>
      </c>
      <c r="D17" s="434"/>
      <c r="E17" s="427"/>
      <c r="F17" s="766" t="s">
        <v>313</v>
      </c>
      <c r="G17" s="766"/>
      <c r="H17" s="435">
        <f>H14*H16*H13</f>
        <v>1064</v>
      </c>
      <c r="I17" s="316"/>
      <c r="J17" s="344"/>
    </row>
    <row r="18" spans="3:10" x14ac:dyDescent="0.2">
      <c r="I18" s="316"/>
      <c r="J18" s="344"/>
    </row>
    <row r="19" spans="3:10" ht="15.75" x14ac:dyDescent="0.25">
      <c r="C19" s="292"/>
      <c r="F19" s="290"/>
      <c r="H19" s="391"/>
      <c r="I19" s="316"/>
      <c r="J19" s="344"/>
    </row>
    <row r="20" spans="3:10" x14ac:dyDescent="0.2">
      <c r="E20" s="295"/>
      <c r="F20" s="453" t="s">
        <v>23</v>
      </c>
      <c r="G20" s="454" t="s">
        <v>375</v>
      </c>
      <c r="H20" s="453" t="s">
        <v>309</v>
      </c>
      <c r="J20" s="344"/>
    </row>
    <row r="21" spans="3:10" ht="14.25" x14ac:dyDescent="0.2">
      <c r="E21" s="295"/>
      <c r="F21" s="455" t="s">
        <v>312</v>
      </c>
      <c r="G21" s="455" t="s">
        <v>12</v>
      </c>
      <c r="H21" s="455" t="s">
        <v>310</v>
      </c>
      <c r="J21" s="490" t="s">
        <v>718</v>
      </c>
    </row>
    <row r="22" spans="3:10" x14ac:dyDescent="0.2">
      <c r="E22" s="317" t="s">
        <v>0</v>
      </c>
      <c r="F22" s="293">
        <v>31</v>
      </c>
      <c r="G22" s="293">
        <f>Datos!E16</f>
        <v>5</v>
      </c>
      <c r="H22" s="452">
        <f t="shared" ref="H22:H33" si="0">$H$17*F22*($H$15-G22)*0.00116</f>
        <v>2104.3791999999999</v>
      </c>
    </row>
    <row r="23" spans="3:10" x14ac:dyDescent="0.2">
      <c r="E23" s="317" t="s">
        <v>1</v>
      </c>
      <c r="F23" s="293">
        <v>28</v>
      </c>
      <c r="G23" s="293">
        <f>Datos!E17</f>
        <v>6</v>
      </c>
      <c r="H23" s="452">
        <f t="shared" si="0"/>
        <v>1866.1708799999999</v>
      </c>
    </row>
    <row r="24" spans="3:10" x14ac:dyDescent="0.2">
      <c r="E24" s="317" t="s">
        <v>2</v>
      </c>
      <c r="F24" s="293">
        <v>31</v>
      </c>
      <c r="G24" s="293">
        <f>Datos!E18</f>
        <v>8</v>
      </c>
      <c r="H24" s="452">
        <f t="shared" si="0"/>
        <v>1989.5948800000001</v>
      </c>
    </row>
    <row r="25" spans="3:10" x14ac:dyDescent="0.2">
      <c r="E25" s="317" t="s">
        <v>3</v>
      </c>
      <c r="F25" s="293">
        <v>30</v>
      </c>
      <c r="G25" s="293">
        <f>Datos!E19</f>
        <v>10</v>
      </c>
      <c r="H25" s="452">
        <f t="shared" si="0"/>
        <v>1851.36</v>
      </c>
    </row>
    <row r="26" spans="3:10" x14ac:dyDescent="0.2">
      <c r="E26" s="317" t="s">
        <v>4</v>
      </c>
      <c r="F26" s="293">
        <v>31</v>
      </c>
      <c r="G26" s="293">
        <f>Datos!E20</f>
        <v>11</v>
      </c>
      <c r="H26" s="452">
        <f t="shared" si="0"/>
        <v>1874.8105600000001</v>
      </c>
    </row>
    <row r="27" spans="3:10" x14ac:dyDescent="0.2">
      <c r="E27" s="317" t="s">
        <v>5</v>
      </c>
      <c r="F27" s="293">
        <v>30</v>
      </c>
      <c r="G27" s="293">
        <f>Datos!E21</f>
        <v>12</v>
      </c>
      <c r="H27" s="452">
        <f t="shared" si="0"/>
        <v>1777.3055999999999</v>
      </c>
    </row>
    <row r="28" spans="3:10" x14ac:dyDescent="0.2">
      <c r="E28" s="317" t="s">
        <v>6</v>
      </c>
      <c r="F28" s="293">
        <v>31</v>
      </c>
      <c r="G28" s="293">
        <f>Datos!E22</f>
        <v>13</v>
      </c>
      <c r="H28" s="452">
        <f t="shared" si="0"/>
        <v>1798.2876799999999</v>
      </c>
    </row>
    <row r="29" spans="3:10" x14ac:dyDescent="0.2">
      <c r="E29" s="317" t="s">
        <v>7</v>
      </c>
      <c r="F29" s="293">
        <v>31</v>
      </c>
      <c r="G29" s="293">
        <f>Datos!E23</f>
        <v>12</v>
      </c>
      <c r="H29" s="452">
        <f t="shared" si="0"/>
        <v>1836.5491199999999</v>
      </c>
    </row>
    <row r="30" spans="3:10" x14ac:dyDescent="0.2">
      <c r="E30" s="317" t="s">
        <v>8</v>
      </c>
      <c r="F30" s="293">
        <v>30</v>
      </c>
      <c r="G30" s="293">
        <f>Datos!E24</f>
        <v>11</v>
      </c>
      <c r="H30" s="452">
        <f t="shared" si="0"/>
        <v>1814.3327999999999</v>
      </c>
    </row>
    <row r="31" spans="3:10" x14ac:dyDescent="0.2">
      <c r="E31" s="317" t="s">
        <v>9</v>
      </c>
      <c r="F31" s="293">
        <v>31</v>
      </c>
      <c r="G31" s="293">
        <f>Datos!E25</f>
        <v>10</v>
      </c>
      <c r="H31" s="452">
        <f t="shared" si="0"/>
        <v>1913.0720000000001</v>
      </c>
    </row>
    <row r="32" spans="3:10" x14ac:dyDescent="0.2">
      <c r="E32" s="317" t="s">
        <v>10</v>
      </c>
      <c r="F32" s="293">
        <v>30</v>
      </c>
      <c r="G32" s="293">
        <f>Datos!E26</f>
        <v>8</v>
      </c>
      <c r="H32" s="452">
        <f t="shared" si="0"/>
        <v>1925.4144000000001</v>
      </c>
    </row>
    <row r="33" spans="2:27" x14ac:dyDescent="0.2">
      <c r="E33" s="317" t="s">
        <v>11</v>
      </c>
      <c r="F33" s="455">
        <v>31</v>
      </c>
      <c r="G33" s="455">
        <f>Datos!E27</f>
        <v>5</v>
      </c>
      <c r="H33" s="456">
        <f t="shared" si="0"/>
        <v>2104.3791999999999</v>
      </c>
    </row>
    <row r="34" spans="2:27" ht="13.5" thickBot="1" x14ac:dyDescent="0.25">
      <c r="E34" s="457" t="s">
        <v>311</v>
      </c>
      <c r="F34" s="458">
        <f>SUM(F22:F33)</f>
        <v>365</v>
      </c>
      <c r="G34" s="458"/>
      <c r="H34" s="459">
        <f>SUM(H22:H33)</f>
        <v>22855.656319999998</v>
      </c>
    </row>
    <row r="35" spans="2:27" x14ac:dyDescent="0.2">
      <c r="D35" s="318"/>
      <c r="E35" s="293"/>
      <c r="F35" s="293"/>
      <c r="G35" s="433"/>
    </row>
    <row r="37" spans="2:27" ht="15.75" x14ac:dyDescent="0.25">
      <c r="B37" s="460" t="s">
        <v>513</v>
      </c>
      <c r="C37" s="461"/>
      <c r="D37" s="461"/>
      <c r="E37" s="461"/>
      <c r="F37" s="461"/>
      <c r="G37" s="461"/>
      <c r="H37" s="461"/>
      <c r="I37" s="461"/>
      <c r="J37" s="461"/>
      <c r="K37" s="461"/>
    </row>
    <row r="38" spans="2:27" ht="15.75" x14ac:dyDescent="0.25">
      <c r="B38" s="423"/>
      <c r="C38" s="462"/>
      <c r="D38" s="462"/>
      <c r="E38" s="462"/>
      <c r="F38" s="462"/>
      <c r="G38" s="462" t="s">
        <v>503</v>
      </c>
      <c r="H38" s="462"/>
      <c r="I38" s="462"/>
      <c r="J38" s="462"/>
      <c r="K38" s="462"/>
    </row>
    <row r="39" spans="2:27" ht="16.5" thickBot="1" x14ac:dyDescent="0.3">
      <c r="C39" s="463" t="s">
        <v>316</v>
      </c>
      <c r="D39" s="464"/>
      <c r="E39" s="427"/>
      <c r="F39" s="427"/>
      <c r="G39" s="427"/>
      <c r="H39" s="427"/>
      <c r="I39" s="427"/>
    </row>
    <row r="40" spans="2:27" ht="14.25" x14ac:dyDescent="0.2">
      <c r="C40" s="291" t="s">
        <v>315</v>
      </c>
      <c r="D40" s="324"/>
      <c r="E40" s="291"/>
      <c r="G40" s="757" t="s">
        <v>742</v>
      </c>
      <c r="H40" s="757"/>
      <c r="I40" s="757"/>
    </row>
    <row r="41" spans="2:27" ht="14.25" x14ac:dyDescent="0.2">
      <c r="C41" s="291" t="s">
        <v>359</v>
      </c>
      <c r="D41" s="320"/>
      <c r="E41" s="291"/>
      <c r="F41" s="290" t="s">
        <v>413</v>
      </c>
      <c r="G41" s="756">
        <v>2.33</v>
      </c>
      <c r="H41" s="756"/>
      <c r="I41" s="756"/>
    </row>
    <row r="42" spans="2:27" ht="14.25" x14ac:dyDescent="0.2">
      <c r="C42" s="291" t="s">
        <v>314</v>
      </c>
      <c r="D42" s="321"/>
      <c r="E42" s="322"/>
      <c r="F42" s="290"/>
      <c r="G42" s="756">
        <v>0.82</v>
      </c>
      <c r="H42" s="756"/>
      <c r="I42" s="756"/>
    </row>
    <row r="43" spans="2:27" ht="14.25" x14ac:dyDescent="0.2">
      <c r="C43" s="291" t="s">
        <v>736</v>
      </c>
      <c r="D43" s="323"/>
      <c r="E43" s="291"/>
      <c r="F43" s="293" t="s">
        <v>654</v>
      </c>
      <c r="G43" s="756">
        <v>4.75</v>
      </c>
      <c r="H43" s="756"/>
      <c r="I43" s="756"/>
    </row>
    <row r="44" spans="2:27" ht="14.25" x14ac:dyDescent="0.2">
      <c r="C44" s="291" t="s">
        <v>358</v>
      </c>
      <c r="D44" s="322"/>
      <c r="E44" s="291"/>
      <c r="F44" s="290" t="s">
        <v>30</v>
      </c>
      <c r="G44" s="756">
        <v>2.38</v>
      </c>
      <c r="H44" s="756"/>
      <c r="I44" s="756"/>
      <c r="AA44" s="331"/>
    </row>
    <row r="45" spans="2:27" ht="15" x14ac:dyDescent="0.2">
      <c r="C45" s="291" t="s">
        <v>31</v>
      </c>
      <c r="D45" s="322"/>
      <c r="E45" s="324"/>
      <c r="F45" s="315" t="s">
        <v>32</v>
      </c>
      <c r="G45" s="771">
        <f>Datos!G8</f>
        <v>60</v>
      </c>
      <c r="H45" s="771"/>
      <c r="I45" s="771"/>
      <c r="AA45" s="331"/>
    </row>
    <row r="46" spans="2:27" ht="15" x14ac:dyDescent="0.2">
      <c r="C46" s="437" t="s">
        <v>265</v>
      </c>
      <c r="D46" s="465"/>
      <c r="E46" s="466"/>
      <c r="F46" s="467" t="s">
        <v>32</v>
      </c>
      <c r="G46" s="772">
        <f>Datos!G7</f>
        <v>40.968975</v>
      </c>
      <c r="H46" s="772"/>
      <c r="I46" s="772"/>
      <c r="J46" s="470" t="s">
        <v>716</v>
      </c>
      <c r="AA46" s="385"/>
    </row>
    <row r="47" spans="2:27" ht="15" x14ac:dyDescent="0.2">
      <c r="C47" s="291" t="s">
        <v>702</v>
      </c>
      <c r="D47" s="325"/>
      <c r="E47" s="324"/>
      <c r="F47" s="315"/>
      <c r="G47" s="440"/>
      <c r="H47" s="468" t="str">
        <f>IF(Datos!AA51=1,"Edif. Multifamiliar: Acumulación solar CENTRALIZADA",IF(Datos!AA51=2,"Edif. Multifamiliar: Acumulación solar INDIVIDUAL para cada vivienda",IF(Datos!AA51=3,"Edif. Multifamiliar: Acumulación solar MIXTA (Centraliz. + Individual)",IF(Datos!AA51=4,"Edif. Unifamiliar: Configuración A MEDIDA",IF(Datos!AA51=5,"Edif. Unifamiliar: Equipo PREFABRICADO por termosifón")))))</f>
        <v>Edif. Multifamiliar: Acumulación solar CENTRALIZADA</v>
      </c>
      <c r="I47" s="440"/>
    </row>
    <row r="48" spans="2:27" ht="14.25" x14ac:dyDescent="0.2">
      <c r="C48" s="437" t="s">
        <v>489</v>
      </c>
      <c r="D48" s="437"/>
      <c r="E48" s="437"/>
      <c r="F48" s="448" t="s">
        <v>655</v>
      </c>
      <c r="G48" s="769">
        <v>75</v>
      </c>
      <c r="H48" s="769"/>
      <c r="I48" s="769"/>
      <c r="J48" s="490" t="s">
        <v>719</v>
      </c>
    </row>
    <row r="49" spans="3:10" ht="15" thickBot="1" x14ac:dyDescent="0.25">
      <c r="C49" s="469" t="s">
        <v>524</v>
      </c>
      <c r="D49" s="469"/>
      <c r="E49" s="469"/>
      <c r="F49" s="449" t="s">
        <v>317</v>
      </c>
      <c r="G49" s="770">
        <v>0.6</v>
      </c>
      <c r="H49" s="770"/>
      <c r="I49" s="770"/>
      <c r="J49" s="490" t="s">
        <v>717</v>
      </c>
    </row>
    <row r="50" spans="3:10" ht="14.25" x14ac:dyDescent="0.2">
      <c r="C50" s="291"/>
      <c r="D50" s="291"/>
      <c r="E50" s="291"/>
      <c r="F50" s="290"/>
      <c r="G50" s="471"/>
      <c r="H50" s="471"/>
      <c r="I50" s="471"/>
      <c r="J50" s="344"/>
    </row>
    <row r="51" spans="3:10" ht="15" x14ac:dyDescent="0.2">
      <c r="C51" s="292"/>
      <c r="H51" s="401"/>
    </row>
    <row r="52" spans="3:10" ht="16.5" thickBot="1" x14ac:dyDescent="0.3">
      <c r="C52" s="463" t="s">
        <v>492</v>
      </c>
      <c r="D52" s="427"/>
      <c r="E52" s="427"/>
      <c r="F52" s="427"/>
      <c r="G52" s="427"/>
    </row>
    <row r="53" spans="3:10" x14ac:dyDescent="0.2">
      <c r="C53" s="472" t="s">
        <v>356</v>
      </c>
      <c r="D53" s="472"/>
      <c r="E53" s="472"/>
      <c r="F53" s="472"/>
      <c r="G53" s="473">
        <f>Superficie!I17</f>
        <v>8.9058949590627972</v>
      </c>
    </row>
    <row r="54" spans="3:10" ht="14.25" x14ac:dyDescent="0.2">
      <c r="C54" s="295" t="s">
        <v>355</v>
      </c>
      <c r="D54" s="295"/>
      <c r="E54" s="295"/>
      <c r="F54" s="293" t="s">
        <v>574</v>
      </c>
      <c r="G54" s="474">
        <f>Superficie!G17</f>
        <v>20.750735254616316</v>
      </c>
    </row>
    <row r="55" spans="3:10" x14ac:dyDescent="0.2">
      <c r="C55" s="295" t="str">
        <f>IF(OR(Datos!AA51=1,Datos!AA51=4,Datos!AA51=5),"",IF(Datos!AA51=2,"Volumen de acumulación individual",IF(Datos!AA51=3,"Reparto vol. acumulación individual + centralizado")))</f>
        <v/>
      </c>
      <c r="D55" s="295"/>
      <c r="E55" s="412"/>
      <c r="F55" s="293" t="str">
        <f>IF(OR(Datos!AA51=1,Datos!AA51=4,Datos!AA51=5), "-", "litros")</f>
        <v>-</v>
      </c>
      <c r="G55" s="474" t="str">
        <f>IF(OR(Datos!AA51=1,Datos!AA51=4,Datos!AA51=5), "-", "Consultar la Hoja Datos")</f>
        <v>-</v>
      </c>
    </row>
    <row r="56" spans="3:10" x14ac:dyDescent="0.2">
      <c r="C56" s="295" t="str">
        <f>IF(OR(Datos!AA51=1,Datos!AA51=4,Datos!AA51=5), "Volumen de acumulación ACS calculado", "Volumen acumulación ACS total")</f>
        <v>Volumen de acumulación ACS calculado</v>
      </c>
      <c r="D56" s="295"/>
      <c r="E56" s="295"/>
      <c r="F56" s="293" t="s">
        <v>373</v>
      </c>
      <c r="G56" s="452">
        <f>Superficie!I9</f>
        <v>1556.3051440962238</v>
      </c>
      <c r="I56" s="490" t="s">
        <v>491</v>
      </c>
    </row>
    <row r="57" spans="3:10" x14ac:dyDescent="0.2">
      <c r="C57" s="295" t="s">
        <v>357</v>
      </c>
      <c r="D57" s="295"/>
      <c r="E57" s="295"/>
      <c r="F57" s="293"/>
      <c r="G57" s="475">
        <f>Superficie!G19</f>
        <v>0.63369255322866203</v>
      </c>
      <c r="I57" s="344"/>
    </row>
    <row r="58" spans="3:10" ht="15" x14ac:dyDescent="0.2">
      <c r="C58" s="480" t="s">
        <v>319</v>
      </c>
      <c r="D58" s="480"/>
      <c r="E58" s="480"/>
      <c r="F58" s="481"/>
      <c r="G58" s="482">
        <f>Superficie!K17</f>
        <v>10</v>
      </c>
      <c r="I58" s="344"/>
    </row>
    <row r="59" spans="3:10" ht="14.25" x14ac:dyDescent="0.2">
      <c r="C59" s="291" t="s">
        <v>318</v>
      </c>
      <c r="D59" s="291"/>
      <c r="E59" s="291"/>
      <c r="F59" s="293" t="s">
        <v>574</v>
      </c>
      <c r="G59" s="478">
        <f>Superficie!K18</f>
        <v>23.3</v>
      </c>
      <c r="I59" s="344"/>
    </row>
    <row r="60" spans="3:10" ht="14.25" x14ac:dyDescent="0.2">
      <c r="C60" s="291" t="str">
        <f>IF(OR(Datos!AA51=1,Datos!AA51=4,Datos!AA51=5), "", IF(Datos!AA51=2,"Volumen de acumulación individual sugerido",IF(Datos!AA51=3,"Reparto vol. acum. individual + centralizado")))</f>
        <v/>
      </c>
      <c r="D60" s="291"/>
      <c r="E60" s="291"/>
      <c r="F60" s="293" t="str">
        <f>IF(OR(Datos!AA51=1,Datos!AA51=4,Datos!AA51=5), "-", "litros")</f>
        <v>-</v>
      </c>
      <c r="G60" s="474" t="str">
        <f>IF(OR(Datos!AA51=1,Datos!AA51=4,Datos!AA51=5), "-", "Consultar la Hoja Datos")</f>
        <v>-</v>
      </c>
      <c r="I60" s="344"/>
    </row>
    <row r="61" spans="3:10" ht="14.25" x14ac:dyDescent="0.2">
      <c r="C61" s="291" t="str">
        <f>IF(OR(Datos!AA51=1,Datos!AA51=4,Datos!AA51=5), "Volumen de acumulación ACS sugerido", "Volumen acumulación ACS total")</f>
        <v>Volumen de acumulación ACS sugerido</v>
      </c>
      <c r="D61" s="291"/>
      <c r="E61" s="291"/>
      <c r="F61" s="290" t="s">
        <v>373</v>
      </c>
      <c r="G61" s="479">
        <f>Superficie!K15</f>
        <v>1500</v>
      </c>
      <c r="H61" s="492"/>
      <c r="I61" s="490" t="s">
        <v>491</v>
      </c>
    </row>
    <row r="62" spans="3:10" ht="14.25" x14ac:dyDescent="0.2">
      <c r="C62" s="437" t="s">
        <v>360</v>
      </c>
      <c r="D62" s="437"/>
      <c r="E62" s="437"/>
      <c r="F62" s="438"/>
      <c r="G62" s="695">
        <f>Superficie!K19</f>
        <v>0.67768233272436562</v>
      </c>
      <c r="H62" s="685"/>
      <c r="I62" s="328"/>
    </row>
    <row r="63" spans="3:10" ht="15" x14ac:dyDescent="0.2">
      <c r="C63" s="291" t="s">
        <v>361</v>
      </c>
      <c r="D63" s="291"/>
      <c r="E63" s="291"/>
      <c r="F63" s="292"/>
      <c r="G63" s="446">
        <v>12</v>
      </c>
      <c r="I63" s="328"/>
    </row>
    <row r="64" spans="3:10" ht="14.25" x14ac:dyDescent="0.2">
      <c r="C64" s="291" t="str">
        <f>IF(OR(Datos!AA51=1,Datos!AA51=4,Datos!AA51=5), "",IF(Datos!AA51=2, "Vol. de acumulación individual seleccionado",IF(Datos!AA51=3,"Reparto vol. acum. individual + centralizado")))</f>
        <v/>
      </c>
      <c r="D64" s="291"/>
      <c r="E64" s="291"/>
      <c r="F64" s="293" t="str">
        <f>IF(OR(Datos!AA51=1,Datos!AA51=4,Datos!AA51=5), "-", "litros")</f>
        <v>-</v>
      </c>
      <c r="G64" s="744" t="str">
        <f>IF(OR(Datos!AA51=1,Datos!AA51=4,Datos!AA51=5), "-", "Consultar la Hoja Datos")</f>
        <v>-</v>
      </c>
      <c r="I64" s="328"/>
    </row>
    <row r="65" spans="2:10" ht="14.25" x14ac:dyDescent="0.2">
      <c r="C65" s="291" t="str">
        <f>IF(OR(Datos!AA51=1,Datos!AA51=4,Datos!AA51=5), "Volumen de acumulación ACS seleccionado", "Volumen acumulación ACS total")</f>
        <v>Volumen de acumulación ACS seleccionado</v>
      </c>
      <c r="D65" s="291"/>
      <c r="E65" s="291"/>
      <c r="F65" s="290" t="s">
        <v>373</v>
      </c>
      <c r="G65" s="743">
        <v>2000</v>
      </c>
      <c r="H65" s="694"/>
      <c r="I65" s="490" t="s">
        <v>500</v>
      </c>
    </row>
    <row r="66" spans="2:10" ht="15" x14ac:dyDescent="0.25">
      <c r="B66" s="402"/>
      <c r="C66" s="372" t="s">
        <v>362</v>
      </c>
      <c r="D66" s="372"/>
      <c r="E66" s="372"/>
      <c r="F66" s="373" t="s">
        <v>574</v>
      </c>
      <c r="G66" s="476">
        <f>Superficie!M18</f>
        <v>27.96</v>
      </c>
      <c r="H66" s="402"/>
      <c r="I66" s="374"/>
      <c r="J66" s="402"/>
    </row>
    <row r="67" spans="2:10" ht="15" x14ac:dyDescent="0.25">
      <c r="C67" s="291" t="s">
        <v>363</v>
      </c>
      <c r="D67" s="291"/>
      <c r="E67" s="291"/>
      <c r="G67" s="403">
        <f>Superficie!N19</f>
        <v>0.75339393313157499</v>
      </c>
      <c r="I67" s="344"/>
    </row>
    <row r="68" spans="2:10" ht="14.25" x14ac:dyDescent="0.2">
      <c r="C68" s="437" t="s">
        <v>490</v>
      </c>
      <c r="D68" s="437"/>
      <c r="E68" s="437"/>
      <c r="F68" s="438"/>
      <c r="G68" s="690">
        <f>G65/G66</f>
        <v>71.530758226037193</v>
      </c>
      <c r="I68" s="490" t="s">
        <v>720</v>
      </c>
    </row>
    <row r="69" spans="2:10" ht="15" x14ac:dyDescent="0.25">
      <c r="C69" s="291" t="s">
        <v>374</v>
      </c>
      <c r="D69" s="291"/>
      <c r="E69" s="291"/>
      <c r="F69" s="290" t="s">
        <v>30</v>
      </c>
      <c r="G69" s="477">
        <f>Superficie!K24</f>
        <v>4.2201628297878377</v>
      </c>
      <c r="H69" s="328"/>
      <c r="I69" s="491" t="s">
        <v>680</v>
      </c>
    </row>
    <row r="70" spans="2:10" ht="14.25" x14ac:dyDescent="0.2">
      <c r="C70" s="480" t="s">
        <v>586</v>
      </c>
      <c r="D70" s="480"/>
      <c r="E70" s="480"/>
      <c r="F70" s="565" t="s">
        <v>30</v>
      </c>
      <c r="G70" s="692">
        <v>1</v>
      </c>
      <c r="I70" s="491" t="s">
        <v>681</v>
      </c>
    </row>
    <row r="71" spans="2:10" ht="15.75" thickBot="1" x14ac:dyDescent="0.3">
      <c r="C71" s="434" t="s">
        <v>585</v>
      </c>
      <c r="D71" s="434"/>
      <c r="E71" s="434"/>
      <c r="F71" s="558" t="s">
        <v>30</v>
      </c>
      <c r="G71" s="691">
        <f>Superficie!N24</f>
        <v>2.0474891981529928</v>
      </c>
      <c r="I71" s="491" t="s">
        <v>682</v>
      </c>
    </row>
    <row r="72" spans="2:10" ht="15" x14ac:dyDescent="0.25">
      <c r="C72" s="291"/>
      <c r="D72" s="291"/>
      <c r="E72" s="291"/>
      <c r="F72" s="290"/>
      <c r="H72" s="403"/>
      <c r="I72" s="491" t="s">
        <v>683</v>
      </c>
    </row>
    <row r="73" spans="2:10" x14ac:dyDescent="0.2">
      <c r="D73" s="293" t="s">
        <v>280</v>
      </c>
      <c r="E73" s="295"/>
      <c r="F73" s="295" t="s">
        <v>369</v>
      </c>
      <c r="J73" s="383"/>
    </row>
    <row r="74" spans="2:10" x14ac:dyDescent="0.2">
      <c r="C74" s="295"/>
      <c r="D74" s="293" t="s">
        <v>281</v>
      </c>
      <c r="E74" s="293" t="s">
        <v>365</v>
      </c>
      <c r="F74" s="295" t="s">
        <v>370</v>
      </c>
      <c r="I74" s="295"/>
    </row>
    <row r="75" spans="2:10" ht="14.25" x14ac:dyDescent="0.25">
      <c r="C75" s="295"/>
      <c r="D75" s="293" t="s">
        <v>367</v>
      </c>
      <c r="E75" s="293" t="s">
        <v>366</v>
      </c>
      <c r="F75" s="295" t="s">
        <v>686</v>
      </c>
      <c r="I75" s="295"/>
    </row>
    <row r="76" spans="2:10" x14ac:dyDescent="0.2">
      <c r="C76" s="295"/>
      <c r="D76" s="455" t="s">
        <v>364</v>
      </c>
      <c r="E76" s="455" t="s">
        <v>368</v>
      </c>
      <c r="F76" s="455" t="s">
        <v>310</v>
      </c>
      <c r="I76" s="295"/>
    </row>
    <row r="77" spans="2:10" x14ac:dyDescent="0.2">
      <c r="C77" s="317" t="s">
        <v>0</v>
      </c>
      <c r="D77" s="483">
        <f>Superficie!K58</f>
        <v>73.027268333333325</v>
      </c>
      <c r="E77" s="484">
        <f>Superficie!P58</f>
        <v>0.427123778433805</v>
      </c>
      <c r="F77" s="452">
        <f>Superficie!Q58</f>
        <v>898.83039516150779</v>
      </c>
      <c r="I77" s="295"/>
    </row>
    <row r="78" spans="2:10" x14ac:dyDescent="0.2">
      <c r="C78" s="317" t="s">
        <v>1</v>
      </c>
      <c r="D78" s="483">
        <f>Superficie!K59</f>
        <v>91.796600000000012</v>
      </c>
      <c r="E78" s="484">
        <f>Superficie!P59</f>
        <v>0.61681315332951681</v>
      </c>
      <c r="F78" s="452">
        <f>Superficie!Q59</f>
        <v>1151.0787451445192</v>
      </c>
      <c r="I78" s="295"/>
    </row>
    <row r="79" spans="2:10" x14ac:dyDescent="0.2">
      <c r="C79" s="317" t="s">
        <v>2</v>
      </c>
      <c r="D79" s="483">
        <f>Superficie!K60</f>
        <v>123.79230000000001</v>
      </c>
      <c r="E79" s="484">
        <f>Superficie!P60</f>
        <v>0.75670782106778478</v>
      </c>
      <c r="F79" s="452">
        <f>Superficie!Q60</f>
        <v>1505.5420064524208</v>
      </c>
      <c r="I79" s="295"/>
    </row>
    <row r="80" spans="2:10" x14ac:dyDescent="0.2">
      <c r="C80" s="317" t="s">
        <v>3</v>
      </c>
      <c r="D80" s="483">
        <f>Superficie!K61</f>
        <v>127.85955</v>
      </c>
      <c r="E80" s="484">
        <f>Superficie!P61</f>
        <v>0.80974235987131071</v>
      </c>
      <c r="F80" s="452">
        <f>Superficie!Q61</f>
        <v>1499.1246153713498</v>
      </c>
      <c r="I80" s="295"/>
    </row>
    <row r="81" spans="3:11" x14ac:dyDescent="0.2">
      <c r="C81" s="317" t="s">
        <v>4</v>
      </c>
      <c r="D81" s="483">
        <f>Superficie!K62</f>
        <v>130.46587666666667</v>
      </c>
      <c r="E81" s="484">
        <f>Superficie!P62</f>
        <v>0.82461284192435846</v>
      </c>
      <c r="F81" s="452">
        <f>Superficie!Q62</f>
        <v>1545.992863951398</v>
      </c>
      <c r="I81" s="295"/>
    </row>
    <row r="82" spans="3:11" x14ac:dyDescent="0.2">
      <c r="C82" s="317" t="s">
        <v>5</v>
      </c>
      <c r="D82" s="483">
        <f>Superficie!K63</f>
        <v>136.75819999999999</v>
      </c>
      <c r="E82" s="484">
        <f>Superficie!P63</f>
        <v>0.90117012317638423</v>
      </c>
      <c r="F82" s="452">
        <f>Superficie!Q63</f>
        <v>1601.6547064740773</v>
      </c>
      <c r="I82" s="295"/>
    </row>
    <row r="83" spans="3:11" x14ac:dyDescent="0.2">
      <c r="C83" s="317" t="s">
        <v>6</v>
      </c>
      <c r="D83" s="483">
        <f>Superficie!K64</f>
        <v>162.91678000000002</v>
      </c>
      <c r="E83" s="484">
        <f>Superficie!P64</f>
        <v>1.0110636511343958</v>
      </c>
      <c r="F83" s="452">
        <f>Superficie!Q64</f>
        <v>1798.2876799999999</v>
      </c>
      <c r="I83" s="295"/>
    </row>
    <row r="84" spans="3:11" x14ac:dyDescent="0.2">
      <c r="C84" s="317" t="s">
        <v>7</v>
      </c>
      <c r="D84" s="483">
        <f>Superficie!K65</f>
        <v>176.53563111111112</v>
      </c>
      <c r="E84" s="484">
        <f>Superficie!P65</f>
        <v>1.0622743593292379</v>
      </c>
      <c r="F84" s="452">
        <f>Superficie!Q65</f>
        <v>1836.5491199999999</v>
      </c>
      <c r="I84" s="295"/>
    </row>
    <row r="85" spans="3:11" x14ac:dyDescent="0.2">
      <c r="C85" s="317" t="s">
        <v>8</v>
      </c>
      <c r="D85" s="483">
        <f>Superficie!K66</f>
        <v>163.92249999999999</v>
      </c>
      <c r="E85" s="484">
        <f>Superficie!P66</f>
        <v>1.0188999573683195</v>
      </c>
      <c r="F85" s="452">
        <f>Superficie!Q66</f>
        <v>1814.3327999999999</v>
      </c>
      <c r="I85" s="295"/>
    </row>
    <row r="86" spans="3:11" x14ac:dyDescent="0.2">
      <c r="C86" s="317" t="s">
        <v>9</v>
      </c>
      <c r="D86" s="483">
        <f>Superficie!K67</f>
        <v>133.36115611111109</v>
      </c>
      <c r="E86" s="484">
        <f>Superficie!P67</f>
        <v>0.82766364281733029</v>
      </c>
      <c r="F86" s="452">
        <f>Superficie!Q67</f>
        <v>1583.3801404918358</v>
      </c>
      <c r="I86" s="295"/>
    </row>
    <row r="87" spans="3:11" x14ac:dyDescent="0.2">
      <c r="C87" s="317" t="s">
        <v>10</v>
      </c>
      <c r="D87" s="483">
        <f>Superficie!K68</f>
        <v>94.853200000000001</v>
      </c>
      <c r="E87" s="484">
        <f>Superficie!P68</f>
        <v>0.60310823130562741</v>
      </c>
      <c r="F87" s="452">
        <f>Superficie!Q68</f>
        <v>1161.2332733143858</v>
      </c>
      <c r="I87" s="295"/>
    </row>
    <row r="88" spans="3:11" x14ac:dyDescent="0.2">
      <c r="C88" s="317" t="s">
        <v>11</v>
      </c>
      <c r="D88" s="485">
        <f>Superficie!K69</f>
        <v>67.992368888888876</v>
      </c>
      <c r="E88" s="486">
        <f>Superficie!P69</f>
        <v>0.39123484154701871</v>
      </c>
      <c r="F88" s="456">
        <f>Superficie!Q69</f>
        <v>823.30646286684191</v>
      </c>
      <c r="I88" s="295"/>
    </row>
    <row r="89" spans="3:11" ht="13.5" thickBot="1" x14ac:dyDescent="0.25">
      <c r="C89" s="457" t="s">
        <v>311</v>
      </c>
      <c r="D89" s="487"/>
      <c r="E89" s="488"/>
      <c r="F89" s="459">
        <f>SUM(F77:F88)</f>
        <v>17219.312809228337</v>
      </c>
      <c r="I89" s="295"/>
    </row>
    <row r="91" spans="3:11" ht="13.5" thickBot="1" x14ac:dyDescent="0.25">
      <c r="C91" s="429"/>
      <c r="D91" s="429"/>
      <c r="E91" s="429"/>
      <c r="F91" s="429"/>
      <c r="G91" s="489"/>
      <c r="H91" s="429"/>
      <c r="I91" s="429"/>
      <c r="J91" s="429"/>
      <c r="K91" s="429"/>
    </row>
    <row r="92" spans="3:11" ht="13.5" thickTop="1" x14ac:dyDescent="0.2">
      <c r="C92" s="546" t="s">
        <v>722</v>
      </c>
    </row>
  </sheetData>
  <mergeCells count="20">
    <mergeCell ref="G48:I48"/>
    <mergeCell ref="G49:I49"/>
    <mergeCell ref="G43:I43"/>
    <mergeCell ref="G44:I44"/>
    <mergeCell ref="G45:I45"/>
    <mergeCell ref="G46:I46"/>
    <mergeCell ref="G41:I41"/>
    <mergeCell ref="G42:I42"/>
    <mergeCell ref="G40:I40"/>
    <mergeCell ref="B3:K3"/>
    <mergeCell ref="G4:J4"/>
    <mergeCell ref="G7:J7"/>
    <mergeCell ref="G8:I8"/>
    <mergeCell ref="F12:G12"/>
    <mergeCell ref="F13:G13"/>
    <mergeCell ref="F14:G14"/>
    <mergeCell ref="B11:K11"/>
    <mergeCell ref="F15:G15"/>
    <mergeCell ref="F17:G17"/>
    <mergeCell ref="G5:K5"/>
  </mergeCells>
  <phoneticPr fontId="56" type="noConversion"/>
  <conditionalFormatting sqref="G68">
    <cfRule type="cellIs" dxfId="29" priority="1" stopIfTrue="1" operator="lessThan">
      <formula>50</formula>
    </cfRule>
    <cfRule type="cellIs" dxfId="28" priority="2" stopIfTrue="1" operator="greaterThan">
      <formula>100</formula>
    </cfRule>
  </conditionalFormatting>
  <conditionalFormatting sqref="G55 G60 G64">
    <cfRule type="cellIs" dxfId="27" priority="3" stopIfTrue="1" operator="notEqual">
      <formula>"""-"""</formula>
    </cfRule>
  </conditionalFormatting>
  <conditionalFormatting sqref="G67">
    <cfRule type="cellIs" dxfId="26" priority="4" stopIfTrue="1" operator="lessThan">
      <formula>$G$49</formula>
    </cfRule>
  </conditionalFormatting>
  <hyperlinks>
    <hyperlink ref="J8" location="Datos!A1" tooltip="Datos climáticos y de radiación solar" display="Datos climáticos y de radiación solar" xr:uid="{D7D94046-C449-46F7-BC4A-206713283D25}"/>
    <hyperlink ref="J46" location="Datos!A46" tooltip="Características básicas de la edificación" display="Características básicas de la edificación" xr:uid="{87079A93-2C86-497A-B621-A08A5E32A54B}"/>
    <hyperlink ref="J14" location="Datos!A46" tooltip="Características básicas de la edificación" display="Características básicas de la edificación" xr:uid="{5BCF5315-2102-43C9-90D9-82AAB2F933CF}"/>
  </hyperlinks>
  <printOptions horizontalCentered="1"/>
  <pageMargins left="0.75" right="0.75" top="1" bottom="1" header="0" footer="0"/>
  <pageSetup paperSize="9" scale="58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eleccionaCaptador">
                <anchor moveWithCells="1" sizeWithCells="1">
                  <from>
                    <xdr:col>9</xdr:col>
                    <xdr:colOff>133350</xdr:colOff>
                    <xdr:row>38</xdr:row>
                    <xdr:rowOff>200025</xdr:rowOff>
                  </from>
                  <to>
                    <xdr:col>9</xdr:col>
                    <xdr:colOff>1924050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CalculaSuperficie">
                <anchor moveWithCells="1" sizeWithCells="1">
                  <from>
                    <xdr:col>8</xdr:col>
                    <xdr:colOff>0</xdr:colOff>
                    <xdr:row>51</xdr:row>
                    <xdr:rowOff>171450</xdr:rowOff>
                  </from>
                  <to>
                    <xdr:col>9</xdr:col>
                    <xdr:colOff>1028700</xdr:colOff>
                    <xdr:row>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6" name="Button 26">
              <controlPr defaultSize="0" print="0" autoFill="0" autoPict="0" macro="[0]!EditarTablaCaptadores">
                <anchor moveWithCells="1" sizeWithCells="1">
                  <from>
                    <xdr:col>9</xdr:col>
                    <xdr:colOff>161925</xdr:colOff>
                    <xdr:row>41</xdr:row>
                    <xdr:rowOff>114300</xdr:rowOff>
                  </from>
                  <to>
                    <xdr:col>9</xdr:col>
                    <xdr:colOff>1924050</xdr:colOff>
                    <xdr:row>43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D2617-ACF0-426C-A4F5-5384793ECD09}">
  <sheetPr codeName="Hoja10">
    <pageSetUpPr fitToPage="1"/>
  </sheetPr>
  <dimension ref="B1:AI89"/>
  <sheetViews>
    <sheetView showGridLines="0" zoomScaleNormal="100" workbookViewId="0">
      <selection activeCell="E62" sqref="E62"/>
    </sheetView>
  </sheetViews>
  <sheetFormatPr baseColWidth="10" defaultRowHeight="12.75" x14ac:dyDescent="0.2"/>
  <cols>
    <col min="1" max="1" width="3.42578125" customWidth="1"/>
    <col min="2" max="2" width="3.85546875" customWidth="1"/>
    <col min="3" max="3" width="14.5703125" customWidth="1"/>
    <col min="4" max="4" width="14.7109375" customWidth="1"/>
    <col min="5" max="5" width="16.7109375" customWidth="1"/>
    <col min="6" max="6" width="17.140625" customWidth="1"/>
    <col min="7" max="7" width="18.85546875" customWidth="1"/>
    <col min="8" max="8" width="19" customWidth="1"/>
    <col min="9" max="9" width="18.7109375" customWidth="1"/>
    <col min="11" max="11" width="4.42578125" customWidth="1"/>
    <col min="24" max="35" width="11.42578125" hidden="1" customWidth="1"/>
  </cols>
  <sheetData>
    <row r="1" spans="2:12" x14ac:dyDescent="0.2">
      <c r="B1" s="117"/>
      <c r="C1" s="534" t="s">
        <v>701</v>
      </c>
      <c r="D1" s="117"/>
      <c r="E1" s="117"/>
    </row>
    <row r="3" spans="2:12" ht="15.75" x14ac:dyDescent="0.25">
      <c r="B3" s="460" t="s">
        <v>277</v>
      </c>
      <c r="C3" s="513"/>
      <c r="D3" s="513"/>
      <c r="E3" s="513"/>
      <c r="F3" s="513"/>
      <c r="G3" s="513"/>
      <c r="H3" s="513"/>
      <c r="I3" s="513"/>
      <c r="J3" s="514"/>
      <c r="K3" s="514"/>
      <c r="L3" s="102"/>
    </row>
    <row r="4" spans="2:12" ht="13.5" thickBot="1" x14ac:dyDescent="0.25"/>
    <row r="5" spans="2:12" ht="15" x14ac:dyDescent="0.2">
      <c r="C5" s="516" t="s">
        <v>271</v>
      </c>
      <c r="D5" s="517"/>
      <c r="E5" s="517"/>
      <c r="F5" s="518"/>
      <c r="G5" s="778" t="s">
        <v>242</v>
      </c>
      <c r="H5" s="778"/>
      <c r="I5" s="3"/>
      <c r="J5" s="3"/>
    </row>
    <row r="6" spans="2:12" ht="15" x14ac:dyDescent="0.2">
      <c r="C6" s="436" t="s">
        <v>371</v>
      </c>
      <c r="D6" s="438"/>
      <c r="E6" s="438"/>
      <c r="F6" s="438"/>
      <c r="G6" s="519" t="s">
        <v>674</v>
      </c>
      <c r="H6" s="520"/>
    </row>
    <row r="7" spans="2:12" ht="15" x14ac:dyDescent="0.2">
      <c r="C7" s="292" t="s">
        <v>265</v>
      </c>
      <c r="D7" s="294"/>
      <c r="E7" s="294"/>
      <c r="F7" s="315" t="s">
        <v>279</v>
      </c>
      <c r="G7" s="755">
        <f>40+58/60+8.31/3600</f>
        <v>40.968975</v>
      </c>
      <c r="H7" s="3"/>
      <c r="I7" s="3"/>
    </row>
    <row r="8" spans="2:12" ht="15" x14ac:dyDescent="0.2">
      <c r="C8" s="292" t="s">
        <v>278</v>
      </c>
      <c r="D8" s="294"/>
      <c r="E8" s="294"/>
      <c r="F8" s="315" t="s">
        <v>32</v>
      </c>
      <c r="G8" s="315">
        <v>60</v>
      </c>
      <c r="H8" s="101"/>
      <c r="I8" s="3"/>
    </row>
    <row r="9" spans="2:12" ht="15" x14ac:dyDescent="0.2">
      <c r="C9" s="292" t="s">
        <v>687</v>
      </c>
      <c r="F9" s="315" t="s">
        <v>32</v>
      </c>
      <c r="G9" s="523">
        <v>20</v>
      </c>
      <c r="H9" s="344" t="s">
        <v>688</v>
      </c>
      <c r="I9" s="3"/>
    </row>
    <row r="10" spans="2:12" ht="18" customHeight="1" x14ac:dyDescent="0.35">
      <c r="C10" s="97" t="s">
        <v>690</v>
      </c>
      <c r="D10" s="33"/>
      <c r="F10" s="116"/>
      <c r="G10" s="515">
        <f>0.000035*G9^2</f>
        <v>1.3999999999999999E-2</v>
      </c>
      <c r="H10" s="405"/>
    </row>
    <row r="11" spans="2:12" ht="16.5" customHeight="1" thickBot="1" x14ac:dyDescent="0.4">
      <c r="C11" s="521" t="s">
        <v>707</v>
      </c>
      <c r="D11" s="522"/>
      <c r="E11" s="522"/>
      <c r="F11" s="522"/>
      <c r="G11" s="524">
        <v>0</v>
      </c>
      <c r="H11" s="344" t="s">
        <v>708</v>
      </c>
      <c r="I11" s="344"/>
    </row>
    <row r="12" spans="2:12" ht="15" x14ac:dyDescent="0.2">
      <c r="E12" s="315" t="s">
        <v>272</v>
      </c>
      <c r="F12" s="315" t="s">
        <v>272</v>
      </c>
      <c r="G12" s="315" t="s">
        <v>280</v>
      </c>
      <c r="H12" s="315" t="s">
        <v>284</v>
      </c>
      <c r="I12" s="315" t="s">
        <v>280</v>
      </c>
    </row>
    <row r="13" spans="2:12" ht="15" x14ac:dyDescent="0.2">
      <c r="D13" s="97"/>
      <c r="E13" s="315" t="s">
        <v>273</v>
      </c>
      <c r="F13" s="315" t="s">
        <v>274</v>
      </c>
      <c r="G13" s="315" t="s">
        <v>281</v>
      </c>
      <c r="H13" s="293" t="s">
        <v>282</v>
      </c>
      <c r="I13" s="315" t="s">
        <v>281</v>
      </c>
    </row>
    <row r="14" spans="2:12" ht="18.75" x14ac:dyDescent="0.35">
      <c r="D14" s="97"/>
      <c r="E14" s="315" t="s">
        <v>275</v>
      </c>
      <c r="F14" s="315" t="s">
        <v>276</v>
      </c>
      <c r="G14" s="315" t="s">
        <v>285</v>
      </c>
      <c r="H14" s="293" t="s">
        <v>283</v>
      </c>
      <c r="I14" s="315" t="s">
        <v>689</v>
      </c>
    </row>
    <row r="15" spans="2:12" ht="18.75" thickBot="1" x14ac:dyDescent="0.25">
      <c r="D15" s="97"/>
      <c r="E15" s="315" t="s">
        <v>12</v>
      </c>
      <c r="F15" s="315" t="s">
        <v>12</v>
      </c>
      <c r="G15" s="315" t="s">
        <v>603</v>
      </c>
      <c r="H15" s="315"/>
      <c r="I15" s="315" t="s">
        <v>603</v>
      </c>
    </row>
    <row r="16" spans="2:12" ht="15" x14ac:dyDescent="0.2">
      <c r="D16" s="327" t="s">
        <v>0</v>
      </c>
      <c r="E16" s="735">
        <v>5</v>
      </c>
      <c r="F16" s="735">
        <v>4</v>
      </c>
      <c r="G16" s="528">
        <v>1.6944444444444442</v>
      </c>
      <c r="H16" s="529">
        <v>1.41</v>
      </c>
      <c r="I16" s="530">
        <f t="shared" ref="I16:I27" si="0">$G16*$H16*(1-$G$10)*(1-$G$11)</f>
        <v>2.3557183333333329</v>
      </c>
    </row>
    <row r="17" spans="4:9" ht="15" x14ac:dyDescent="0.2">
      <c r="D17" s="327" t="s">
        <v>1</v>
      </c>
      <c r="E17" s="736">
        <v>6</v>
      </c>
      <c r="F17" s="736">
        <v>5</v>
      </c>
      <c r="G17" s="525">
        <v>2.6388888888888888</v>
      </c>
      <c r="H17" s="526">
        <v>1.26</v>
      </c>
      <c r="I17" s="527">
        <f t="shared" si="0"/>
        <v>3.2784500000000003</v>
      </c>
    </row>
    <row r="18" spans="4:9" ht="15" x14ac:dyDescent="0.2">
      <c r="D18" s="327" t="s">
        <v>2</v>
      </c>
      <c r="E18" s="736">
        <v>8</v>
      </c>
      <c r="F18" s="736">
        <v>8</v>
      </c>
      <c r="G18" s="525">
        <v>3.75</v>
      </c>
      <c r="H18" s="526">
        <v>1.08</v>
      </c>
      <c r="I18" s="527">
        <f t="shared" si="0"/>
        <v>3.9933000000000005</v>
      </c>
    </row>
    <row r="19" spans="4:9" ht="15" x14ac:dyDescent="0.2">
      <c r="D19" s="327" t="s">
        <v>3</v>
      </c>
      <c r="E19" s="736">
        <v>10</v>
      </c>
      <c r="F19" s="736">
        <v>10</v>
      </c>
      <c r="G19" s="525">
        <v>4.75</v>
      </c>
      <c r="H19" s="526">
        <v>0.91</v>
      </c>
      <c r="I19" s="527">
        <f t="shared" si="0"/>
        <v>4.2619850000000001</v>
      </c>
    </row>
    <row r="20" spans="4:9" ht="15" x14ac:dyDescent="0.2">
      <c r="D20" s="327" t="s">
        <v>4</v>
      </c>
      <c r="E20" s="736">
        <v>11</v>
      </c>
      <c r="F20" s="736">
        <v>14</v>
      </c>
      <c r="G20" s="525">
        <v>5.4722222222222223</v>
      </c>
      <c r="H20" s="526">
        <v>0.78</v>
      </c>
      <c r="I20" s="527">
        <f t="shared" si="0"/>
        <v>4.2085766666666666</v>
      </c>
    </row>
    <row r="21" spans="4:9" ht="15" x14ac:dyDescent="0.2">
      <c r="D21" s="327" t="s">
        <v>5</v>
      </c>
      <c r="E21" s="736">
        <v>12</v>
      </c>
      <c r="F21" s="736">
        <v>18</v>
      </c>
      <c r="G21" s="525">
        <v>6.333333333333333</v>
      </c>
      <c r="H21" s="526">
        <v>0.73</v>
      </c>
      <c r="I21" s="527">
        <f t="shared" si="0"/>
        <v>4.558606666666666</v>
      </c>
    </row>
    <row r="22" spans="4:9" ht="15" x14ac:dyDescent="0.2">
      <c r="D22" s="327" t="s">
        <v>6</v>
      </c>
      <c r="E22" s="736">
        <v>13</v>
      </c>
      <c r="F22" s="736">
        <v>21</v>
      </c>
      <c r="G22" s="525">
        <v>6.8333333333333339</v>
      </c>
      <c r="H22" s="526">
        <v>0.78</v>
      </c>
      <c r="I22" s="527">
        <f t="shared" si="0"/>
        <v>5.2553800000000006</v>
      </c>
    </row>
    <row r="23" spans="4:9" ht="15" x14ac:dyDescent="0.2">
      <c r="D23" s="327" t="s">
        <v>7</v>
      </c>
      <c r="E23" s="736">
        <v>12</v>
      </c>
      <c r="F23" s="736">
        <v>21</v>
      </c>
      <c r="G23" s="525">
        <v>6.2777777777777777</v>
      </c>
      <c r="H23" s="526">
        <v>0.92</v>
      </c>
      <c r="I23" s="527">
        <f t="shared" si="0"/>
        <v>5.6946977777777779</v>
      </c>
    </row>
    <row r="24" spans="4:9" ht="15" x14ac:dyDescent="0.2">
      <c r="D24" s="327" t="s">
        <v>8</v>
      </c>
      <c r="E24" s="736">
        <v>11</v>
      </c>
      <c r="F24" s="736">
        <v>18</v>
      </c>
      <c r="G24" s="525">
        <v>4.8611111111111107</v>
      </c>
      <c r="H24" s="526">
        <v>1.1399999999999999</v>
      </c>
      <c r="I24" s="527">
        <f t="shared" si="0"/>
        <v>5.464083333333333</v>
      </c>
    </row>
    <row r="25" spans="4:9" ht="15" x14ac:dyDescent="0.2">
      <c r="D25" s="327" t="s">
        <v>9</v>
      </c>
      <c r="E25" s="736">
        <v>10</v>
      </c>
      <c r="F25" s="736">
        <v>12</v>
      </c>
      <c r="G25" s="525">
        <v>3.1388888888888888</v>
      </c>
      <c r="H25" s="526">
        <v>1.39</v>
      </c>
      <c r="I25" s="527">
        <f t="shared" si="0"/>
        <v>4.3019727777777774</v>
      </c>
    </row>
    <row r="26" spans="4:9" ht="15" x14ac:dyDescent="0.2">
      <c r="D26" s="327" t="s">
        <v>10</v>
      </c>
      <c r="E26" s="736">
        <v>8</v>
      </c>
      <c r="F26" s="736">
        <v>7</v>
      </c>
      <c r="G26" s="525">
        <v>2.0555555555555558</v>
      </c>
      <c r="H26" s="526">
        <v>1.56</v>
      </c>
      <c r="I26" s="527">
        <f t="shared" si="0"/>
        <v>3.1617733333333335</v>
      </c>
    </row>
    <row r="27" spans="4:9" ht="15.75" thickBot="1" x14ac:dyDescent="0.25">
      <c r="D27" s="327" t="s">
        <v>11</v>
      </c>
      <c r="E27" s="737">
        <v>5</v>
      </c>
      <c r="F27" s="737">
        <v>4</v>
      </c>
      <c r="G27" s="531">
        <v>1.4444444444444444</v>
      </c>
      <c r="H27" s="532">
        <v>1.54</v>
      </c>
      <c r="I27" s="533">
        <f t="shared" si="0"/>
        <v>2.193302222222222</v>
      </c>
    </row>
    <row r="28" spans="4:9" ht="19.5" x14ac:dyDescent="0.35">
      <c r="I28" s="406" t="s">
        <v>709</v>
      </c>
    </row>
    <row r="30" spans="4:9" x14ac:dyDescent="0.2">
      <c r="E30" s="345" t="s">
        <v>350</v>
      </c>
      <c r="F30" s="344"/>
    </row>
    <row r="31" spans="4:9" x14ac:dyDescent="0.2">
      <c r="E31" s="344"/>
      <c r="F31" s="344" t="s">
        <v>348</v>
      </c>
    </row>
    <row r="32" spans="4:9" x14ac:dyDescent="0.2">
      <c r="E32" s="344"/>
      <c r="F32" s="344" t="s">
        <v>346</v>
      </c>
    </row>
    <row r="33" spans="2:12" x14ac:dyDescent="0.2">
      <c r="E33" s="344"/>
      <c r="F33" s="344" t="s">
        <v>347</v>
      </c>
    </row>
    <row r="34" spans="2:12" x14ac:dyDescent="0.2">
      <c r="E34" s="344"/>
      <c r="F34" s="344" t="s">
        <v>349</v>
      </c>
    </row>
    <row r="35" spans="2:12" x14ac:dyDescent="0.2">
      <c r="E35" s="344"/>
      <c r="F35" s="344"/>
    </row>
    <row r="36" spans="2:12" x14ac:dyDescent="0.2">
      <c r="E36" s="345" t="s">
        <v>631</v>
      </c>
      <c r="F36" s="344"/>
    </row>
    <row r="37" spans="2:12" x14ac:dyDescent="0.2">
      <c r="E37" s="344"/>
      <c r="F37" s="344" t="s">
        <v>351</v>
      </c>
    </row>
    <row r="38" spans="2:12" x14ac:dyDescent="0.2">
      <c r="E38" s="344"/>
      <c r="F38" s="344" t="s">
        <v>354</v>
      </c>
    </row>
    <row r="39" spans="2:12" x14ac:dyDescent="0.2">
      <c r="E39" s="344"/>
      <c r="F39" s="344" t="s">
        <v>352</v>
      </c>
    </row>
    <row r="40" spans="2:12" x14ac:dyDescent="0.2">
      <c r="E40" s="344"/>
      <c r="F40" s="344" t="s">
        <v>353</v>
      </c>
    </row>
    <row r="42" spans="2:12" ht="13.5" thickBot="1" x14ac:dyDescent="0.25">
      <c r="B42" s="542"/>
      <c r="C42" s="422"/>
      <c r="D42" s="542"/>
      <c r="E42" s="542"/>
      <c r="F42" s="422"/>
      <c r="G42" s="422"/>
      <c r="H42" s="422"/>
      <c r="I42" s="422"/>
      <c r="J42" s="422"/>
      <c r="K42" s="422"/>
    </row>
    <row r="43" spans="2:12" ht="9" customHeight="1" thickTop="1" x14ac:dyDescent="0.2"/>
    <row r="44" spans="2:12" ht="9" customHeight="1" x14ac:dyDescent="0.25">
      <c r="B44" s="170"/>
      <c r="D44" s="171"/>
      <c r="E44" s="171"/>
      <c r="F44" s="171"/>
      <c r="G44" s="171"/>
      <c r="H44" s="171"/>
      <c r="I44" s="171"/>
      <c r="J44" s="102"/>
      <c r="K44" s="102"/>
      <c r="L44" s="102"/>
    </row>
    <row r="45" spans="2:12" ht="7.5" customHeight="1" x14ac:dyDescent="0.2"/>
    <row r="46" spans="2:12" ht="15.75" x14ac:dyDescent="0.25">
      <c r="B46" s="779" t="s">
        <v>635</v>
      </c>
      <c r="C46" s="780"/>
      <c r="D46" s="780"/>
      <c r="E46" s="780"/>
      <c r="F46" s="780"/>
      <c r="G46" s="780"/>
      <c r="H46" s="780"/>
      <c r="I46" s="780"/>
      <c r="J46" s="780"/>
      <c r="K46" s="781"/>
    </row>
    <row r="47" spans="2:12" ht="15" x14ac:dyDescent="0.2">
      <c r="D47" s="97"/>
    </row>
    <row r="48" spans="2:12" ht="15.75" x14ac:dyDescent="0.25">
      <c r="C48" s="319" t="s">
        <v>699</v>
      </c>
      <c r="I48" s="535" t="s">
        <v>701</v>
      </c>
    </row>
    <row r="49" spans="2:31" ht="13.5" thickBot="1" x14ac:dyDescent="0.25">
      <c r="AA49" s="331" t="s">
        <v>522</v>
      </c>
      <c r="AB49" s="294"/>
      <c r="AC49" s="294"/>
      <c r="AD49" s="294"/>
      <c r="AE49" s="294"/>
    </row>
    <row r="50" spans="2:31" ht="15.75" x14ac:dyDescent="0.25">
      <c r="C50" s="352" t="str">
        <f>IF(OR(AA51=4,AA51=5),"Características de la vivienda unifamiliar","Tipos de viviendas en el edificio")</f>
        <v>Tipos de viviendas en el edificio</v>
      </c>
      <c r="D50" s="315"/>
      <c r="E50" s="116"/>
      <c r="F50" s="116"/>
      <c r="G50" s="116"/>
      <c r="AA50" s="392" t="s">
        <v>521</v>
      </c>
      <c r="AB50" s="393"/>
      <c r="AC50" s="393"/>
      <c r="AD50" s="393"/>
      <c r="AE50" s="394"/>
    </row>
    <row r="51" spans="2:31" ht="15" x14ac:dyDescent="0.2">
      <c r="D51" s="292"/>
      <c r="E51" s="315" t="str">
        <f>IF(OR(AA51=4,AA51=5),"","Viv. tipo 1")</f>
        <v>Viv. tipo 1</v>
      </c>
      <c r="F51" s="315" t="str">
        <f>IF(OR(AA51=4,AA51=5),"","Viv. tipo 2")</f>
        <v>Viv. tipo 2</v>
      </c>
      <c r="G51" s="315" t="str">
        <f>IF(OR(AA51=4,AA51=5),"","Viv. tipo 3")</f>
        <v>Viv. tipo 3</v>
      </c>
      <c r="H51" s="315" t="str">
        <f>IF(OR(AA51=4,AA51=5),"","Viv. tipo 4")</f>
        <v>Viv. tipo 4</v>
      </c>
      <c r="I51" s="315" t="str">
        <f>IF(OR(AA51=4,AA51=5),"","Viv. tipo 5")</f>
        <v>Viv. tipo 5</v>
      </c>
      <c r="J51" s="3"/>
      <c r="AA51" s="395">
        <v>1</v>
      </c>
      <c r="AB51" s="294"/>
      <c r="AC51" s="294"/>
      <c r="AD51" s="294"/>
      <c r="AE51" s="396"/>
    </row>
    <row r="52" spans="2:31" ht="15" x14ac:dyDescent="0.2">
      <c r="D52" s="327" t="s">
        <v>703</v>
      </c>
      <c r="E52" s="750">
        <v>10</v>
      </c>
      <c r="F52" s="750"/>
      <c r="G52" s="750"/>
      <c r="H52" s="750"/>
      <c r="I52" s="750"/>
      <c r="AA52" s="397" t="s">
        <v>700</v>
      </c>
      <c r="AB52" s="294"/>
      <c r="AC52" s="294"/>
      <c r="AD52" s="294"/>
      <c r="AE52" s="396"/>
    </row>
    <row r="53" spans="2:31" ht="15" x14ac:dyDescent="0.2">
      <c r="D53" s="327" t="str">
        <f>IF(OR(AA51=4,AA51=5),"nº habitaciones","nº habit. / vivienda")</f>
        <v>nº habit. / vivienda</v>
      </c>
      <c r="E53" s="693">
        <v>2</v>
      </c>
      <c r="F53" s="750"/>
      <c r="G53" s="750"/>
      <c r="H53" s="750"/>
      <c r="I53" s="750"/>
      <c r="P53" s="3"/>
      <c r="AA53" s="397" t="s">
        <v>693</v>
      </c>
      <c r="AB53" s="294"/>
      <c r="AC53" s="294"/>
      <c r="AD53" s="294"/>
      <c r="AE53" s="396"/>
    </row>
    <row r="54" spans="2:31" ht="15" x14ac:dyDescent="0.2">
      <c r="D54" s="327" t="str">
        <f>IF(OR(AA51=4,AA51=5),"nº personas","nº personas / vivienda")</f>
        <v>nº personas / vivienda</v>
      </c>
      <c r="E54" s="693">
        <v>4</v>
      </c>
      <c r="F54" s="750"/>
      <c r="G54" s="750"/>
      <c r="H54" s="750"/>
      <c r="I54" s="750"/>
      <c r="P54" s="213"/>
      <c r="S54" s="3"/>
      <c r="AA54" s="397" t="s">
        <v>694</v>
      </c>
      <c r="AB54" s="294"/>
      <c r="AC54" s="294"/>
      <c r="AD54" s="294"/>
      <c r="AE54" s="396"/>
    </row>
    <row r="55" spans="2:31" ht="15" x14ac:dyDescent="0.2">
      <c r="D55" s="327" t="str">
        <f>IF(OR(AA51=4,AA51=5),"","nºpers. en viv. de ese tipo")</f>
        <v>nºpers. en viv. de ese tipo</v>
      </c>
      <c r="E55" s="752">
        <f>IF(OR(AA51=4,AA51=5),"",IF(E52*E54=0,"",E52*E54))</f>
        <v>40</v>
      </c>
      <c r="F55" s="537" t="str">
        <f>IF(OR(AB51=4,AB51=5),"",IF(F52*F54=0,"",F52*F54))</f>
        <v/>
      </c>
      <c r="G55" s="537" t="str">
        <f>IF(OR(AC51=4,AC51=5),"",IF(G52*G54=0,"",G52*G54))</f>
        <v/>
      </c>
      <c r="H55" s="537" t="str">
        <f>IF(OR(AD51=4,AD51=5),"",IF(H52*H54=0,"",H52*H54))</f>
        <v/>
      </c>
      <c r="I55" s="537" t="str">
        <f>IF(OR(AE51=4,AE51=5),"",IF(I52*I54=0,"",I52*I54))</f>
        <v/>
      </c>
      <c r="S55" s="213"/>
      <c r="AA55" s="397" t="s">
        <v>705</v>
      </c>
      <c r="AB55" s="294"/>
      <c r="AC55" s="294"/>
      <c r="AD55" s="294"/>
      <c r="AE55" s="396"/>
    </row>
    <row r="56" spans="2:31" ht="15.75" thickBot="1" x14ac:dyDescent="0.25">
      <c r="D56" s="327"/>
      <c r="E56" s="413"/>
      <c r="F56" s="413"/>
      <c r="G56" s="413"/>
      <c r="H56" s="413"/>
      <c r="I56" s="413"/>
      <c r="AA56" s="398" t="s">
        <v>706</v>
      </c>
      <c r="AB56" s="399"/>
      <c r="AC56" s="399"/>
      <c r="AD56" s="399"/>
      <c r="AE56" s="400"/>
    </row>
    <row r="57" spans="2:31" ht="15" x14ac:dyDescent="0.2">
      <c r="B57" s="541"/>
      <c r="D57" s="294"/>
      <c r="E57" s="327" t="str">
        <f>IF(OR(AA51=4,AA51=5),"","Nº total viviendas en el edificio")</f>
        <v>Nº total viviendas en el edificio</v>
      </c>
      <c r="F57" s="537">
        <f>IF(OR(AA51=4,AA51=5),"",SUM(E52:I52))</f>
        <v>10</v>
      </c>
      <c r="G57" s="315"/>
      <c r="H57" s="315"/>
      <c r="I57" s="315"/>
      <c r="M57" s="543"/>
    </row>
    <row r="58" spans="2:31" ht="15" x14ac:dyDescent="0.2">
      <c r="B58" s="541"/>
      <c r="D58" s="294"/>
      <c r="E58" s="327" t="str">
        <f>IF(OR(AA51=4,AA51=5),"","Nº total personas")</f>
        <v>Nº total personas</v>
      </c>
      <c r="F58" s="753">
        <f>IF(OR(AA51=4,AA51=5),"",SUM(E55:I55))</f>
        <v>40</v>
      </c>
      <c r="G58" s="315"/>
      <c r="I58" s="315"/>
      <c r="M58" s="543"/>
    </row>
    <row r="59" spans="2:31" ht="15" x14ac:dyDescent="0.2">
      <c r="B59" s="541"/>
      <c r="D59" s="327"/>
      <c r="E59" s="315"/>
      <c r="F59" s="315"/>
      <c r="G59" s="315"/>
      <c r="H59" s="315"/>
      <c r="I59" s="315"/>
      <c r="M59" s="543"/>
    </row>
    <row r="60" spans="2:31" ht="9" customHeight="1" x14ac:dyDescent="0.2">
      <c r="B60" s="541"/>
      <c r="D60" s="327"/>
      <c r="E60" s="315"/>
      <c r="F60" s="315"/>
      <c r="G60" s="315"/>
      <c r="H60" s="315"/>
      <c r="I60" s="315"/>
      <c r="M60" s="543"/>
    </row>
    <row r="61" spans="2:31" ht="9" customHeight="1" x14ac:dyDescent="0.2">
      <c r="B61" s="541"/>
      <c r="D61" s="327"/>
      <c r="E61" s="315"/>
      <c r="F61" s="315"/>
      <c r="G61" s="315"/>
      <c r="H61" s="315"/>
      <c r="I61" s="315"/>
      <c r="M61" s="543"/>
      <c r="AA61" s="5"/>
    </row>
    <row r="62" spans="2:31" ht="8.25" customHeight="1" x14ac:dyDescent="0.2">
      <c r="B62" s="541"/>
      <c r="D62" s="327"/>
      <c r="E62" s="315"/>
      <c r="F62" s="315"/>
      <c r="G62" s="315"/>
      <c r="H62" s="315"/>
      <c r="I62" s="315"/>
      <c r="M62" s="543"/>
    </row>
    <row r="63" spans="2:31" ht="15.75" x14ac:dyDescent="0.25">
      <c r="B63" s="742" t="str">
        <f>IF(AA51=1,"","Volumen de acumulación individual por tipo de vivienda")</f>
        <v/>
      </c>
      <c r="C63" s="368"/>
      <c r="D63" s="368"/>
      <c r="E63" s="368"/>
      <c r="F63" s="368"/>
      <c r="G63" s="368"/>
      <c r="H63" s="368"/>
      <c r="I63" s="368"/>
      <c r="J63" s="368"/>
      <c r="K63" s="493"/>
      <c r="M63" s="543"/>
    </row>
    <row r="64" spans="2:31" ht="15.75" x14ac:dyDescent="0.25">
      <c r="B64" s="540"/>
      <c r="C64" s="368"/>
      <c r="D64" s="368"/>
      <c r="E64" s="368"/>
      <c r="F64" s="368"/>
      <c r="G64" s="368"/>
      <c r="H64" s="368"/>
      <c r="I64" s="368"/>
      <c r="J64" s="368"/>
      <c r="K64" s="493"/>
      <c r="M64" s="543"/>
    </row>
    <row r="65" spans="2:27" ht="15" x14ac:dyDescent="0.2">
      <c r="B65" s="541"/>
      <c r="D65" s="327"/>
      <c r="E65" s="315"/>
      <c r="F65" s="315"/>
      <c r="G65" s="315"/>
      <c r="H65" s="315"/>
      <c r="I65" s="315"/>
      <c r="K65" s="494"/>
      <c r="M65" s="543"/>
      <c r="AA65" s="385"/>
    </row>
    <row r="66" spans="2:27" ht="15.75" x14ac:dyDescent="0.25">
      <c r="B66" s="541"/>
      <c r="C66" s="353" t="str">
        <f>IF(OR(AA51=1,AA51=4,AA51=5),"","Volumen de acumulación individual por tipo de vivienda")</f>
        <v/>
      </c>
      <c r="D66" s="353"/>
      <c r="E66" s="353"/>
      <c r="F66" s="353"/>
      <c r="G66" s="353"/>
      <c r="K66" s="494"/>
      <c r="M66" s="543"/>
    </row>
    <row r="67" spans="2:27" ht="14.25" customHeight="1" x14ac:dyDescent="0.2">
      <c r="B67" s="541"/>
      <c r="D67" s="327"/>
      <c r="E67" s="315" t="str">
        <f>IF(OR(AA51=1,AA51=4,AA51=5),"","Viv. tipo 1")</f>
        <v/>
      </c>
      <c r="F67" s="315" t="str">
        <f>IF(OR(AA51=1,AA51=4,AA51=5),"","Viv. tipo 2")</f>
        <v/>
      </c>
      <c r="G67" s="315" t="str">
        <f>IF(OR(AA51=1,AA51=4,AA51=5),"","Viv. tipo 3")</f>
        <v/>
      </c>
      <c r="H67" s="315" t="str">
        <f>IF(OR(AA51=1,AA51=4,AA51=5),"","Viv.tipo4")</f>
        <v/>
      </c>
      <c r="I67" s="315" t="str">
        <f>IF(OR(AA51=1,AA51=4,AA51=5),"","Viv. tipo 5")</f>
        <v/>
      </c>
      <c r="K67" s="494"/>
      <c r="M67" s="543"/>
      <c r="P67" s="105"/>
    </row>
    <row r="68" spans="2:27" ht="15" customHeight="1" x14ac:dyDescent="0.2">
      <c r="B68" s="541"/>
      <c r="D68" s="327" t="str">
        <f>IF(OR(AA51=1,AA51=4,AA51=5),"",IF(AA51=2,"Vol. acum. indv. calculado", "Vol. acum. indv. calculado (*)"))</f>
        <v/>
      </c>
      <c r="E68" s="746" t="str">
        <f>IF(OR(AA51=1,AA51=4,AA51=5),"",IF(OR(AA51=2,AA51=3),IF(E52=0,"",(Principal!$G$56/E52)*(E55/$F$58))))</f>
        <v/>
      </c>
      <c r="F68" s="746" t="str">
        <f>IF(OR(AA51=1,AA51=4,AA51=5),"",IF(OR(AA51=2,AA51=3),IF(F52=0,"",(Principal!$G$56/F52)*(F55/$F$58))))</f>
        <v/>
      </c>
      <c r="G68" s="746" t="str">
        <f>IF(OR(AA51=1,AA51=4,AA51=5),"",IF(OR(AA51=2,AA51=3),IF(G52=0,"",(Principal!$G$56/G52)*(G55/$F$58))))</f>
        <v/>
      </c>
      <c r="H68" s="746" t="str">
        <f>IF(OR(AA51=1,AA51=4,AA51=5),"",IF(OR(AA51=2,AA51=3),IF(H52=0,"",(Principal!$G$56/H52)*(H55/$F$58))))</f>
        <v/>
      </c>
      <c r="I68" s="746" t="str">
        <f>IF(OR(AA51=1,AA51=4,AA51=5),"",IF(OR(AA51=2,AA51=3),IF(I52=0,"",(Principal!$G$56/I52)*(I55/$F$58))))</f>
        <v/>
      </c>
      <c r="K68" s="494"/>
      <c r="M68" s="543"/>
    </row>
    <row r="69" spans="2:27" ht="15" x14ac:dyDescent="0.2">
      <c r="B69" s="541"/>
      <c r="D69" s="327" t="str">
        <f>IF(OR(AA51=1,AA51=4,AA51=5),"",IF(AA51=2,"Vol. acum. indv. sugerido","Vol. acum. indv. sugerido (*)"))</f>
        <v/>
      </c>
      <c r="E69" s="747" t="str">
        <f>IF(OR(AA51=1,AA51=4,AA51=5),"",IF(E52=0,"0",IF(E68&lt;100,100,IF((E68-FLOOR(E68,50))/FLOOR(E68,50)&gt;0.02,CEILING(E68,50),FLOOR(E68,50)))))</f>
        <v/>
      </c>
      <c r="F69" s="747" t="str">
        <f>IF(OR(AA51=1,AA51=4,AA51=5),"",IF(F52=0,"0",IF(F68&lt;100,100,IF((F68-FLOOR(F68,50))/FLOOR(F68,50)&gt;0.02,CEILING(F68,50),FLOOR(F68,50)))))</f>
        <v/>
      </c>
      <c r="G69" s="747" t="str">
        <f>IF(OR(AA51=1,AA51=4,AA51=5),"",IF(G52=0,"0",IF(G68&lt;100,100,IF((G68-FLOOR(G68,50))/FLOOR(G68,50)&gt;0.02,CEILING(G68,50),FLOOR(G68,50)))))</f>
        <v/>
      </c>
      <c r="H69" s="747" t="str">
        <f>IF(OR(AA51=1,AA51=4,AA51=5),"",IF(H52=0,"0",IF(H68&lt;100,100,IF((H68-FLOOR(H68,50))/FLOOR(H68,50)&gt;0.02,CEILING(H68,50),FLOOR(H68,50)))))</f>
        <v/>
      </c>
      <c r="I69" s="747" t="str">
        <f>IF(OR(AA51=1,AA51=4,AA51=5),"",IF(I52=0,"0",IF(I68&lt;100,100,IF((I68-FLOOR(I68,50))/FLOOR(I68,50)&gt;0.02,CEILING(I68,50),FLOOR(I68,50)))))</f>
        <v/>
      </c>
      <c r="K69" s="494"/>
      <c r="M69" s="543"/>
    </row>
    <row r="70" spans="2:27" ht="15" x14ac:dyDescent="0.2">
      <c r="B70" s="541"/>
      <c r="D70" s="327" t="str">
        <f>IF(OR(AA51=1,AA51=4,AA51=5),"","Vol. acum. indv. seleccionado")</f>
        <v/>
      </c>
      <c r="E70" s="745"/>
      <c r="F70" s="745"/>
      <c r="G70" s="745"/>
      <c r="H70" s="745"/>
      <c r="I70" s="745"/>
      <c r="K70" s="494"/>
      <c r="M70" s="543"/>
    </row>
    <row r="71" spans="2:27" ht="13.5" customHeight="1" x14ac:dyDescent="0.2">
      <c r="B71" s="541"/>
      <c r="D71" s="294"/>
      <c r="E71" s="5"/>
      <c r="K71" s="494"/>
      <c r="M71" s="543"/>
    </row>
    <row r="72" spans="2:27" ht="15" customHeight="1" x14ac:dyDescent="0.2">
      <c r="B72" s="541"/>
      <c r="D72" s="294"/>
      <c r="E72" s="330" t="str">
        <f>IF(OR(AA51=1,AA51=4,AA51=5),"",IF(AA51=2,"Volumen total calculado",IF(AA51=3,"Volumen total calculado para config. indiv. (*)")))</f>
        <v/>
      </c>
      <c r="F72" s="496" t="str">
        <f>IF(OR(AA51=1,AA51=4,AA51=5),"",Principal!G56)</f>
        <v/>
      </c>
      <c r="H72" s="330"/>
      <c r="I72" s="389"/>
      <c r="K72" s="494"/>
      <c r="M72" s="543"/>
      <c r="AA72" s="385" t="s">
        <v>673</v>
      </c>
    </row>
    <row r="73" spans="2:27" ht="15" x14ac:dyDescent="0.2">
      <c r="B73" s="541"/>
      <c r="C73" s="369"/>
      <c r="D73" s="370"/>
      <c r="E73" s="371" t="str">
        <f>IF(OR(AA51=1,AA51=4,AA51=5),"",IF(AA51=2,"Volumen total sugerido","Vol. total sugerido para config. indiv. (*)"))</f>
        <v/>
      </c>
      <c r="F73" s="748" t="str">
        <f>IF(OR(AA51=1,AA51=4,AA51=5),"",E69*E52+F69*F52+G69*G52+H69*H52+I69*I52)</f>
        <v/>
      </c>
      <c r="G73" s="369"/>
      <c r="H73" s="371" t="str">
        <f>IF(OR(AA51=1,AA51=2,AA51=4,AA51=5),"","Vol. centralizado sugerido (**)")</f>
        <v/>
      </c>
      <c r="I73" s="748" t="str">
        <f>IF(AA51=3,IF(AA73&gt;0,IF((AA73-FLOOR(AA73,500))/CEILING(AA73,500)&gt;0.04,CEILING(AA73,500),FLOOR(AA73,500)),0),"")</f>
        <v/>
      </c>
      <c r="J73" s="369"/>
      <c r="K73" s="495"/>
      <c r="M73" s="543"/>
      <c r="AA73" s="411" t="str">
        <f>IF(AA51=3,F72-(E70*E52+F70*F52+G70*G52+H70*H52+I70*I52),"")</f>
        <v/>
      </c>
    </row>
    <row r="74" spans="2:27" ht="15.75" x14ac:dyDescent="0.25">
      <c r="B74" s="541"/>
      <c r="D74" s="294"/>
      <c r="E74" s="327" t="str">
        <f>IF(OR(AA51=1,AA51=4,AA51=5),"",IF(AA51=2,"Volumen total seleccionado","Vol. total seleccionado para config. mixta"))</f>
        <v/>
      </c>
      <c r="F74" s="497" t="str">
        <f>IF(OR(AA51=1,AA51=4,AA51=5),"",IF(AA51=2,E70*E52+F70*F52+G70*G52+H70*H52+I70*I52,IF(AA51=3,E70*E52+F70*F52+G70*G52+H70*H52+I70*I52+I74)))</f>
        <v/>
      </c>
      <c r="H74" s="327" t="str">
        <f>IF(OR(AA51=1,AA51=2,AA51=4,AA51=5),"","Vol. centralizado seleccionado")</f>
        <v/>
      </c>
      <c r="I74" s="749"/>
      <c r="K74" s="494"/>
      <c r="M74" s="543"/>
    </row>
    <row r="75" spans="2:27" ht="15" customHeight="1" x14ac:dyDescent="0.2">
      <c r="B75" s="541"/>
      <c r="C75" s="538" t="str">
        <f>IF(AA51=3,"(*) Volúmenes que se obtendrían en el caso de la configuración de acumulación INDIVIDUAL (guía para el usuario)","")</f>
        <v/>
      </c>
      <c r="E75" s="5"/>
      <c r="K75" s="494"/>
      <c r="M75" s="543"/>
    </row>
    <row r="76" spans="2:27" x14ac:dyDescent="0.2">
      <c r="B76" s="541"/>
      <c r="C76" s="538" t="str">
        <f>IF(AA51=3,"(**) Volúmen centralizado sugerido para la configuración MIXTA teniendo en cuenta el vol. acum. individual indicado por el usuario","")</f>
        <v/>
      </c>
      <c r="K76" s="494"/>
      <c r="M76" s="543"/>
    </row>
    <row r="77" spans="2:27" ht="13.5" thickBot="1" x14ac:dyDescent="0.25">
      <c r="B77" s="354"/>
      <c r="C77" s="539"/>
      <c r="D77" s="539"/>
      <c r="E77" s="539"/>
      <c r="F77" s="539"/>
      <c r="G77" s="539"/>
      <c r="H77" s="539"/>
      <c r="I77" s="539"/>
      <c r="J77" s="539"/>
      <c r="K77" s="539"/>
      <c r="L77" s="539"/>
      <c r="M77" s="354"/>
    </row>
    <row r="78" spans="2:27" ht="13.5" thickTop="1" x14ac:dyDescent="0.2">
      <c r="B78" s="546" t="s">
        <v>722</v>
      </c>
      <c r="C78" s="544"/>
      <c r="D78" s="544"/>
      <c r="E78" s="544"/>
      <c r="F78" s="544"/>
      <c r="G78" s="545"/>
      <c r="H78" s="544"/>
      <c r="I78" s="544"/>
      <c r="J78" s="544"/>
      <c r="K78" s="544"/>
    </row>
    <row r="80" spans="2:27" x14ac:dyDescent="0.2">
      <c r="H80" s="547"/>
    </row>
    <row r="89" spans="3:3" x14ac:dyDescent="0.2">
      <c r="C89" s="326"/>
    </row>
  </sheetData>
  <sheetProtection algorithmName="SHA-512" hashValue="gDI0zTtPJLRt6zlmejZTN0FPrFNgirCPbFc22PxW46cHTEtYsxz7JPSU4F3bwLPG4Q2MIbA572YkBJyPJT2WgA==" saltValue="2AF5/G/SOp3eiSlBG3NJpQ==" spinCount="100000" sheet="1" objects="1" scenarios="1"/>
  <protectedRanges>
    <protectedRange sqref="I52" name="Rango1"/>
  </protectedRanges>
  <mergeCells count="2">
    <mergeCell ref="G5:H5"/>
    <mergeCell ref="B46:K46"/>
  </mergeCells>
  <phoneticPr fontId="56" type="noConversion"/>
  <conditionalFormatting sqref="E70:I70">
    <cfRule type="cellIs" dxfId="25" priority="1" stopIfTrue="1" operator="notEqual">
      <formula>0</formula>
    </cfRule>
  </conditionalFormatting>
  <hyperlinks>
    <hyperlink ref="C1" location="Principal!A1" tooltip="Ir a la hoja Principal" display="Ir a la hoja Principal" xr:uid="{FDCC94F0-09C2-4FE9-B8EA-8549856BB564}"/>
    <hyperlink ref="I48" location="Principal!A45" tooltip="Ir a la hoja Principal" display="Ir a la hoja Principal" xr:uid="{57F18E23-229B-4A9B-9CED-FC583361756B}"/>
  </hyperlinks>
  <printOptions horizontalCentered="1"/>
  <pageMargins left="0.75" right="0.75" top="1" bottom="1" header="0" footer="0"/>
  <pageSetup paperSize="9" scale="60" orientation="portrait" r:id="rId1"/>
  <headerFooter alignWithMargins="0"/>
  <cellWatches>
    <cellWatch r="F52"/>
    <cellWatch r="G53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SeleccionaProvincia">
                <anchor moveWithCells="1" sizeWithCells="1">
                  <from>
                    <xdr:col>8</xdr:col>
                    <xdr:colOff>314325</xdr:colOff>
                    <xdr:row>3</xdr:row>
                    <xdr:rowOff>142875</xdr:rowOff>
                  </from>
                  <to>
                    <xdr:col>9</xdr:col>
                    <xdr:colOff>371475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SeleccionaInclinacionCaptador">
                <anchor moveWithCells="1" sizeWithCells="1">
                  <from>
                    <xdr:col>8</xdr:col>
                    <xdr:colOff>314325</xdr:colOff>
                    <xdr:row>6</xdr:row>
                    <xdr:rowOff>142875</xdr:rowOff>
                  </from>
                  <to>
                    <xdr:col>9</xdr:col>
                    <xdr:colOff>371475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6" name="Drop Down 71">
              <controlPr locked="0" defaultSize="0" autoLine="0" autoPict="0" macro="[0]!CambioTopologiaAcumulacion">
                <anchor moveWithCells="1">
                  <from>
                    <xdr:col>4</xdr:col>
                    <xdr:colOff>476250</xdr:colOff>
                    <xdr:row>46</xdr:row>
                    <xdr:rowOff>180975</xdr:rowOff>
                  </from>
                  <to>
                    <xdr:col>7</xdr:col>
                    <xdr:colOff>542925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34BCF-276E-4A3F-A773-383ADB816CDC}">
  <sheetPr codeName="Hoja18"/>
  <dimension ref="A1:BD119"/>
  <sheetViews>
    <sheetView showGridLines="0" zoomScale="75" workbookViewId="0">
      <selection activeCell="H14" sqref="H14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85546875" customWidth="1"/>
    <col min="5" max="5" width="13.7109375" customWidth="1"/>
    <col min="7" max="8" width="15.42578125" customWidth="1"/>
    <col min="9" max="9" width="18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10.85546875" customWidth="1"/>
    <col min="25" max="25" width="4.140625" customWidth="1"/>
    <col min="33" max="33" width="0" hidden="1" customWidth="1"/>
    <col min="34" max="35" width="11.425781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21.28515625" hidden="1" customWidth="1"/>
    <col min="56" max="56" width="11.42578125" hidden="1" customWidth="1"/>
    <col min="57" max="57" width="0" hidden="1" customWidth="1"/>
  </cols>
  <sheetData>
    <row r="1" spans="1:25" ht="20.25" x14ac:dyDescent="0.3">
      <c r="B1" s="782" t="s">
        <v>730</v>
      </c>
      <c r="C1" s="782"/>
      <c r="D1" s="782"/>
      <c r="E1" s="782"/>
      <c r="F1" s="782"/>
      <c r="G1" s="782"/>
      <c r="H1" s="782"/>
      <c r="I1" s="782"/>
      <c r="J1" s="782"/>
      <c r="K1" s="782"/>
      <c r="L1" s="782"/>
      <c r="M1" s="782"/>
      <c r="N1" s="782"/>
      <c r="O1" s="782"/>
      <c r="P1" s="782"/>
      <c r="Q1" s="782"/>
      <c r="R1" s="782"/>
      <c r="S1" s="782"/>
      <c r="T1" s="782"/>
      <c r="U1" s="782"/>
      <c r="V1" s="782"/>
      <c r="W1" s="782"/>
      <c r="X1" s="782"/>
      <c r="Y1" s="782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731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4" spans="1:25" ht="15.75" x14ac:dyDescent="0.25">
      <c r="C4" s="319" t="s">
        <v>410</v>
      </c>
      <c r="D4" s="294"/>
      <c r="E4" s="294"/>
      <c r="F4" s="294"/>
      <c r="G4" s="294"/>
    </row>
    <row r="5" spans="1:25" ht="15" x14ac:dyDescent="0.2">
      <c r="C5" s="481" t="s">
        <v>411</v>
      </c>
      <c r="D5" s="556"/>
      <c r="E5" s="556"/>
      <c r="F5" s="556"/>
      <c r="G5" s="556"/>
      <c r="H5" s="557">
        <f>Principal!G63</f>
        <v>12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5" ht="15" x14ac:dyDescent="0.2">
      <c r="C7" s="292" t="s">
        <v>415</v>
      </c>
      <c r="D7" s="294"/>
      <c r="E7" s="294"/>
      <c r="F7" s="294"/>
      <c r="G7" s="290" t="s">
        <v>416</v>
      </c>
      <c r="H7" s="523">
        <v>50</v>
      </c>
      <c r="J7" s="620" t="s">
        <v>632</v>
      </c>
    </row>
    <row r="8" spans="1:25" ht="15.75" x14ac:dyDescent="0.25">
      <c r="C8" s="696"/>
      <c r="D8" s="438"/>
      <c r="E8" s="438"/>
      <c r="F8" s="438"/>
      <c r="G8" s="455" t="s">
        <v>414</v>
      </c>
      <c r="H8" s="697">
        <f>H5*H6*H7</f>
        <v>1398</v>
      </c>
      <c r="I8" s="19"/>
    </row>
    <row r="9" spans="1:25" ht="18.75" customHeight="1" x14ac:dyDescent="0.2">
      <c r="C9" s="292" t="s">
        <v>417</v>
      </c>
      <c r="D9" s="294"/>
      <c r="E9" s="294"/>
      <c r="F9" s="294"/>
      <c r="G9" s="294"/>
    </row>
    <row r="10" spans="1:25" ht="18.75" customHeight="1" x14ac:dyDescent="0.2">
      <c r="C10" s="292" t="s">
        <v>422</v>
      </c>
      <c r="D10" s="294"/>
      <c r="E10" s="294"/>
      <c r="F10" s="294"/>
      <c r="G10" s="294"/>
    </row>
    <row r="11" spans="1:25" ht="15.75" customHeight="1" thickBot="1" x14ac:dyDescent="0.25">
      <c r="C11" s="428" t="s">
        <v>426</v>
      </c>
      <c r="D11" s="427"/>
      <c r="E11" s="427"/>
      <c r="F11" s="427"/>
      <c r="G11" s="558" t="s">
        <v>425</v>
      </c>
      <c r="H11" s="558" t="str">
        <f>IF(AR25=1, "1,5 - 2", IF(OR(AR25=2,AR25=3), "2,5 - 3"))</f>
        <v>2,5 - 3</v>
      </c>
    </row>
    <row r="12" spans="1:25" ht="15.75" thickBot="1" x14ac:dyDescent="0.25">
      <c r="C12" s="97"/>
      <c r="G12" s="3"/>
      <c r="H12" s="214"/>
      <c r="J12" s="33"/>
      <c r="L12" s="672" t="s">
        <v>432</v>
      </c>
      <c r="M12" s="198"/>
      <c r="N12" s="198"/>
    </row>
    <row r="13" spans="1:25" x14ac:dyDescent="0.2">
      <c r="I13" s="33"/>
      <c r="L13" s="575" t="s">
        <v>380</v>
      </c>
      <c r="M13" s="575" t="s">
        <v>381</v>
      </c>
      <c r="N13" s="575" t="s">
        <v>382</v>
      </c>
    </row>
    <row r="14" spans="1:25" x14ac:dyDescent="0.2">
      <c r="D14" s="290"/>
      <c r="E14" s="290"/>
      <c r="F14" s="294"/>
      <c r="G14" s="294"/>
      <c r="H14" s="294"/>
      <c r="I14" s="294"/>
      <c r="J14" s="294"/>
      <c r="K14" s="294"/>
      <c r="L14" s="548" t="s">
        <v>385</v>
      </c>
      <c r="M14" s="294"/>
      <c r="N14" s="294"/>
      <c r="P14" s="294"/>
      <c r="Q14" s="294"/>
      <c r="R14" s="294"/>
      <c r="S14" s="294"/>
      <c r="T14" s="294"/>
      <c r="U14" s="294"/>
      <c r="V14" s="294"/>
      <c r="W14" s="294"/>
    </row>
    <row r="15" spans="1:25" ht="15.75" x14ac:dyDescent="0.25">
      <c r="C15" s="319" t="s">
        <v>429</v>
      </c>
      <c r="D15" s="290"/>
      <c r="E15" s="290"/>
      <c r="F15" s="294"/>
      <c r="G15" s="294"/>
      <c r="H15" s="294"/>
      <c r="I15" s="316"/>
      <c r="J15" s="294"/>
      <c r="K15" s="294"/>
      <c r="L15" s="293">
        <v>18</v>
      </c>
      <c r="M15" s="293">
        <v>1</v>
      </c>
      <c r="N15" s="290">
        <v>16</v>
      </c>
      <c r="P15" s="294"/>
      <c r="Q15" s="294"/>
      <c r="R15" s="294"/>
      <c r="S15" s="294"/>
      <c r="T15" s="294"/>
      <c r="U15" s="294"/>
      <c r="V15" s="294"/>
      <c r="W15" s="294"/>
    </row>
    <row r="16" spans="1:25" x14ac:dyDescent="0.2">
      <c r="C16" s="316" t="s">
        <v>430</v>
      </c>
      <c r="D16" s="293"/>
      <c r="E16" s="293"/>
      <c r="F16" s="294"/>
      <c r="G16" s="294"/>
      <c r="H16" s="295"/>
      <c r="I16" s="316"/>
      <c r="J16" s="328"/>
      <c r="K16" s="294"/>
      <c r="L16" s="293">
        <v>22</v>
      </c>
      <c r="M16" s="293">
        <v>1</v>
      </c>
      <c r="N16" s="290">
        <v>20</v>
      </c>
      <c r="P16" s="294"/>
      <c r="Q16" s="294"/>
      <c r="R16" s="294"/>
      <c r="S16" s="294"/>
      <c r="T16" s="294"/>
      <c r="U16" s="294"/>
      <c r="V16" s="294"/>
      <c r="W16" s="294"/>
    </row>
    <row r="17" spans="2:55" x14ac:dyDescent="0.2">
      <c r="C17" s="329" t="s">
        <v>431</v>
      </c>
      <c r="D17" s="294"/>
      <c r="E17" s="294"/>
      <c r="F17" s="294"/>
      <c r="G17" s="294"/>
      <c r="H17" s="295"/>
      <c r="I17" s="330"/>
      <c r="J17" s="328"/>
      <c r="K17" s="294"/>
      <c r="L17" s="293">
        <v>28</v>
      </c>
      <c r="M17" s="293">
        <v>1</v>
      </c>
      <c r="N17" s="290">
        <v>26</v>
      </c>
      <c r="P17" s="294"/>
      <c r="Q17" s="294"/>
      <c r="R17" s="294"/>
      <c r="S17" s="294"/>
      <c r="T17" s="294"/>
      <c r="U17" s="294"/>
      <c r="V17" s="294"/>
      <c r="W17" s="294"/>
    </row>
    <row r="18" spans="2:55" x14ac:dyDescent="0.2">
      <c r="B18" s="6"/>
      <c r="C18" s="294"/>
      <c r="D18" s="294"/>
      <c r="E18" s="294"/>
      <c r="F18" s="294"/>
      <c r="G18" s="294"/>
      <c r="H18" s="295"/>
      <c r="I18" s="329"/>
      <c r="J18" s="328"/>
      <c r="K18" s="294"/>
      <c r="L18" s="293">
        <v>35</v>
      </c>
      <c r="M18" s="293">
        <v>1</v>
      </c>
      <c r="N18" s="290">
        <v>33</v>
      </c>
      <c r="P18" s="294"/>
      <c r="Q18" s="294"/>
      <c r="R18" s="294"/>
      <c r="S18" s="294"/>
      <c r="T18" s="294"/>
      <c r="U18" s="294"/>
      <c r="V18" s="294"/>
      <c r="W18" s="294"/>
    </row>
    <row r="19" spans="2:55" x14ac:dyDescent="0.2">
      <c r="B19" s="6"/>
      <c r="C19" s="294"/>
      <c r="D19" s="294"/>
      <c r="E19" s="294"/>
      <c r="F19" s="294"/>
      <c r="G19" s="294"/>
      <c r="H19" s="295"/>
      <c r="I19" s="316"/>
      <c r="J19" s="328"/>
      <c r="K19" s="294"/>
      <c r="L19" s="293">
        <v>42</v>
      </c>
      <c r="M19" s="293">
        <v>1</v>
      </c>
      <c r="N19" s="290">
        <v>40</v>
      </c>
      <c r="P19" s="294"/>
      <c r="Q19" s="294"/>
      <c r="R19" s="294"/>
      <c r="S19" s="294"/>
      <c r="T19" s="294"/>
      <c r="U19" s="294"/>
      <c r="V19" s="294"/>
      <c r="W19" s="294"/>
    </row>
    <row r="20" spans="2:55" ht="13.5" thickBot="1" x14ac:dyDescent="0.25">
      <c r="C20" s="294"/>
      <c r="D20" s="294"/>
      <c r="E20" s="294"/>
      <c r="F20" s="294"/>
      <c r="G20" s="294"/>
      <c r="H20" s="294"/>
      <c r="I20" s="294"/>
      <c r="J20" s="294"/>
      <c r="K20" s="294"/>
      <c r="L20" s="576">
        <v>54</v>
      </c>
      <c r="M20" s="576">
        <v>1.2</v>
      </c>
      <c r="N20" s="558">
        <v>51.6</v>
      </c>
      <c r="P20" s="294"/>
      <c r="Q20" s="294"/>
      <c r="R20" s="294"/>
      <c r="S20" s="294"/>
      <c r="T20" s="294"/>
      <c r="U20" s="294"/>
      <c r="V20" s="294"/>
      <c r="W20" s="294"/>
      <c r="AI20" s="785" t="s">
        <v>421</v>
      </c>
      <c r="AJ20" s="786"/>
      <c r="AK20" s="786"/>
      <c r="AL20" s="786"/>
      <c r="AM20" s="786"/>
      <c r="AN20" s="786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87" t="s">
        <v>443</v>
      </c>
      <c r="M22" s="787"/>
      <c r="N22" s="787"/>
      <c r="O22" s="787"/>
      <c r="P22" s="787"/>
      <c r="Q22" s="787"/>
      <c r="R22" s="787"/>
      <c r="S22" s="787"/>
      <c r="T22" s="787"/>
      <c r="U22" s="787"/>
      <c r="V22" s="565" t="s">
        <v>446</v>
      </c>
      <c r="W22" s="565" t="s">
        <v>447</v>
      </c>
      <c r="X22" s="565" t="s">
        <v>611</v>
      </c>
      <c r="AI22" s="221"/>
      <c r="AK22" s="788" t="s">
        <v>420</v>
      </c>
      <c r="AL22" s="788"/>
      <c r="AM22" s="788"/>
      <c r="AN22" s="788"/>
      <c r="AO22" s="788"/>
      <c r="AP22" s="789"/>
      <c r="AQ22" s="2"/>
      <c r="BC22" s="220"/>
    </row>
    <row r="23" spans="2:55" ht="24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612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 t="s">
        <v>396</v>
      </c>
      <c r="D24" s="562"/>
      <c r="E24" s="595">
        <v>2800</v>
      </c>
      <c r="F24" s="563"/>
      <c r="G24" s="364">
        <f t="shared" ref="G24:G39" si="0">IF(AU25=1,0,INDEX($AJ$42:$AJ$48,$AU25,1)-2*INDEX($AK$42:$AK$48,$AU25,1))</f>
        <v>33</v>
      </c>
      <c r="H24" s="703">
        <f t="shared" ref="H24:H39" si="1">IF(AU25=1,0,0.354*E24/(G24^2))</f>
        <v>0.91019283746556467</v>
      </c>
      <c r="I24" s="704">
        <f t="shared" ref="I24:I39" si="2">IF(AU25=1,0,INDEX($AK$37:$AK$38,$AR$35,1)*378*(E24^1.75)/(G24^4.75))</f>
        <v>32.435492196492717</v>
      </c>
      <c r="J24" s="364">
        <f t="shared" ref="J24:J39" si="3">IF(AU25=1,0,IF(OR($AR$25=1,$AR$25=2),INDEX($AM$42:$AM$48,$AU25,1),IF($AR$25=3,INDEX($AM$42:$AM$48,$AU25,1)+10)))</f>
        <v>30</v>
      </c>
      <c r="K24" s="595">
        <v>7.4</v>
      </c>
      <c r="L24" s="563"/>
      <c r="M24" s="595">
        <v>3</v>
      </c>
      <c r="N24" s="563"/>
      <c r="O24" s="595">
        <v>1</v>
      </c>
      <c r="P24" s="563"/>
      <c r="Q24" s="595"/>
      <c r="R24" s="563"/>
      <c r="S24" s="595"/>
      <c r="T24" s="563"/>
      <c r="U24" s="595"/>
      <c r="V24" s="364">
        <f t="shared" ref="V24:V39" si="4">IF(AU25=1,0, INDEX($AK$25:$AP$33,$AV25,$AU25-1)*M24+INDEX($AK$25:$AP$33,$AW25,$AU25-1)*O24+INDEX($AK$25:$AP$33,$AX25,$AU25-1)*Q24+INDEX($AK$25:$AP$33,$AY25,$AU25-1)*S24+INDEX($AK$25:$AP$33,$AZ25,$AU25-1)*U24+INDEX($AK$25:$AP$33,$BA25,$AU25-1)*AK80+INDEX($AK$25:$AP$33,$BB25,$AU25-1)*AM80)</f>
        <v>4.13</v>
      </c>
      <c r="W24" s="364">
        <f t="shared" ref="W24:W39" si="5">K24+V24</f>
        <v>11.530000000000001</v>
      </c>
      <c r="X24" s="704">
        <f t="shared" ref="X24:X39" si="6">I24*W24</f>
        <v>373.98122502556106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83" t="s">
        <v>418</v>
      </c>
      <c r="AW24" s="783"/>
      <c r="AX24" s="783"/>
      <c r="AY24" s="783"/>
      <c r="AZ24" s="783"/>
      <c r="BA24" s="783"/>
      <c r="BB24" s="784"/>
      <c r="BC24" s="220"/>
    </row>
    <row r="25" spans="2:55" ht="18" customHeight="1" x14ac:dyDescent="0.2">
      <c r="C25" s="595" t="s">
        <v>399</v>
      </c>
      <c r="D25" s="562"/>
      <c r="E25" s="595">
        <v>1400</v>
      </c>
      <c r="F25" s="563"/>
      <c r="G25" s="364">
        <f t="shared" si="0"/>
        <v>26</v>
      </c>
      <c r="H25" s="703">
        <f t="shared" si="1"/>
        <v>0.7331360946745562</v>
      </c>
      <c r="I25" s="704">
        <f t="shared" si="2"/>
        <v>29.925113875221601</v>
      </c>
      <c r="J25" s="364">
        <f t="shared" si="3"/>
        <v>30</v>
      </c>
      <c r="K25" s="595">
        <v>13.3</v>
      </c>
      <c r="L25" s="563"/>
      <c r="M25" s="595">
        <v>1</v>
      </c>
      <c r="N25" s="563"/>
      <c r="O25" s="595">
        <v>1</v>
      </c>
      <c r="P25" s="563"/>
      <c r="Q25" s="595"/>
      <c r="R25" s="563"/>
      <c r="S25" s="595"/>
      <c r="T25" s="563"/>
      <c r="U25" s="595"/>
      <c r="V25" s="364">
        <f t="shared" si="4"/>
        <v>0.89999999999999991</v>
      </c>
      <c r="W25" s="364">
        <f t="shared" si="5"/>
        <v>14.200000000000001</v>
      </c>
      <c r="X25" s="704">
        <f t="shared" si="6"/>
        <v>424.93661702814677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5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65" t="b">
        <v>1</v>
      </c>
    </row>
    <row r="26" spans="2:55" ht="18" customHeight="1" x14ac:dyDescent="0.2">
      <c r="C26" s="595" t="s">
        <v>401</v>
      </c>
      <c r="D26" s="562"/>
      <c r="E26" s="595">
        <v>700</v>
      </c>
      <c r="F26" s="563"/>
      <c r="G26" s="364">
        <f t="shared" si="0"/>
        <v>20</v>
      </c>
      <c r="H26" s="703">
        <f t="shared" si="1"/>
        <v>0.61949999999999994</v>
      </c>
      <c r="I26" s="704">
        <f t="shared" si="2"/>
        <v>30.936005962190212</v>
      </c>
      <c r="J26" s="364">
        <f t="shared" si="3"/>
        <v>30</v>
      </c>
      <c r="K26" s="595">
        <v>9.9</v>
      </c>
      <c r="L26" s="563"/>
      <c r="M26" s="595">
        <v>3</v>
      </c>
      <c r="N26" s="563"/>
      <c r="O26" s="595">
        <v>1</v>
      </c>
      <c r="P26" s="563"/>
      <c r="Q26" s="595"/>
      <c r="R26" s="563"/>
      <c r="S26" s="595"/>
      <c r="T26" s="563"/>
      <c r="U26" s="595"/>
      <c r="V26" s="364">
        <f t="shared" si="4"/>
        <v>1.55</v>
      </c>
      <c r="W26" s="364">
        <f t="shared" si="5"/>
        <v>11.450000000000001</v>
      </c>
      <c r="X26" s="704">
        <f t="shared" si="6"/>
        <v>354.21726826707794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 t="str">
        <f t="shared" si="7"/>
        <v>BC</v>
      </c>
      <c r="AU26" s="299">
        <v>4</v>
      </c>
      <c r="AV26" s="300">
        <v>4</v>
      </c>
      <c r="AW26" s="300">
        <v>6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65" t="b">
        <v>1</v>
      </c>
    </row>
    <row r="27" spans="2:55" ht="18" customHeight="1" x14ac:dyDescent="0.2">
      <c r="C27" s="595" t="s">
        <v>403</v>
      </c>
      <c r="D27" s="562"/>
      <c r="E27" s="595">
        <v>700</v>
      </c>
      <c r="F27" s="563"/>
      <c r="G27" s="364">
        <f t="shared" si="0"/>
        <v>20</v>
      </c>
      <c r="H27" s="703">
        <f t="shared" si="1"/>
        <v>0.61949999999999994</v>
      </c>
      <c r="I27" s="704">
        <f t="shared" si="2"/>
        <v>30.936005962190212</v>
      </c>
      <c r="J27" s="364">
        <f t="shared" si="3"/>
        <v>30</v>
      </c>
      <c r="K27" s="595">
        <v>10.4</v>
      </c>
      <c r="L27" s="563"/>
      <c r="M27" s="595">
        <v>3</v>
      </c>
      <c r="N27" s="563"/>
      <c r="O27" s="595"/>
      <c r="P27" s="563"/>
      <c r="Q27" s="595"/>
      <c r="R27" s="563"/>
      <c r="S27" s="595"/>
      <c r="T27" s="563"/>
      <c r="U27" s="595"/>
      <c r="V27" s="364">
        <f t="shared" si="4"/>
        <v>1.35</v>
      </c>
      <c r="W27" s="364">
        <f t="shared" si="5"/>
        <v>11.75</v>
      </c>
      <c r="X27" s="704">
        <f t="shared" si="6"/>
        <v>363.49807005573501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 t="str">
        <f t="shared" si="7"/>
        <v>CD</v>
      </c>
      <c r="AU27" s="299">
        <v>3</v>
      </c>
      <c r="AV27" s="300">
        <v>4</v>
      </c>
      <c r="AW27" s="300">
        <v>6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65" t="b">
        <v>1</v>
      </c>
    </row>
    <row r="28" spans="2:55" ht="18" customHeight="1" x14ac:dyDescent="0.2">
      <c r="C28" s="595" t="s">
        <v>405</v>
      </c>
      <c r="D28" s="562"/>
      <c r="E28" s="595">
        <v>1400</v>
      </c>
      <c r="F28" s="563"/>
      <c r="G28" s="364">
        <f t="shared" si="0"/>
        <v>26</v>
      </c>
      <c r="H28" s="703">
        <f t="shared" si="1"/>
        <v>0.7331360946745562</v>
      </c>
      <c r="I28" s="704">
        <f t="shared" si="2"/>
        <v>29.925113875221601</v>
      </c>
      <c r="J28" s="364">
        <f t="shared" si="3"/>
        <v>30</v>
      </c>
      <c r="K28" s="595">
        <v>4.4000000000000004</v>
      </c>
      <c r="L28" s="563"/>
      <c r="M28" s="595">
        <v>1</v>
      </c>
      <c r="N28" s="563"/>
      <c r="O28" s="595">
        <v>1</v>
      </c>
      <c r="P28" s="563"/>
      <c r="Q28" s="595"/>
      <c r="R28" s="563"/>
      <c r="S28" s="595"/>
      <c r="T28" s="563"/>
      <c r="U28" s="595"/>
      <c r="V28" s="364">
        <f t="shared" si="4"/>
        <v>0.89999999999999991</v>
      </c>
      <c r="W28" s="364">
        <f t="shared" si="5"/>
        <v>5.3000000000000007</v>
      </c>
      <c r="X28" s="704">
        <f t="shared" si="6"/>
        <v>158.6031035386745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 t="str">
        <f t="shared" si="7"/>
        <v>EF</v>
      </c>
      <c r="AU28" s="299">
        <v>3</v>
      </c>
      <c r="AV28" s="300">
        <v>4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65" t="b">
        <v>1</v>
      </c>
    </row>
    <row r="29" spans="2:55" s="105" customFormat="1" ht="18" customHeight="1" x14ac:dyDescent="0.2">
      <c r="C29" s="595" t="s">
        <v>406</v>
      </c>
      <c r="D29" s="562"/>
      <c r="E29" s="595">
        <v>2800</v>
      </c>
      <c r="F29" s="563"/>
      <c r="G29" s="364">
        <f t="shared" si="0"/>
        <v>33</v>
      </c>
      <c r="H29" s="703">
        <f t="shared" si="1"/>
        <v>0.91019283746556467</v>
      </c>
      <c r="I29" s="704">
        <f t="shared" si="2"/>
        <v>32.435492196492717</v>
      </c>
      <c r="J29" s="364">
        <f t="shared" si="3"/>
        <v>30</v>
      </c>
      <c r="K29" s="595">
        <v>3.8</v>
      </c>
      <c r="L29" s="563"/>
      <c r="M29" s="595">
        <v>3</v>
      </c>
      <c r="N29" s="563"/>
      <c r="O29" s="595">
        <v>1</v>
      </c>
      <c r="P29" s="563"/>
      <c r="Q29" s="595"/>
      <c r="R29" s="563"/>
      <c r="S29" s="595"/>
      <c r="T29" s="563"/>
      <c r="U29" s="595"/>
      <c r="V29" s="364">
        <f t="shared" si="4"/>
        <v>2.92</v>
      </c>
      <c r="W29" s="364">
        <f t="shared" si="5"/>
        <v>6.72</v>
      </c>
      <c r="X29" s="704">
        <f t="shared" si="6"/>
        <v>217.96650756043104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309">
        <f>IF(AR25=1,1.5,IF(OR(AR25=2,AR25=3),2.5))</f>
        <v>2.5</v>
      </c>
      <c r="AT29" s="299" t="str">
        <f t="shared" si="7"/>
        <v>FG</v>
      </c>
      <c r="AU29" s="302">
        <v>4</v>
      </c>
      <c r="AV29" s="303">
        <v>4</v>
      </c>
      <c r="AW29" s="303">
        <v>6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66" t="b">
        <v>1</v>
      </c>
    </row>
    <row r="30" spans="2:55" s="105" customFormat="1" ht="18" customHeight="1" x14ac:dyDescent="0.2">
      <c r="C30" s="595"/>
      <c r="D30" s="562"/>
      <c r="E30" s="595"/>
      <c r="F30" s="563"/>
      <c r="G30" s="364">
        <f t="shared" si="0"/>
        <v>0</v>
      </c>
      <c r="H30" s="703">
        <f t="shared" si="1"/>
        <v>0</v>
      </c>
      <c r="I30" s="704">
        <f t="shared" si="2"/>
        <v>0</v>
      </c>
      <c r="J30" s="364">
        <f t="shared" si="3"/>
        <v>0</v>
      </c>
      <c r="K30" s="595"/>
      <c r="L30" s="563"/>
      <c r="M30" s="595"/>
      <c r="N30" s="563"/>
      <c r="O30" s="595"/>
      <c r="P30" s="563"/>
      <c r="Q30" s="595"/>
      <c r="R30" s="563"/>
      <c r="S30" s="595"/>
      <c r="T30" s="563"/>
      <c r="U30" s="595"/>
      <c r="V30" s="364">
        <f t="shared" si="4"/>
        <v>0</v>
      </c>
      <c r="W30" s="364">
        <f t="shared" si="5"/>
        <v>0</v>
      </c>
      <c r="X30" s="704">
        <f t="shared" si="6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309">
        <f>IF(AR25=1,2,IF(OR(AR25=2,AR25=3),3))</f>
        <v>3</v>
      </c>
      <c r="AT30" s="299" t="str">
        <f t="shared" si="7"/>
        <v>GH</v>
      </c>
      <c r="AU30" s="302">
        <v>5</v>
      </c>
      <c r="AV30" s="303">
        <v>4</v>
      </c>
      <c r="AW30" s="303">
        <v>6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66" t="b">
        <v>1</v>
      </c>
    </row>
    <row r="31" spans="2:55" s="105" customFormat="1" ht="18" customHeight="1" x14ac:dyDescent="0.2">
      <c r="C31" s="595"/>
      <c r="D31" s="562"/>
      <c r="E31" s="595"/>
      <c r="F31" s="563"/>
      <c r="G31" s="364">
        <f t="shared" si="0"/>
        <v>0</v>
      </c>
      <c r="H31" s="703">
        <f t="shared" si="1"/>
        <v>0</v>
      </c>
      <c r="I31" s="704">
        <f t="shared" si="2"/>
        <v>0</v>
      </c>
      <c r="J31" s="364">
        <f t="shared" si="3"/>
        <v>0</v>
      </c>
      <c r="K31" s="595"/>
      <c r="L31" s="563"/>
      <c r="M31" s="595"/>
      <c r="N31" s="563"/>
      <c r="O31" s="595"/>
      <c r="P31" s="563"/>
      <c r="Q31" s="595"/>
      <c r="R31" s="563"/>
      <c r="S31" s="595"/>
      <c r="T31" s="563"/>
      <c r="U31" s="595"/>
      <c r="V31" s="364">
        <f t="shared" si="4"/>
        <v>0</v>
      </c>
      <c r="W31" s="364">
        <f t="shared" si="5"/>
        <v>0</v>
      </c>
      <c r="X31" s="704">
        <f t="shared" si="6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66" t="b">
        <v>0</v>
      </c>
    </row>
    <row r="32" spans="2:55" s="105" customFormat="1" ht="18" customHeight="1" x14ac:dyDescent="0.2">
      <c r="C32" s="595"/>
      <c r="D32" s="562"/>
      <c r="E32" s="595"/>
      <c r="F32" s="563"/>
      <c r="G32" s="364">
        <f t="shared" si="0"/>
        <v>0</v>
      </c>
      <c r="H32" s="703">
        <f t="shared" si="1"/>
        <v>0</v>
      </c>
      <c r="I32" s="704">
        <f t="shared" si="2"/>
        <v>0</v>
      </c>
      <c r="J32" s="364">
        <f t="shared" si="3"/>
        <v>0</v>
      </c>
      <c r="K32" s="595"/>
      <c r="L32" s="563"/>
      <c r="M32" s="595"/>
      <c r="N32" s="563"/>
      <c r="O32" s="595"/>
      <c r="P32" s="563"/>
      <c r="Q32" s="595"/>
      <c r="R32" s="563"/>
      <c r="S32" s="595"/>
      <c r="T32" s="563"/>
      <c r="U32" s="595"/>
      <c r="V32" s="364">
        <f t="shared" si="4"/>
        <v>0</v>
      </c>
      <c r="W32" s="364">
        <f t="shared" si="5"/>
        <v>0</v>
      </c>
      <c r="X32" s="704">
        <f t="shared" si="6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66" t="b">
        <v>0</v>
      </c>
    </row>
    <row r="33" spans="2:55" ht="18" customHeight="1" x14ac:dyDescent="0.2">
      <c r="C33" s="595"/>
      <c r="D33" s="562"/>
      <c r="E33" s="595"/>
      <c r="F33" s="563"/>
      <c r="G33" s="364">
        <f t="shared" si="0"/>
        <v>0</v>
      </c>
      <c r="H33" s="703">
        <f t="shared" si="1"/>
        <v>0</v>
      </c>
      <c r="I33" s="704">
        <f t="shared" si="2"/>
        <v>0</v>
      </c>
      <c r="J33" s="364">
        <f t="shared" si="3"/>
        <v>0</v>
      </c>
      <c r="K33" s="595"/>
      <c r="L33" s="563"/>
      <c r="M33" s="595"/>
      <c r="N33" s="563"/>
      <c r="O33" s="595"/>
      <c r="P33" s="563"/>
      <c r="Q33" s="595"/>
      <c r="R33" s="563"/>
      <c r="S33" s="595"/>
      <c r="T33" s="563"/>
      <c r="U33" s="595"/>
      <c r="V33" s="364">
        <f t="shared" si="4"/>
        <v>0</v>
      </c>
      <c r="W33" s="364">
        <f t="shared" si="5"/>
        <v>0</v>
      </c>
      <c r="X33" s="704">
        <f t="shared" si="6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65" t="b">
        <v>0</v>
      </c>
    </row>
    <row r="34" spans="2:55" ht="18" customHeight="1" x14ac:dyDescent="0.2">
      <c r="C34" s="595"/>
      <c r="D34" s="562"/>
      <c r="E34" s="595"/>
      <c r="F34" s="563"/>
      <c r="G34" s="364">
        <f t="shared" si="0"/>
        <v>0</v>
      </c>
      <c r="H34" s="703">
        <f t="shared" si="1"/>
        <v>0</v>
      </c>
      <c r="I34" s="704">
        <f t="shared" si="2"/>
        <v>0</v>
      </c>
      <c r="J34" s="364">
        <f t="shared" si="3"/>
        <v>0</v>
      </c>
      <c r="K34" s="595"/>
      <c r="L34" s="563"/>
      <c r="M34" s="595"/>
      <c r="N34" s="563"/>
      <c r="O34" s="595"/>
      <c r="P34" s="563"/>
      <c r="Q34" s="595"/>
      <c r="R34" s="563"/>
      <c r="S34" s="595"/>
      <c r="T34" s="563"/>
      <c r="U34" s="595"/>
      <c r="V34" s="364">
        <f t="shared" si="4"/>
        <v>0</v>
      </c>
      <c r="W34" s="364">
        <f t="shared" si="5"/>
        <v>0</v>
      </c>
      <c r="X34" s="704">
        <f t="shared" si="6"/>
        <v>0</v>
      </c>
      <c r="AI34" s="221"/>
      <c r="AR34" s="199" t="s">
        <v>398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65" t="b">
        <v>0</v>
      </c>
    </row>
    <row r="35" spans="2:55" ht="18" customHeight="1" x14ac:dyDescent="0.2">
      <c r="C35" s="595"/>
      <c r="D35" s="562"/>
      <c r="E35" s="595"/>
      <c r="F35" s="563"/>
      <c r="G35" s="364">
        <f t="shared" si="0"/>
        <v>0</v>
      </c>
      <c r="H35" s="703">
        <f t="shared" si="1"/>
        <v>0</v>
      </c>
      <c r="I35" s="704">
        <f t="shared" si="2"/>
        <v>0</v>
      </c>
      <c r="J35" s="364">
        <f t="shared" si="3"/>
        <v>0</v>
      </c>
      <c r="K35" s="595"/>
      <c r="L35" s="563"/>
      <c r="M35" s="595"/>
      <c r="N35" s="563"/>
      <c r="O35" s="595"/>
      <c r="P35" s="563"/>
      <c r="Q35" s="595"/>
      <c r="R35" s="563"/>
      <c r="S35" s="595"/>
      <c r="T35" s="563"/>
      <c r="U35" s="595"/>
      <c r="V35" s="364">
        <f t="shared" si="4"/>
        <v>0</v>
      </c>
      <c r="W35" s="364">
        <f t="shared" si="5"/>
        <v>0</v>
      </c>
      <c r="X35" s="704">
        <f t="shared" si="6"/>
        <v>0</v>
      </c>
      <c r="AI35" s="221"/>
      <c r="AJ35" s="200" t="s">
        <v>377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65" t="b">
        <v>0</v>
      </c>
    </row>
    <row r="36" spans="2:55" ht="18" customHeight="1" x14ac:dyDescent="0.2">
      <c r="C36" s="595"/>
      <c r="D36" s="562"/>
      <c r="E36" s="595"/>
      <c r="F36" s="563"/>
      <c r="G36" s="364">
        <f t="shared" si="0"/>
        <v>0</v>
      </c>
      <c r="H36" s="703">
        <f t="shared" si="1"/>
        <v>0</v>
      </c>
      <c r="I36" s="704">
        <f t="shared" si="2"/>
        <v>0</v>
      </c>
      <c r="J36" s="364">
        <f t="shared" si="3"/>
        <v>0</v>
      </c>
      <c r="K36" s="595"/>
      <c r="L36" s="563"/>
      <c r="M36" s="595"/>
      <c r="N36" s="563"/>
      <c r="O36" s="595"/>
      <c r="P36" s="563"/>
      <c r="Q36" s="595"/>
      <c r="R36" s="563"/>
      <c r="S36" s="595"/>
      <c r="T36" s="563"/>
      <c r="U36" s="595"/>
      <c r="V36" s="364">
        <f t="shared" si="4"/>
        <v>0</v>
      </c>
      <c r="W36" s="364">
        <f t="shared" si="5"/>
        <v>0</v>
      </c>
      <c r="X36" s="704">
        <f t="shared" si="6"/>
        <v>0</v>
      </c>
      <c r="AI36" s="221"/>
      <c r="AJ36" s="169" t="s">
        <v>378</v>
      </c>
      <c r="AK36" s="120" t="s">
        <v>379</v>
      </c>
      <c r="AR36" s="258" t="s">
        <v>493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65" t="b">
        <v>0</v>
      </c>
    </row>
    <row r="37" spans="2:55" ht="18" customHeight="1" x14ac:dyDescent="0.2">
      <c r="C37" s="595"/>
      <c r="D37" s="562"/>
      <c r="E37" s="595"/>
      <c r="F37" s="563"/>
      <c r="G37" s="364">
        <f t="shared" si="0"/>
        <v>0</v>
      </c>
      <c r="H37" s="703">
        <f t="shared" si="1"/>
        <v>0</v>
      </c>
      <c r="I37" s="704">
        <f t="shared" si="2"/>
        <v>0</v>
      </c>
      <c r="J37" s="364">
        <f t="shared" si="3"/>
        <v>0</v>
      </c>
      <c r="K37" s="595"/>
      <c r="L37" s="563"/>
      <c r="M37" s="595"/>
      <c r="N37" s="563"/>
      <c r="O37" s="595"/>
      <c r="P37" s="563"/>
      <c r="Q37" s="595"/>
      <c r="R37" s="563"/>
      <c r="S37" s="595"/>
      <c r="T37" s="563"/>
      <c r="U37" s="595"/>
      <c r="V37" s="364">
        <f t="shared" si="4"/>
        <v>0</v>
      </c>
      <c r="W37" s="364">
        <f t="shared" si="5"/>
        <v>0</v>
      </c>
      <c r="X37" s="704">
        <f t="shared" si="6"/>
        <v>0</v>
      </c>
      <c r="AI37" s="221"/>
      <c r="AJ37" s="98" t="s">
        <v>493</v>
      </c>
      <c r="AK37" s="178">
        <v>1</v>
      </c>
      <c r="AR37" s="258" t="s">
        <v>494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65" t="b">
        <v>0</v>
      </c>
    </row>
    <row r="38" spans="2:55" ht="18" customHeight="1" x14ac:dyDescent="0.2">
      <c r="C38" s="595"/>
      <c r="D38" s="562"/>
      <c r="E38" s="595"/>
      <c r="F38" s="563"/>
      <c r="G38" s="364">
        <f t="shared" si="0"/>
        <v>0</v>
      </c>
      <c r="H38" s="703">
        <f t="shared" si="1"/>
        <v>0</v>
      </c>
      <c r="I38" s="704">
        <f t="shared" si="2"/>
        <v>0</v>
      </c>
      <c r="J38" s="364">
        <f t="shared" si="3"/>
        <v>0</v>
      </c>
      <c r="K38" s="595"/>
      <c r="L38" s="563"/>
      <c r="M38" s="595"/>
      <c r="N38" s="563"/>
      <c r="O38" s="595"/>
      <c r="P38" s="563"/>
      <c r="Q38" s="595"/>
      <c r="R38" s="563"/>
      <c r="S38" s="595"/>
      <c r="T38" s="563"/>
      <c r="U38" s="595"/>
      <c r="V38" s="364">
        <f t="shared" si="4"/>
        <v>0</v>
      </c>
      <c r="W38" s="364">
        <f t="shared" si="5"/>
        <v>0</v>
      </c>
      <c r="X38" s="704">
        <f t="shared" si="6"/>
        <v>0</v>
      </c>
      <c r="AI38" s="221"/>
      <c r="AJ38" s="100" t="s">
        <v>495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65" t="b">
        <v>0</v>
      </c>
    </row>
    <row r="39" spans="2:55" ht="18" customHeight="1" x14ac:dyDescent="0.2">
      <c r="C39" s="613"/>
      <c r="D39" s="571"/>
      <c r="E39" s="613"/>
      <c r="F39" s="572"/>
      <c r="G39" s="709">
        <f t="shared" si="0"/>
        <v>0</v>
      </c>
      <c r="H39" s="710">
        <f t="shared" si="1"/>
        <v>0</v>
      </c>
      <c r="I39" s="711">
        <f t="shared" si="2"/>
        <v>0</v>
      </c>
      <c r="J39" s="709">
        <f t="shared" si="3"/>
        <v>0</v>
      </c>
      <c r="K39" s="613"/>
      <c r="L39" s="572"/>
      <c r="M39" s="712"/>
      <c r="N39" s="572"/>
      <c r="O39" s="613"/>
      <c r="P39" s="572"/>
      <c r="Q39" s="613"/>
      <c r="R39" s="572"/>
      <c r="S39" s="613"/>
      <c r="T39" s="572"/>
      <c r="U39" s="613"/>
      <c r="V39" s="709">
        <f t="shared" si="4"/>
        <v>0</v>
      </c>
      <c r="W39" s="709">
        <f t="shared" si="5"/>
        <v>0</v>
      </c>
      <c r="X39" s="711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65" t="b">
        <v>0</v>
      </c>
    </row>
    <row r="40" spans="2:55" ht="18" customHeight="1" x14ac:dyDescent="0.2">
      <c r="L40" s="490" t="s">
        <v>496</v>
      </c>
      <c r="X40" s="195"/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65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578">
        <v>1.8932027914756266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486</v>
      </c>
      <c r="D43" s="294"/>
      <c r="E43" s="294"/>
      <c r="F43" s="294"/>
      <c r="G43" s="29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481" t="s">
        <v>449</v>
      </c>
      <c r="D44" s="556"/>
      <c r="E44" s="556"/>
      <c r="F44" s="556"/>
      <c r="G44" s="556"/>
      <c r="H44" s="622"/>
      <c r="J44" s="316"/>
      <c r="K44" s="294"/>
      <c r="L44" s="294"/>
      <c r="M44" s="294"/>
      <c r="N44" s="294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292" t="s">
        <v>450</v>
      </c>
      <c r="D45" s="294"/>
      <c r="E45" s="294"/>
      <c r="F45" s="294"/>
      <c r="G45" s="290" t="s">
        <v>605</v>
      </c>
      <c r="H45" s="579">
        <v>1.5</v>
      </c>
      <c r="J45" s="490" t="s">
        <v>453</v>
      </c>
      <c r="K45" s="294"/>
      <c r="L45" s="294"/>
      <c r="M45" s="294"/>
      <c r="N45" s="294"/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436" t="s">
        <v>451</v>
      </c>
      <c r="D46" s="438"/>
      <c r="E46" s="438"/>
      <c r="F46" s="438"/>
      <c r="G46" s="448" t="s">
        <v>614</v>
      </c>
      <c r="H46" s="581">
        <v>30</v>
      </c>
      <c r="J46" s="490" t="s">
        <v>454</v>
      </c>
      <c r="K46" s="294"/>
      <c r="L46" s="294"/>
      <c r="M46" s="294"/>
      <c r="N46" s="294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452</v>
      </c>
      <c r="D47" s="294"/>
      <c r="E47" s="294"/>
      <c r="F47" s="294"/>
      <c r="G47" s="290"/>
      <c r="H47" s="334"/>
      <c r="J47" s="375"/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487</v>
      </c>
      <c r="D48" s="294"/>
      <c r="E48" s="294"/>
      <c r="F48" s="294"/>
      <c r="G48" s="290" t="s">
        <v>605</v>
      </c>
      <c r="H48" s="549">
        <f>H41+H45+H46/1000</f>
        <v>3.4232027914756267</v>
      </c>
      <c r="J48" s="37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thickBot="1" x14ac:dyDescent="0.25">
      <c r="B49" s="197"/>
      <c r="C49" s="428" t="s">
        <v>692</v>
      </c>
      <c r="D49" s="427"/>
      <c r="E49" s="427"/>
      <c r="F49" s="427"/>
      <c r="G49" s="558" t="s">
        <v>30</v>
      </c>
      <c r="H49" s="582">
        <v>0</v>
      </c>
      <c r="J49" s="37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x14ac:dyDescent="0.2">
      <c r="B50" s="197"/>
      <c r="C50" s="294"/>
      <c r="D50" s="294"/>
      <c r="E50" s="294"/>
      <c r="F50" s="294"/>
      <c r="G50" s="294"/>
      <c r="H50" s="105"/>
      <c r="J50" s="375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580" t="s">
        <v>473</v>
      </c>
      <c r="D51" s="438"/>
      <c r="E51" s="438"/>
      <c r="F51" s="438"/>
      <c r="G51" s="438"/>
      <c r="H51" s="583"/>
      <c r="J51" s="375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">
      <c r="B52" s="197"/>
      <c r="C52" s="292" t="s">
        <v>438</v>
      </c>
      <c r="D52" s="294"/>
      <c r="E52" s="294"/>
      <c r="F52" s="294"/>
      <c r="G52" s="290" t="s">
        <v>414</v>
      </c>
      <c r="H52" s="550">
        <f>H8</f>
        <v>1398</v>
      </c>
      <c r="J52" s="375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">
      <c r="B53" s="197"/>
      <c r="C53" s="436" t="s">
        <v>472</v>
      </c>
      <c r="D53" s="438"/>
      <c r="E53" s="438"/>
      <c r="F53" s="438"/>
      <c r="G53" s="448" t="s">
        <v>605</v>
      </c>
      <c r="H53" s="673">
        <f>H48+H49</f>
        <v>3.4232027914756267</v>
      </c>
      <c r="J53" s="375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J54" s="375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319" t="s">
        <v>456</v>
      </c>
      <c r="D55" s="294"/>
      <c r="E55" s="294"/>
      <c r="J55" s="375"/>
      <c r="AI55" s="221"/>
      <c r="AT55" s="3"/>
      <c r="AU55" s="3"/>
      <c r="AV55" s="3"/>
      <c r="AW55" s="3"/>
      <c r="AX55" s="3"/>
      <c r="BC55" s="220"/>
    </row>
    <row r="56" spans="2:55" ht="15" x14ac:dyDescent="0.2">
      <c r="B56" s="197"/>
      <c r="C56" s="441" t="s">
        <v>457</v>
      </c>
      <c r="D56" s="443"/>
      <c r="E56" s="443"/>
      <c r="F56" s="585"/>
      <c r="G56" s="585"/>
      <c r="J56" s="375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75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375"/>
      <c r="AT58" s="3"/>
      <c r="AU58" s="3"/>
      <c r="AV58" s="3"/>
      <c r="AW58" s="3"/>
      <c r="AX58" s="3"/>
    </row>
    <row r="59" spans="2:55" x14ac:dyDescent="0.2">
      <c r="B59" s="197"/>
      <c r="C59" s="552">
        <v>18</v>
      </c>
      <c r="D59" s="654"/>
      <c r="E59" s="35">
        <v>16</v>
      </c>
      <c r="F59" s="10">
        <f t="shared" ref="F59:F64" si="8">(PI()*E59^2)/(4*1000)</f>
        <v>0.20106192982974677</v>
      </c>
      <c r="G59" s="713">
        <f t="shared" ref="G59:G64" si="9">D59*F59</f>
        <v>0</v>
      </c>
      <c r="J59" s="384"/>
      <c r="AT59" s="3"/>
      <c r="AU59" s="3"/>
      <c r="AV59" s="3"/>
      <c r="AW59" s="3"/>
      <c r="AX59" s="3"/>
    </row>
    <row r="60" spans="2:55" x14ac:dyDescent="0.2">
      <c r="B60" s="197"/>
      <c r="C60" s="552">
        <v>22</v>
      </c>
      <c r="D60" s="654"/>
      <c r="E60" s="35">
        <v>20</v>
      </c>
      <c r="F60" s="10">
        <f t="shared" si="8"/>
        <v>0.31415926535897931</v>
      </c>
      <c r="G60" s="713">
        <f t="shared" si="9"/>
        <v>0</v>
      </c>
      <c r="J60" s="490" t="s">
        <v>478</v>
      </c>
      <c r="AT60" s="3"/>
      <c r="AU60" s="3"/>
      <c r="AV60" s="3"/>
      <c r="AW60" s="3"/>
      <c r="AX60" s="3"/>
    </row>
    <row r="61" spans="2:55" x14ac:dyDescent="0.2">
      <c r="B61" s="197"/>
      <c r="C61" s="552">
        <v>28</v>
      </c>
      <c r="D61" s="654">
        <v>63.7</v>
      </c>
      <c r="E61" s="35">
        <v>26</v>
      </c>
      <c r="F61" s="10">
        <f t="shared" si="8"/>
        <v>0.5309291584566751</v>
      </c>
      <c r="G61" s="713">
        <f t="shared" si="9"/>
        <v>33.820187393690205</v>
      </c>
      <c r="J61" s="383"/>
      <c r="AT61" s="3"/>
      <c r="AU61" s="3"/>
      <c r="AV61" s="3"/>
      <c r="AW61" s="3"/>
      <c r="AX61" s="3"/>
    </row>
    <row r="62" spans="2:55" x14ac:dyDescent="0.2">
      <c r="B62" s="197"/>
      <c r="C62" s="552">
        <v>35</v>
      </c>
      <c r="D62" s="654">
        <v>13.4</v>
      </c>
      <c r="E62" s="35">
        <v>33</v>
      </c>
      <c r="F62" s="10">
        <f t="shared" si="8"/>
        <v>0.85529859993982116</v>
      </c>
      <c r="G62" s="713">
        <f t="shared" si="9"/>
        <v>11.461001239193603</v>
      </c>
      <c r="J62" s="383"/>
      <c r="AT62" s="3"/>
      <c r="AU62" s="3"/>
      <c r="AV62" s="3"/>
      <c r="AW62" s="3"/>
      <c r="AX62" s="3"/>
    </row>
    <row r="63" spans="2:55" x14ac:dyDescent="0.2">
      <c r="B63" s="197"/>
      <c r="C63" s="552">
        <v>42</v>
      </c>
      <c r="D63" s="654"/>
      <c r="E63" s="35">
        <v>40</v>
      </c>
      <c r="F63" s="10">
        <f t="shared" si="8"/>
        <v>1.2566370614359172</v>
      </c>
      <c r="G63" s="713">
        <f t="shared" si="9"/>
        <v>0</v>
      </c>
      <c r="J63" s="383"/>
      <c r="AT63" s="3"/>
      <c r="AU63" s="3"/>
      <c r="AV63" s="3"/>
      <c r="AW63" s="3"/>
      <c r="AX63" s="3"/>
    </row>
    <row r="64" spans="2:55" ht="13.5" thickBot="1" x14ac:dyDescent="0.25">
      <c r="B64" s="197"/>
      <c r="C64" s="586">
        <v>54</v>
      </c>
      <c r="D64" s="655"/>
      <c r="E64" s="714">
        <v>51.6</v>
      </c>
      <c r="F64" s="715">
        <f t="shared" si="8"/>
        <v>2.09116973393551</v>
      </c>
      <c r="G64" s="716">
        <f t="shared" si="9"/>
        <v>0</v>
      </c>
      <c r="J64" s="383"/>
      <c r="AT64" s="3"/>
      <c r="AU64" s="3"/>
      <c r="AV64" s="3"/>
      <c r="AW64" s="3"/>
      <c r="AX64" s="3"/>
    </row>
    <row r="65" spans="1:50" x14ac:dyDescent="0.2">
      <c r="B65" s="197"/>
      <c r="C65" s="196"/>
      <c r="D65" s="3"/>
      <c r="E65" s="197"/>
      <c r="F65" s="650" t="s">
        <v>409</v>
      </c>
      <c r="G65" s="651">
        <f>SUM(G59:G64)</f>
        <v>45.281188632883811</v>
      </c>
      <c r="J65" s="383"/>
      <c r="AT65" s="3"/>
      <c r="AU65" s="3"/>
      <c r="AV65" s="3"/>
      <c r="AW65" s="3"/>
      <c r="AX65" s="3"/>
    </row>
    <row r="66" spans="1:50" x14ac:dyDescent="0.2">
      <c r="B66" s="197"/>
      <c r="J66" s="383"/>
      <c r="AT66" s="3"/>
      <c r="AU66" s="3"/>
      <c r="AV66" s="3"/>
      <c r="AW66" s="3"/>
      <c r="AX66" s="3"/>
    </row>
    <row r="67" spans="1:50" ht="15" x14ac:dyDescent="0.2">
      <c r="A67" s="5"/>
      <c r="B67" s="197"/>
      <c r="C67" s="481" t="s">
        <v>463</v>
      </c>
      <c r="D67" s="556"/>
      <c r="E67" s="556"/>
      <c r="F67" s="556"/>
      <c r="G67" s="565" t="s">
        <v>408</v>
      </c>
      <c r="H67" s="590">
        <v>1.3</v>
      </c>
      <c r="J67" s="490" t="s">
        <v>464</v>
      </c>
      <c r="AT67" s="3"/>
      <c r="AU67" s="3"/>
      <c r="AV67" s="3"/>
      <c r="AW67" s="3"/>
      <c r="AX67" s="3"/>
    </row>
    <row r="68" spans="1:50" ht="15" x14ac:dyDescent="0.2">
      <c r="B68" s="197"/>
      <c r="C68" s="294"/>
      <c r="D68" s="294"/>
      <c r="E68" s="294"/>
      <c r="F68" s="294"/>
      <c r="G68" s="290" t="s">
        <v>373</v>
      </c>
      <c r="H68" s="636">
        <f>H67*H5</f>
        <v>15.600000000000001</v>
      </c>
      <c r="J68" s="383"/>
    </row>
    <row r="69" spans="1:50" ht="15" x14ac:dyDescent="0.2">
      <c r="B69" s="197"/>
      <c r="D69" s="294"/>
      <c r="E69" s="294"/>
      <c r="F69" s="294"/>
      <c r="G69" s="290"/>
      <c r="H69" s="379"/>
      <c r="J69" s="383"/>
    </row>
    <row r="70" spans="1:50" ht="15" x14ac:dyDescent="0.2">
      <c r="B70" s="197"/>
      <c r="C70" s="436" t="s">
        <v>669</v>
      </c>
      <c r="D70" s="438"/>
      <c r="E70" s="438"/>
      <c r="F70" s="438"/>
      <c r="G70" s="448" t="s">
        <v>373</v>
      </c>
      <c r="H70" s="581">
        <v>0</v>
      </c>
      <c r="J70" s="490" t="s">
        <v>667</v>
      </c>
    </row>
    <row r="71" spans="1:50" ht="15" x14ac:dyDescent="0.2">
      <c r="B71" s="197"/>
      <c r="C71" s="294"/>
      <c r="D71" s="294"/>
      <c r="E71" s="294"/>
      <c r="F71" s="294"/>
      <c r="G71" s="290"/>
      <c r="H71" s="379"/>
      <c r="J71" s="383"/>
    </row>
    <row r="72" spans="1:50" ht="17.25" customHeight="1" x14ac:dyDescent="0.35">
      <c r="B72" s="197"/>
      <c r="C72" s="292" t="s">
        <v>668</v>
      </c>
      <c r="D72" s="294"/>
      <c r="E72" s="294"/>
      <c r="F72" s="294"/>
      <c r="G72" s="294"/>
      <c r="H72" s="105"/>
      <c r="J72" s="347"/>
    </row>
    <row r="73" spans="1:50" ht="15" x14ac:dyDescent="0.2">
      <c r="B73" s="197"/>
      <c r="C73" s="292" t="s">
        <v>467</v>
      </c>
      <c r="D73" s="294"/>
      <c r="E73" s="294"/>
      <c r="F73" s="294"/>
      <c r="G73" s="290" t="s">
        <v>373</v>
      </c>
      <c r="H73" s="553">
        <f>$H$68+$G$65+H70</f>
        <v>60.881188632883813</v>
      </c>
      <c r="J73" s="347"/>
    </row>
    <row r="74" spans="1:50" x14ac:dyDescent="0.2">
      <c r="B74" s="196"/>
      <c r="C74" s="294"/>
      <c r="D74" s="294"/>
      <c r="E74" s="294"/>
      <c r="F74" s="294"/>
      <c r="G74" s="294"/>
      <c r="H74" s="105"/>
      <c r="J74" s="347"/>
    </row>
    <row r="75" spans="1:50" ht="15" x14ac:dyDescent="0.2">
      <c r="C75" s="481" t="s">
        <v>526</v>
      </c>
      <c r="D75" s="556"/>
      <c r="E75" s="556"/>
      <c r="F75" s="556"/>
      <c r="G75" s="565" t="s">
        <v>469</v>
      </c>
      <c r="H75" s="590">
        <v>1.5</v>
      </c>
      <c r="J75" s="490" t="s">
        <v>684</v>
      </c>
    </row>
    <row r="76" spans="1:50" ht="15" x14ac:dyDescent="0.2">
      <c r="C76" s="292" t="s">
        <v>527</v>
      </c>
      <c r="D76" s="294"/>
      <c r="E76" s="294"/>
      <c r="F76" s="294"/>
      <c r="G76" s="290" t="s">
        <v>469</v>
      </c>
      <c r="H76" s="579">
        <v>4</v>
      </c>
      <c r="J76" s="490" t="s">
        <v>470</v>
      </c>
      <c r="K76" s="110"/>
      <c r="L76" s="217"/>
      <c r="M76" s="5"/>
    </row>
    <row r="77" spans="1:50" ht="15" x14ac:dyDescent="0.2">
      <c r="C77" s="292" t="s">
        <v>525</v>
      </c>
      <c r="D77" s="294"/>
      <c r="E77" s="294"/>
      <c r="F77" s="294"/>
      <c r="G77" s="290"/>
      <c r="H77" s="553">
        <f>H76/(H76-H75)</f>
        <v>1.6</v>
      </c>
      <c r="J77" s="383"/>
      <c r="K77" s="110"/>
      <c r="L77" s="217"/>
      <c r="M77" s="5"/>
    </row>
    <row r="78" spans="1:50" ht="16.5" thickBot="1" x14ac:dyDescent="0.25">
      <c r="C78" s="428" t="s">
        <v>471</v>
      </c>
      <c r="D78" s="427"/>
      <c r="E78" s="427"/>
      <c r="F78" s="427"/>
      <c r="G78" s="558" t="s">
        <v>373</v>
      </c>
      <c r="H78" s="594">
        <f>(($H$70+$G$65+$H$68)*INDEX(AK52:AK53,AR35,1))*($H$76/($H$76-$H$75))</f>
        <v>7.7927921450091278</v>
      </c>
      <c r="J78" s="490" t="s">
        <v>569</v>
      </c>
    </row>
    <row r="79" spans="1:50" ht="15.75" x14ac:dyDescent="0.25">
      <c r="B79" s="5"/>
      <c r="C79" s="97"/>
      <c r="E79" s="381"/>
      <c r="G79" s="3"/>
      <c r="H79" s="554"/>
      <c r="J79" s="237"/>
      <c r="AJ79" s="246"/>
      <c r="AK79" s="213"/>
      <c r="AL79" s="246"/>
      <c r="AM79" s="213"/>
    </row>
    <row r="80" spans="1:50" ht="13.5" thickBot="1" x14ac:dyDescent="0.25">
      <c r="B80" s="422"/>
      <c r="C80" s="422"/>
      <c r="D80" s="422"/>
      <c r="E80" s="422"/>
      <c r="F80" s="422"/>
      <c r="G80" s="422"/>
      <c r="H80" s="422"/>
      <c r="I80" s="596"/>
      <c r="J80" s="422"/>
      <c r="K80" s="422"/>
      <c r="L80" s="422"/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AJ80" s="105"/>
      <c r="AK80" s="197"/>
      <c r="AL80" s="105"/>
      <c r="AM80" s="197"/>
    </row>
    <row r="81" spans="1:39" ht="15" customHeight="1" thickTop="1" x14ac:dyDescent="0.2">
      <c r="B81" s="546" t="s">
        <v>722</v>
      </c>
      <c r="H81" s="6"/>
      <c r="I81" s="6"/>
      <c r="AJ81" s="105"/>
      <c r="AK81" s="197"/>
      <c r="AL81" s="105"/>
      <c r="AM81" s="197"/>
    </row>
    <row r="82" spans="1:39" ht="15.75" customHeight="1" x14ac:dyDescent="0.2">
      <c r="AJ82" s="105"/>
      <c r="AK82" s="197"/>
      <c r="AL82" s="105"/>
      <c r="AM82" s="197"/>
    </row>
    <row r="83" spans="1:39" ht="15" customHeight="1" x14ac:dyDescent="0.2">
      <c r="AJ83" s="105"/>
      <c r="AK83" s="197"/>
      <c r="AL83" s="105"/>
      <c r="AM83" s="197"/>
    </row>
    <row r="84" spans="1:39" x14ac:dyDescent="0.2">
      <c r="AJ84" s="105"/>
      <c r="AK84" s="197"/>
      <c r="AL84" s="105"/>
      <c r="AM84" s="197"/>
    </row>
    <row r="85" spans="1:39" x14ac:dyDescent="0.2">
      <c r="H85" s="6"/>
      <c r="I85" s="195"/>
      <c r="AJ85" s="105"/>
      <c r="AK85" s="197"/>
      <c r="AL85" s="105"/>
      <c r="AM85" s="197"/>
    </row>
    <row r="86" spans="1:39" x14ac:dyDescent="0.2">
      <c r="AJ86" s="105"/>
      <c r="AK86" s="197"/>
      <c r="AL86" s="105"/>
      <c r="AM86" s="197"/>
    </row>
    <row r="87" spans="1:39" x14ac:dyDescent="0.2">
      <c r="AJ87" s="105"/>
      <c r="AK87" s="197"/>
      <c r="AL87" s="105"/>
      <c r="AM87" s="197"/>
    </row>
    <row r="88" spans="1:39" x14ac:dyDescent="0.2">
      <c r="B88" s="196"/>
      <c r="C88" s="3"/>
      <c r="D88" s="197"/>
      <c r="E88" s="11"/>
      <c r="F88" s="11"/>
      <c r="H88" s="6"/>
      <c r="I88" s="216"/>
      <c r="AJ88" s="105"/>
      <c r="AK88" s="197"/>
      <c r="AL88" s="105"/>
      <c r="AM88" s="197"/>
    </row>
    <row r="89" spans="1:39" x14ac:dyDescent="0.2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">
      <c r="B90" s="196"/>
      <c r="C90" s="3"/>
      <c r="D90" s="197"/>
      <c r="E90" s="11"/>
      <c r="F90" s="11"/>
      <c r="AJ90" s="105"/>
      <c r="AK90" s="197"/>
      <c r="AL90" s="105"/>
      <c r="AM90" s="197"/>
    </row>
    <row r="91" spans="1:39" x14ac:dyDescent="0.2">
      <c r="AJ91" s="105"/>
      <c r="AK91" s="197"/>
      <c r="AL91" s="105"/>
      <c r="AM91" s="197"/>
    </row>
    <row r="92" spans="1:39" x14ac:dyDescent="0.2">
      <c r="H92" s="172"/>
      <c r="I92" s="192"/>
      <c r="J92" s="5"/>
      <c r="AJ92" s="105"/>
      <c r="AK92" s="197"/>
      <c r="AL92" s="105"/>
      <c r="AM92" s="197"/>
    </row>
    <row r="93" spans="1:39" x14ac:dyDescent="0.2">
      <c r="AJ93" s="105"/>
      <c r="AK93" s="197"/>
      <c r="AL93" s="105"/>
      <c r="AM93" s="197"/>
    </row>
    <row r="94" spans="1:39" x14ac:dyDescent="0.2">
      <c r="AJ94" s="105"/>
      <c r="AK94" s="197"/>
      <c r="AL94" s="105"/>
      <c r="AM94" s="197"/>
    </row>
    <row r="95" spans="1:39" x14ac:dyDescent="0.2">
      <c r="A95" s="5"/>
      <c r="AJ95" s="105"/>
      <c r="AK95" s="197"/>
      <c r="AL95" s="105"/>
      <c r="AM95" s="197"/>
    </row>
    <row r="99" spans="3:9" x14ac:dyDescent="0.2">
      <c r="C99" s="6"/>
      <c r="D99" s="6"/>
      <c r="E99" s="7"/>
    </row>
    <row r="100" spans="3:9" x14ac:dyDescent="0.2">
      <c r="D100" s="6"/>
      <c r="G100" s="6"/>
      <c r="H100" s="192"/>
      <c r="I100" s="5"/>
    </row>
    <row r="101" spans="3:9" x14ac:dyDescent="0.2">
      <c r="D101" s="6"/>
      <c r="E101" s="7"/>
      <c r="G101" s="6"/>
      <c r="H101" s="5"/>
      <c r="I101" s="5"/>
    </row>
    <row r="103" spans="3:9" x14ac:dyDescent="0.2">
      <c r="C103" s="6"/>
      <c r="D103" s="6"/>
      <c r="E103" s="19"/>
    </row>
    <row r="104" spans="3:9" x14ac:dyDescent="0.2">
      <c r="D104" s="6"/>
      <c r="E104" s="19"/>
      <c r="G104" s="6"/>
      <c r="H104" s="192"/>
      <c r="I104" s="5"/>
    </row>
    <row r="105" spans="3:9" x14ac:dyDescent="0.2">
      <c r="D105" s="6"/>
      <c r="E105" s="7"/>
      <c r="G105" s="6"/>
      <c r="H105" s="5"/>
      <c r="I105" s="5"/>
    </row>
    <row r="114" spans="2:4" x14ac:dyDescent="0.2">
      <c r="C114" s="7"/>
    </row>
    <row r="115" spans="2:4" x14ac:dyDescent="0.2">
      <c r="B115" s="5"/>
    </row>
    <row r="117" spans="2:4" x14ac:dyDescent="0.2">
      <c r="B117" s="5"/>
    </row>
    <row r="119" spans="2:4" x14ac:dyDescent="0.2">
      <c r="C119" s="6"/>
      <c r="D119" s="219"/>
    </row>
  </sheetData>
  <mergeCells count="5">
    <mergeCell ref="B1:Y1"/>
    <mergeCell ref="AV24:BB24"/>
    <mergeCell ref="AI20:AN20"/>
    <mergeCell ref="L22:U22"/>
    <mergeCell ref="AK22:AP22"/>
  </mergeCells>
  <phoneticPr fontId="56" type="noConversion"/>
  <conditionalFormatting sqref="I24:I39">
    <cfRule type="cellIs" dxfId="24" priority="1" stopIfTrue="1" operator="greaterThan">
      <formula>40</formula>
    </cfRule>
  </conditionalFormatting>
  <conditionalFormatting sqref="H24:H39">
    <cfRule type="cellIs" dxfId="23" priority="2" stopIfTrue="1" operator="between">
      <formula>$AR$29</formula>
      <formula>$AR$30</formula>
    </cfRule>
    <cfRule type="cellIs" dxfId="22" priority="3" stopIfTrue="1" operator="greaterThanOrEqual">
      <formula>$AR$30</formula>
    </cfRule>
  </conditionalFormatting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Check Box 1">
              <controlPr locked="0" defaultSize="0" autoFill="0" autoLine="0" autoPict="0" macro="[0]!CalculaPdctotalPrimario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Check Box 2">
              <controlPr locked="0" defaultSize="0" autoFill="0" autoLine="0" autoPict="0" macro="[0]!CalculaPdctotalPrimario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Drop Down 3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47625</xdr:rowOff>
                  </from>
                  <to>
                    <xdr:col>8</xdr:col>
                    <xdr:colOff>66675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Drop Down 4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6</xdr:col>
                    <xdr:colOff>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Drop Down 5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Drop Down 6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6</xdr:col>
                    <xdr:colOff>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Drop Down 7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Drop Down 8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6</xdr:col>
                    <xdr:colOff>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Drop Down 9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Drop Down 10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6</xdr:col>
                    <xdr:colOff>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Drop Down 11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Drop Down 14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Drop Down 15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Drop Down 18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Drop Down 19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Drop Down 22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Drop Down 23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Drop Down 26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Drop Down 27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Drop Down 28">
              <controlPr defaultSize="0" autoLine="0" autoPict="0">
                <anchor moveWithCells="1">
                  <from>
                    <xdr:col>6</xdr:col>
                    <xdr:colOff>676275</xdr:colOff>
                    <xdr:row>8</xdr:row>
                    <xdr:rowOff>47625</xdr:rowOff>
                  </from>
                  <to>
                    <xdr:col>8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2" name="Drop Down 30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6</xdr:col>
                    <xdr:colOff>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3" name="Drop Down 31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4" name="Drop Down 32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5" name="Drop Down 33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6" name="Drop Down 34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7" name="Drop Down 35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8" name="Drop Down 36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6</xdr:col>
                    <xdr:colOff>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39" name="Drop Down 37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0" name="Drop Down 38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1" name="Drop Down 39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2" name="Drop Down 40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3" name="Drop Down 41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4" name="Drop Down 42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6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5" name="Drop Down 43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6" name="Drop Down 44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6</xdr:col>
                    <xdr:colOff>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7" name="Drop Down 45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8" name="Drop Down 46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49" name="Drop Down 47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0" name="Drop Down 48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6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1" name="Drop Down 49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2" name="Drop Down 50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3" name="Drop Down 51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4" name="Drop Down 52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5" name="Drop Down 53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6" name="Drop Down 54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7" name="Drop Down 55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8" name="Drop Down 56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59" name="Drop Down 57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0" name="Drop Down 58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1" name="Drop Down 59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2" name="Drop Down 60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3" name="Drop Down 61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4" name="Drop Down 62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5" name="Drop Down 63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6" name="Drop Down 64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7" name="Drop Down 65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8" name="Drop Down 66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6</xdr:col>
                    <xdr:colOff>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69" name="Drop Down 67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0" name="Drop Down 68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1" name="Drop Down 69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2" name="Drop Down 70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3" name="Drop Down 71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4" name="Drop Down 72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5" name="Drop Down 73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6" name="Drop Down 74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7" name="Drop Down 75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8" name="Drop Down 76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79" name="Drop Down 77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0" name="Drop Down 78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6</xdr:col>
                    <xdr:colOff>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1" name="Drop Down 79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2" name="Drop Down 80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3" name="Drop Down 81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4" name="Drop Down 82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5" name="Drop Down 83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6" name="Drop Down 84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6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7" name="Drop Down 85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8" name="Drop Down 86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89" name="Drop Down 87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0" name="Drop Down 88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1" name="Drop Down 89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2" name="Drop Down 90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6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3" name="Drop Down 91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4" name="Drop Down 92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5" name="Drop Down 93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6" name="Drop Down 94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7" name="Drop Down 95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8" name="Drop Down 96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99" name="Drop Down 97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0" name="Drop Down 98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1" name="Drop Down 99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2" name="Drop Down 100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3" name="Drop Down 101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4" name="Drop Down 102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6</xdr:col>
                    <xdr:colOff>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5" name="Drop Down 103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6" name="Drop Down 104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7" name="Drop Down 105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8" name="Drop Down 106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09" name="Drop Down 107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0" name="Check Box 108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1" name="Check Box 10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2" name="Check Box 11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742950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3" name="Check Box 11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4" name="Check Box 11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742950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5" name="Check Box 11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6" name="Check Box 114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742950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7" name="Check Box 115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742950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8" name="Check Box 116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742950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19" name="Check Box 11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742950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0" name="Check Box 11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742950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1" name="Check Box 11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2" name="Check Box 12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742950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3" name="Check Box 12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742950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4" name="Check Box 12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742950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5" name="Check Box 123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742950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6" name="Check Box 124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7" name="Check Box 125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8" name="Check Box 126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29" name="Check Box 127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200025</xdr:rowOff>
                  </from>
                  <to>
                    <xdr:col>3</xdr:col>
                    <xdr:colOff>742950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0" name="Check Box 128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1" name="Check Box 129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200025</xdr:rowOff>
                  </from>
                  <to>
                    <xdr:col>3</xdr:col>
                    <xdr:colOff>742950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2" name="Check Box 130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200025</xdr:rowOff>
                  </from>
                  <to>
                    <xdr:col>3</xdr:col>
                    <xdr:colOff>742950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3" name="Check Box 131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4" name="Check Box 132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200025</xdr:rowOff>
                  </from>
                  <to>
                    <xdr:col>3</xdr:col>
                    <xdr:colOff>742950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5" name="Check Box 133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200025</xdr:rowOff>
                  </from>
                  <to>
                    <xdr:col>3</xdr:col>
                    <xdr:colOff>742950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6" name="Check Box 134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7" name="Check Box 135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200025</xdr:rowOff>
                  </from>
                  <to>
                    <xdr:col>3</xdr:col>
                    <xdr:colOff>742950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8" name="Check Box 136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200025</xdr:rowOff>
                  </from>
                  <to>
                    <xdr:col>3</xdr:col>
                    <xdr:colOff>742950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39" name="Check Box 137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200025</xdr:rowOff>
                  </from>
                  <to>
                    <xdr:col>3</xdr:col>
                    <xdr:colOff>742950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0" name="Button 138">
              <controlPr defaultSize="0" print="0" autoFill="0" autoPict="0" macro="[0]!CalculaPdctotalPrimarioAcumMixta">
                <anchor moveWithCells="1" sizeWithCells="1">
                  <from>
                    <xdr:col>8</xdr:col>
                    <xdr:colOff>247650</xdr:colOff>
                    <xdr:row>39</xdr:row>
                    <xdr:rowOff>219075</xdr:rowOff>
                  </from>
                  <to>
                    <xdr:col>10</xdr:col>
                    <xdr:colOff>104775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24935-5836-4418-A64C-526DD63ADAE4}">
  <sheetPr codeName="Hoja19"/>
  <dimension ref="A1:BD81"/>
  <sheetViews>
    <sheetView showGridLines="0" topLeftCell="A35" zoomScale="75" zoomScaleNormal="75" workbookViewId="0">
      <selection activeCell="F8" sqref="F8"/>
    </sheetView>
  </sheetViews>
  <sheetFormatPr baseColWidth="10" defaultRowHeight="12.75" x14ac:dyDescent="0.2"/>
  <cols>
    <col min="1" max="1" width="4.7109375" customWidth="1"/>
    <col min="2" max="2" width="5.28515625" customWidth="1"/>
    <col min="6" max="6" width="16.42578125" customWidth="1"/>
    <col min="7" max="7" width="14.42578125" customWidth="1"/>
    <col min="8" max="8" width="15.7109375" customWidth="1"/>
    <col min="9" max="9" width="17.42578125" customWidth="1"/>
    <col min="13" max="13" width="9.140625" customWidth="1"/>
    <col min="23" max="23" width="11.140625" customWidth="1"/>
    <col min="24" max="24" width="5" customWidth="1"/>
    <col min="33" max="33" width="0" hidden="1" customWidth="1"/>
    <col min="34" max="35" width="11.42578125" hidden="1" customWidth="1"/>
    <col min="36" max="36" width="20" hidden="1" customWidth="1"/>
    <col min="37" max="56" width="11.42578125" hidden="1" customWidth="1"/>
    <col min="57" max="61" width="0" hidden="1" customWidth="1"/>
  </cols>
  <sheetData>
    <row r="1" spans="1:23" x14ac:dyDescent="0.2">
      <c r="C1" s="238"/>
      <c r="N1" s="238"/>
    </row>
    <row r="2" spans="1:23" x14ac:dyDescent="0.2">
      <c r="A2" s="5"/>
      <c r="B2" s="5"/>
    </row>
    <row r="3" spans="1:23" ht="15.75" x14ac:dyDescent="0.25">
      <c r="B3" s="460" t="s">
        <v>732</v>
      </c>
      <c r="C3" s="460"/>
      <c r="D3" s="460"/>
      <c r="E3" s="460"/>
      <c r="F3" s="460"/>
      <c r="G3" s="460"/>
      <c r="H3" s="460"/>
      <c r="I3" s="460"/>
      <c r="J3" s="460"/>
      <c r="K3" s="460"/>
      <c r="L3" s="415"/>
      <c r="M3" s="415"/>
      <c r="N3" s="415"/>
      <c r="O3" s="415"/>
      <c r="P3" s="415"/>
      <c r="Q3" s="415"/>
      <c r="R3" s="415"/>
      <c r="S3" s="415"/>
      <c r="T3" s="415"/>
      <c r="U3" s="415"/>
      <c r="V3" s="415"/>
      <c r="W3" s="415"/>
    </row>
    <row r="4" spans="1:23" ht="15.75" x14ac:dyDescent="0.25">
      <c r="C4" s="319" t="s">
        <v>474</v>
      </c>
      <c r="D4" s="294"/>
      <c r="E4" s="294"/>
      <c r="F4" s="294"/>
      <c r="G4" s="294"/>
    </row>
    <row r="5" spans="1:23" ht="15" x14ac:dyDescent="0.2">
      <c r="C5" s="481" t="s">
        <v>411</v>
      </c>
      <c r="D5" s="556"/>
      <c r="E5" s="556"/>
      <c r="F5" s="556"/>
      <c r="G5" s="556"/>
      <c r="H5" s="557">
        <f>Principal!G63</f>
        <v>12</v>
      </c>
      <c r="J5" s="237"/>
    </row>
    <row r="6" spans="1:23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3" ht="15" x14ac:dyDescent="0.2">
      <c r="C7" s="436" t="s">
        <v>485</v>
      </c>
      <c r="D7" s="438"/>
      <c r="E7" s="438"/>
      <c r="F7" s="438"/>
      <c r="G7" s="448" t="s">
        <v>416</v>
      </c>
      <c r="H7" s="638">
        <v>50</v>
      </c>
      <c r="K7" s="490" t="s">
        <v>475</v>
      </c>
    </row>
    <row r="8" spans="1:23" ht="15.75" x14ac:dyDescent="0.25">
      <c r="C8" s="328"/>
      <c r="D8" s="294"/>
      <c r="E8" s="294"/>
      <c r="F8" s="294"/>
      <c r="G8" s="293" t="s">
        <v>414</v>
      </c>
      <c r="H8" s="391">
        <f>H5*H6*H7</f>
        <v>1398</v>
      </c>
      <c r="I8" s="19"/>
    </row>
    <row r="9" spans="1:23" ht="18.75" customHeight="1" x14ac:dyDescent="0.2">
      <c r="C9" s="292" t="s">
        <v>476</v>
      </c>
      <c r="D9" s="294"/>
      <c r="E9" s="294"/>
      <c r="F9" s="294"/>
      <c r="G9" s="294"/>
      <c r="H9" s="315" t="s">
        <v>384</v>
      </c>
    </row>
    <row r="10" spans="1:23" ht="18.75" customHeight="1" x14ac:dyDescent="0.2">
      <c r="C10" s="292" t="s">
        <v>422</v>
      </c>
      <c r="D10" s="294"/>
      <c r="E10" s="294"/>
      <c r="F10" s="294"/>
      <c r="G10" s="294"/>
    </row>
    <row r="11" spans="1:23" ht="15.75" customHeight="1" x14ac:dyDescent="0.2">
      <c r="C11" s="436" t="s">
        <v>426</v>
      </c>
      <c r="D11" s="438"/>
      <c r="E11" s="438"/>
      <c r="F11" s="438"/>
      <c r="G11" s="448" t="s">
        <v>425</v>
      </c>
      <c r="H11" s="448" t="str">
        <f>IF(AR25=1, "1,5 - 2", IF(OR(AR25=2,AR25=3), "2,5 - 3"))</f>
        <v>2,5 - 3</v>
      </c>
    </row>
    <row r="12" spans="1:23" ht="13.5" thickBot="1" x14ac:dyDescent="0.25">
      <c r="C12" s="294"/>
      <c r="D12" s="294"/>
      <c r="E12" s="294"/>
      <c r="F12" s="294"/>
      <c r="G12" s="294"/>
      <c r="K12" s="597" t="s">
        <v>432</v>
      </c>
      <c r="L12" s="598"/>
      <c r="M12" s="598"/>
    </row>
    <row r="13" spans="1:23" x14ac:dyDescent="0.2">
      <c r="D13" s="290"/>
      <c r="E13" s="290"/>
      <c r="F13" s="294"/>
      <c r="G13" s="294"/>
      <c r="I13" s="33"/>
      <c r="K13" s="601" t="s">
        <v>380</v>
      </c>
      <c r="L13" s="601" t="s">
        <v>381</v>
      </c>
      <c r="M13" s="601" t="s">
        <v>382</v>
      </c>
    </row>
    <row r="14" spans="1:23" x14ac:dyDescent="0.2">
      <c r="D14" s="290"/>
      <c r="E14" s="290"/>
      <c r="F14" s="294"/>
      <c r="G14" s="294"/>
      <c r="K14" s="548" t="s">
        <v>385</v>
      </c>
      <c r="L14" s="294"/>
      <c r="M14" s="294"/>
    </row>
    <row r="15" spans="1:23" ht="15.75" x14ac:dyDescent="0.25">
      <c r="C15" s="319" t="s">
        <v>429</v>
      </c>
      <c r="D15" s="293"/>
      <c r="E15" s="293"/>
      <c r="F15" s="294"/>
      <c r="G15" s="294"/>
      <c r="I15" s="33"/>
      <c r="K15" s="293">
        <v>18</v>
      </c>
      <c r="L15" s="293">
        <v>1</v>
      </c>
      <c r="M15" s="290">
        <v>16</v>
      </c>
    </row>
    <row r="16" spans="1:23" x14ac:dyDescent="0.2">
      <c r="C16" s="408" t="s">
        <v>430</v>
      </c>
      <c r="H16" s="19"/>
      <c r="I16" s="33"/>
      <c r="J16" s="7"/>
      <c r="K16" s="293">
        <v>22</v>
      </c>
      <c r="L16" s="293">
        <v>1</v>
      </c>
      <c r="M16" s="290">
        <v>20</v>
      </c>
    </row>
    <row r="17" spans="2:55" x14ac:dyDescent="0.2">
      <c r="C17" s="409" t="s">
        <v>609</v>
      </c>
      <c r="H17" s="19"/>
      <c r="I17" s="6"/>
      <c r="J17" s="7"/>
      <c r="K17" s="293">
        <v>28</v>
      </c>
      <c r="L17" s="293">
        <v>1</v>
      </c>
      <c r="M17" s="290">
        <v>26</v>
      </c>
    </row>
    <row r="18" spans="2:55" x14ac:dyDescent="0.2">
      <c r="B18" s="6"/>
      <c r="H18" s="19"/>
      <c r="I18" s="222"/>
      <c r="J18" s="7"/>
      <c r="K18" s="293">
        <v>35</v>
      </c>
      <c r="L18" s="293">
        <v>1</v>
      </c>
      <c r="M18" s="290">
        <v>33</v>
      </c>
    </row>
    <row r="19" spans="2:55" x14ac:dyDescent="0.2">
      <c r="B19" s="6"/>
      <c r="H19" s="19"/>
      <c r="I19" s="33"/>
      <c r="J19" s="7"/>
      <c r="K19" s="293">
        <v>42</v>
      </c>
      <c r="L19" s="293">
        <v>1</v>
      </c>
      <c r="M19" s="290">
        <v>40</v>
      </c>
    </row>
    <row r="20" spans="2:55" ht="13.5" thickBot="1" x14ac:dyDescent="0.25">
      <c r="K20" s="576">
        <v>54</v>
      </c>
      <c r="L20" s="576">
        <v>1.2</v>
      </c>
      <c r="M20" s="558">
        <v>51.6</v>
      </c>
      <c r="AI20" s="785" t="s">
        <v>421</v>
      </c>
      <c r="AJ20" s="786"/>
      <c r="AK20" s="786"/>
      <c r="AL20" s="786"/>
      <c r="AM20" s="786"/>
      <c r="AN20" s="786"/>
      <c r="AO20" s="786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AI21" s="221"/>
      <c r="BC21" s="220"/>
    </row>
    <row r="22" spans="2:55" x14ac:dyDescent="0.2">
      <c r="C22" s="556"/>
      <c r="D22" s="565" t="s">
        <v>438</v>
      </c>
      <c r="E22" s="565" t="s">
        <v>380</v>
      </c>
      <c r="F22" s="565" t="s">
        <v>434</v>
      </c>
      <c r="G22" s="565" t="s">
        <v>435</v>
      </c>
      <c r="H22" s="565" t="s">
        <v>477</v>
      </c>
      <c r="I22" s="565" t="s">
        <v>440</v>
      </c>
      <c r="J22" s="565" t="s">
        <v>442</v>
      </c>
      <c r="K22" s="787" t="s">
        <v>443</v>
      </c>
      <c r="L22" s="787"/>
      <c r="M22" s="787"/>
      <c r="N22" s="787"/>
      <c r="O22" s="787"/>
      <c r="P22" s="787"/>
      <c r="Q22" s="787"/>
      <c r="R22" s="787"/>
      <c r="S22" s="787"/>
      <c r="T22" s="787"/>
      <c r="U22" s="565" t="s">
        <v>446</v>
      </c>
      <c r="V22" s="565" t="s">
        <v>447</v>
      </c>
      <c r="W22" s="565" t="s">
        <v>608</v>
      </c>
      <c r="AI22" s="221"/>
      <c r="AK22" s="788" t="s">
        <v>420</v>
      </c>
      <c r="AL22" s="788"/>
      <c r="AM22" s="788"/>
      <c r="AN22" s="788"/>
      <c r="AO22" s="788"/>
      <c r="AP22" s="789"/>
      <c r="AQ22" s="2"/>
      <c r="BC22" s="220"/>
    </row>
    <row r="23" spans="2:55" ht="16.5" customHeight="1" thickBot="1" x14ac:dyDescent="0.25">
      <c r="B23" s="6"/>
      <c r="C23" s="558" t="s">
        <v>390</v>
      </c>
      <c r="D23" s="558" t="s">
        <v>437</v>
      </c>
      <c r="E23" s="567" t="s">
        <v>433</v>
      </c>
      <c r="F23" s="567" t="s">
        <v>433</v>
      </c>
      <c r="G23" s="558" t="s">
        <v>436</v>
      </c>
      <c r="H23" s="567" t="s">
        <v>606</v>
      </c>
      <c r="I23" s="567" t="s">
        <v>439</v>
      </c>
      <c r="J23" s="567" t="s">
        <v>441</v>
      </c>
      <c r="K23" s="568"/>
      <c r="L23" s="569" t="s">
        <v>444</v>
      </c>
      <c r="M23" s="568"/>
      <c r="N23" s="569" t="s">
        <v>444</v>
      </c>
      <c r="O23" s="568"/>
      <c r="P23" s="569" t="s">
        <v>444</v>
      </c>
      <c r="Q23" s="568"/>
      <c r="R23" s="569" t="s">
        <v>444</v>
      </c>
      <c r="S23" s="568"/>
      <c r="T23" s="569" t="s">
        <v>444</v>
      </c>
      <c r="U23" s="567" t="s">
        <v>445</v>
      </c>
      <c r="V23" s="567" t="s">
        <v>448</v>
      </c>
      <c r="W23" s="567" t="s">
        <v>607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 t="s">
        <v>396</v>
      </c>
      <c r="D24" s="595">
        <v>2800</v>
      </c>
      <c r="E24" s="563"/>
      <c r="F24" s="704">
        <f t="shared" ref="F24:F39" si="0">IF(AU25=1,0,INDEX($AJ$42:$AJ$48,$AU25,1)-2*INDEX($AK$42:$AK$48,$AU25,1))</f>
        <v>33</v>
      </c>
      <c r="G24" s="703">
        <f t="shared" ref="G24:G39" si="1">IF(AU25=1,0,0.354*D24/(F24^2))</f>
        <v>0.91019283746556467</v>
      </c>
      <c r="H24" s="704">
        <f>IF(AU25=1,0,378*(D24^1.75)/(F24^4.75))</f>
        <v>24.950378612686706</v>
      </c>
      <c r="I24" s="364">
        <f t="shared" ref="I24:I39" si="2">IF(AU25=1,0,INDEX($AM$42:$AM$48,$AU25,1))</f>
        <v>20</v>
      </c>
      <c r="J24" s="595">
        <v>12</v>
      </c>
      <c r="K24" s="563"/>
      <c r="L24" s="595">
        <v>12</v>
      </c>
      <c r="M24" s="563"/>
      <c r="N24" s="561"/>
      <c r="O24" s="563"/>
      <c r="P24" s="561"/>
      <c r="Q24" s="563"/>
      <c r="R24" s="561"/>
      <c r="S24" s="563"/>
      <c r="T24" s="561"/>
      <c r="U24" s="364">
        <f t="shared" ref="U24:U39" si="3">IF(AU25=1,0, INDEX($AK$25:$AP$33,$AV25,$AU25-1)*L24+INDEX($AK$25:$AP$33,$AW25,$AU25-1)*N24+INDEX($AK$25:$AP$33,$AX25,$AU25-1)*P24+INDEX($AK$25:$AP$33,$AY25,$AU25-1)*R24+INDEX($AK$25:$AP$33,$AZ25,$AU25-1)*T24+INDEX($AK$25:$AP$33,$BA25,$AU25-1)*AK66+INDEX($AK$25:$AP$33,$BB25,$AU25-1)*AM66)</f>
        <v>10.08</v>
      </c>
      <c r="V24" s="364">
        <f t="shared" ref="V24:V39" si="4">J24+U24</f>
        <v>22.08</v>
      </c>
      <c r="W24" s="704">
        <f t="shared" ref="W24:W39" si="5">H24*V24</f>
        <v>550.90435976812239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83" t="s">
        <v>418</v>
      </c>
      <c r="AW24" s="783"/>
      <c r="AX24" s="783"/>
      <c r="AY24" s="783"/>
      <c r="AZ24" s="783"/>
      <c r="BA24" s="783"/>
      <c r="BB24" s="784"/>
      <c r="BC24" s="220"/>
    </row>
    <row r="25" spans="2:55" ht="18" customHeight="1" x14ac:dyDescent="0.2">
      <c r="C25" s="595"/>
      <c r="D25" s="595"/>
      <c r="E25" s="563"/>
      <c r="F25" s="364">
        <f t="shared" si="0"/>
        <v>0</v>
      </c>
      <c r="G25" s="703">
        <f t="shared" si="1"/>
        <v>0</v>
      </c>
      <c r="H25" s="704">
        <f t="shared" ref="H25:H39" si="6">IF(AU26=1,0,378*(D25^1.75)/(F25^4.75))</f>
        <v>0</v>
      </c>
      <c r="I25" s="364">
        <f t="shared" si="2"/>
        <v>0</v>
      </c>
      <c r="J25" s="595"/>
      <c r="K25" s="563"/>
      <c r="L25" s="595"/>
      <c r="M25" s="563"/>
      <c r="N25" s="561"/>
      <c r="O25" s="563"/>
      <c r="P25" s="561"/>
      <c r="Q25" s="563"/>
      <c r="R25" s="561"/>
      <c r="S25" s="563"/>
      <c r="T25" s="561"/>
      <c r="U25" s="364">
        <f t="shared" si="3"/>
        <v>0</v>
      </c>
      <c r="V25" s="364">
        <f t="shared" si="4"/>
        <v>0</v>
      </c>
      <c r="W25" s="704">
        <f t="shared" si="5"/>
        <v>0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5</v>
      </c>
      <c r="AV25" s="300">
        <v>4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220"/>
    </row>
    <row r="26" spans="2:55" ht="18" customHeight="1" x14ac:dyDescent="0.2">
      <c r="C26" s="595"/>
      <c r="D26" s="595"/>
      <c r="E26" s="563"/>
      <c r="F26" s="364">
        <f t="shared" si="0"/>
        <v>0</v>
      </c>
      <c r="G26" s="703">
        <f t="shared" si="1"/>
        <v>0</v>
      </c>
      <c r="H26" s="704">
        <f t="shared" si="6"/>
        <v>0</v>
      </c>
      <c r="I26" s="364">
        <f t="shared" si="2"/>
        <v>0</v>
      </c>
      <c r="J26" s="595"/>
      <c r="K26" s="563"/>
      <c r="L26" s="595"/>
      <c r="M26" s="563"/>
      <c r="N26" s="561"/>
      <c r="O26" s="563"/>
      <c r="P26" s="561"/>
      <c r="Q26" s="563"/>
      <c r="R26" s="561"/>
      <c r="S26" s="563"/>
      <c r="T26" s="561"/>
      <c r="U26" s="364">
        <f t="shared" si="3"/>
        <v>0</v>
      </c>
      <c r="V26" s="364">
        <f t="shared" si="4"/>
        <v>0</v>
      </c>
      <c r="W26" s="704">
        <f t="shared" si="5"/>
        <v>0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220"/>
    </row>
    <row r="27" spans="2:55" ht="18" customHeight="1" x14ac:dyDescent="0.2">
      <c r="C27" s="595"/>
      <c r="D27" s="595"/>
      <c r="E27" s="563"/>
      <c r="F27" s="364">
        <f t="shared" si="0"/>
        <v>0</v>
      </c>
      <c r="G27" s="703">
        <f t="shared" si="1"/>
        <v>0</v>
      </c>
      <c r="H27" s="704">
        <f t="shared" si="6"/>
        <v>0</v>
      </c>
      <c r="I27" s="364">
        <f t="shared" si="2"/>
        <v>0</v>
      </c>
      <c r="J27" s="595"/>
      <c r="K27" s="563"/>
      <c r="L27" s="595"/>
      <c r="M27" s="563"/>
      <c r="N27" s="561"/>
      <c r="O27" s="563"/>
      <c r="P27" s="561"/>
      <c r="Q27" s="563"/>
      <c r="R27" s="561"/>
      <c r="S27" s="563"/>
      <c r="T27" s="561"/>
      <c r="U27" s="364">
        <f t="shared" si="3"/>
        <v>0</v>
      </c>
      <c r="V27" s="364">
        <f t="shared" si="4"/>
        <v>0</v>
      </c>
      <c r="W27" s="704">
        <f t="shared" si="5"/>
        <v>0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220"/>
    </row>
    <row r="28" spans="2:55" ht="18" customHeight="1" x14ac:dyDescent="0.2">
      <c r="C28" s="595"/>
      <c r="D28" s="595"/>
      <c r="E28" s="563"/>
      <c r="F28" s="364">
        <f t="shared" si="0"/>
        <v>0</v>
      </c>
      <c r="G28" s="703">
        <f t="shared" si="1"/>
        <v>0</v>
      </c>
      <c r="H28" s="704">
        <f t="shared" si="6"/>
        <v>0</v>
      </c>
      <c r="I28" s="364">
        <f t="shared" si="2"/>
        <v>0</v>
      </c>
      <c r="J28" s="595"/>
      <c r="K28" s="563"/>
      <c r="L28" s="595"/>
      <c r="M28" s="563"/>
      <c r="N28" s="561"/>
      <c r="O28" s="563"/>
      <c r="P28" s="561"/>
      <c r="Q28" s="563"/>
      <c r="R28" s="561"/>
      <c r="S28" s="563"/>
      <c r="T28" s="561"/>
      <c r="U28" s="364">
        <f t="shared" si="3"/>
        <v>0</v>
      </c>
      <c r="V28" s="364">
        <f t="shared" si="4"/>
        <v>0</v>
      </c>
      <c r="W28" s="704">
        <f t="shared" si="5"/>
        <v>0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220"/>
    </row>
    <row r="29" spans="2:55" s="105" customFormat="1" ht="18" customHeight="1" x14ac:dyDescent="0.2">
      <c r="C29" s="595"/>
      <c r="D29" s="595"/>
      <c r="E29" s="563"/>
      <c r="F29" s="364">
        <f t="shared" si="0"/>
        <v>0</v>
      </c>
      <c r="G29" s="703">
        <f t="shared" si="1"/>
        <v>0</v>
      </c>
      <c r="H29" s="704">
        <f t="shared" si="6"/>
        <v>0</v>
      </c>
      <c r="I29" s="364">
        <f t="shared" si="2"/>
        <v>0</v>
      </c>
      <c r="J29" s="595"/>
      <c r="K29" s="563"/>
      <c r="L29" s="595"/>
      <c r="M29" s="563"/>
      <c r="N29" s="561"/>
      <c r="O29" s="563"/>
      <c r="P29" s="561"/>
      <c r="Q29" s="563"/>
      <c r="R29" s="561"/>
      <c r="S29" s="563"/>
      <c r="T29" s="561"/>
      <c r="U29" s="364">
        <f t="shared" si="3"/>
        <v>0</v>
      </c>
      <c r="V29" s="364">
        <f t="shared" si="4"/>
        <v>0</v>
      </c>
      <c r="W29" s="704">
        <f t="shared" si="5"/>
        <v>0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6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228"/>
    </row>
    <row r="30" spans="2:55" s="105" customFormat="1" ht="18" customHeight="1" x14ac:dyDescent="0.2">
      <c r="C30" s="595"/>
      <c r="D30" s="595"/>
      <c r="E30" s="563"/>
      <c r="F30" s="364">
        <f t="shared" si="0"/>
        <v>0</v>
      </c>
      <c r="G30" s="703">
        <f t="shared" si="1"/>
        <v>0</v>
      </c>
      <c r="H30" s="704">
        <f t="shared" si="6"/>
        <v>0</v>
      </c>
      <c r="I30" s="364">
        <f t="shared" si="2"/>
        <v>0</v>
      </c>
      <c r="J30" s="595"/>
      <c r="K30" s="563"/>
      <c r="L30" s="595"/>
      <c r="M30" s="563"/>
      <c r="N30" s="561"/>
      <c r="O30" s="563"/>
      <c r="P30" s="561"/>
      <c r="Q30" s="563"/>
      <c r="R30" s="561"/>
      <c r="S30" s="563"/>
      <c r="T30" s="561"/>
      <c r="U30" s="364">
        <f t="shared" si="3"/>
        <v>0</v>
      </c>
      <c r="V30" s="364">
        <f t="shared" si="4"/>
        <v>0</v>
      </c>
      <c r="W30" s="704">
        <f t="shared" si="5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6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228"/>
    </row>
    <row r="31" spans="2:55" s="105" customFormat="1" ht="18" customHeight="1" x14ac:dyDescent="0.2">
      <c r="C31" s="595"/>
      <c r="D31" s="595"/>
      <c r="E31" s="563"/>
      <c r="F31" s="364">
        <f t="shared" si="0"/>
        <v>0</v>
      </c>
      <c r="G31" s="703">
        <f t="shared" si="1"/>
        <v>0</v>
      </c>
      <c r="H31" s="704">
        <f t="shared" si="6"/>
        <v>0</v>
      </c>
      <c r="I31" s="364">
        <f t="shared" si="2"/>
        <v>0</v>
      </c>
      <c r="J31" s="595"/>
      <c r="K31" s="563"/>
      <c r="L31" s="595"/>
      <c r="M31" s="563"/>
      <c r="N31" s="561"/>
      <c r="O31" s="563"/>
      <c r="P31" s="561"/>
      <c r="Q31" s="563"/>
      <c r="R31" s="561"/>
      <c r="S31" s="563"/>
      <c r="T31" s="561"/>
      <c r="U31" s="364">
        <f t="shared" si="3"/>
        <v>0</v>
      </c>
      <c r="V31" s="364">
        <f t="shared" si="4"/>
        <v>0</v>
      </c>
      <c r="W31" s="704">
        <f t="shared" si="5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228"/>
    </row>
    <row r="32" spans="2:55" s="105" customFormat="1" ht="18" customHeight="1" x14ac:dyDescent="0.2">
      <c r="C32" s="595"/>
      <c r="D32" s="595"/>
      <c r="E32" s="563"/>
      <c r="F32" s="364">
        <f t="shared" si="0"/>
        <v>0</v>
      </c>
      <c r="G32" s="703">
        <f t="shared" si="1"/>
        <v>0</v>
      </c>
      <c r="H32" s="704">
        <f t="shared" si="6"/>
        <v>0</v>
      </c>
      <c r="I32" s="364">
        <f t="shared" si="2"/>
        <v>0</v>
      </c>
      <c r="J32" s="595"/>
      <c r="K32" s="563"/>
      <c r="L32" s="595"/>
      <c r="M32" s="563"/>
      <c r="N32" s="561"/>
      <c r="O32" s="563"/>
      <c r="P32" s="561"/>
      <c r="Q32" s="563"/>
      <c r="R32" s="561"/>
      <c r="S32" s="563"/>
      <c r="T32" s="561"/>
      <c r="U32" s="364">
        <f t="shared" si="3"/>
        <v>0</v>
      </c>
      <c r="V32" s="364">
        <f t="shared" si="4"/>
        <v>0</v>
      </c>
      <c r="W32" s="704">
        <f t="shared" si="5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228"/>
    </row>
    <row r="33" spans="2:55" ht="18" customHeight="1" x14ac:dyDescent="0.2">
      <c r="C33" s="595"/>
      <c r="D33" s="595"/>
      <c r="E33" s="563"/>
      <c r="F33" s="364">
        <f t="shared" si="0"/>
        <v>0</v>
      </c>
      <c r="G33" s="703">
        <f t="shared" si="1"/>
        <v>0</v>
      </c>
      <c r="H33" s="704">
        <f t="shared" si="6"/>
        <v>0</v>
      </c>
      <c r="I33" s="364">
        <f t="shared" si="2"/>
        <v>0</v>
      </c>
      <c r="J33" s="595"/>
      <c r="K33" s="563"/>
      <c r="L33" s="595"/>
      <c r="M33" s="563"/>
      <c r="N33" s="561"/>
      <c r="O33" s="563"/>
      <c r="P33" s="561"/>
      <c r="Q33" s="563"/>
      <c r="R33" s="561"/>
      <c r="S33" s="563"/>
      <c r="T33" s="561"/>
      <c r="U33" s="364">
        <f t="shared" si="3"/>
        <v>0</v>
      </c>
      <c r="V33" s="364">
        <f t="shared" si="4"/>
        <v>0</v>
      </c>
      <c r="W33" s="704">
        <f t="shared" si="5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220"/>
    </row>
    <row r="34" spans="2:55" ht="18" customHeight="1" x14ac:dyDescent="0.2">
      <c r="C34" s="595"/>
      <c r="D34" s="595"/>
      <c r="E34" s="563"/>
      <c r="F34" s="364">
        <f t="shared" si="0"/>
        <v>0</v>
      </c>
      <c r="G34" s="703">
        <f t="shared" si="1"/>
        <v>0</v>
      </c>
      <c r="H34" s="704">
        <f t="shared" si="6"/>
        <v>0</v>
      </c>
      <c r="I34" s="364">
        <f t="shared" si="2"/>
        <v>0</v>
      </c>
      <c r="J34" s="595"/>
      <c r="K34" s="563"/>
      <c r="L34" s="595"/>
      <c r="M34" s="563"/>
      <c r="N34" s="561"/>
      <c r="O34" s="563"/>
      <c r="P34" s="561"/>
      <c r="Q34" s="563"/>
      <c r="R34" s="561"/>
      <c r="S34" s="563"/>
      <c r="T34" s="561"/>
      <c r="U34" s="364">
        <f t="shared" si="3"/>
        <v>0</v>
      </c>
      <c r="V34" s="364">
        <f t="shared" si="4"/>
        <v>0</v>
      </c>
      <c r="W34" s="704">
        <f t="shared" si="5"/>
        <v>0</v>
      </c>
      <c r="AI34" s="221"/>
      <c r="AR34" s="239"/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220"/>
    </row>
    <row r="35" spans="2:55" ht="18" customHeight="1" x14ac:dyDescent="0.2">
      <c r="C35" s="595"/>
      <c r="D35" s="595"/>
      <c r="E35" s="563"/>
      <c r="F35" s="364">
        <f t="shared" si="0"/>
        <v>0</v>
      </c>
      <c r="G35" s="703">
        <f t="shared" si="1"/>
        <v>0</v>
      </c>
      <c r="H35" s="704">
        <f t="shared" si="6"/>
        <v>0</v>
      </c>
      <c r="I35" s="364">
        <f t="shared" si="2"/>
        <v>0</v>
      </c>
      <c r="J35" s="595"/>
      <c r="K35" s="563"/>
      <c r="L35" s="595"/>
      <c r="M35" s="563"/>
      <c r="N35" s="561"/>
      <c r="O35" s="563"/>
      <c r="P35" s="561"/>
      <c r="Q35" s="563"/>
      <c r="R35" s="561"/>
      <c r="S35" s="563"/>
      <c r="T35" s="561"/>
      <c r="U35" s="364">
        <f t="shared" si="3"/>
        <v>0</v>
      </c>
      <c r="V35" s="364">
        <f t="shared" si="4"/>
        <v>0</v>
      </c>
      <c r="W35" s="704">
        <f t="shared" si="5"/>
        <v>0</v>
      </c>
      <c r="AI35" s="221"/>
      <c r="AJ35" s="5"/>
      <c r="AR35" s="108"/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220"/>
    </row>
    <row r="36" spans="2:55" ht="18" customHeight="1" x14ac:dyDescent="0.2">
      <c r="C36" s="595"/>
      <c r="D36" s="595"/>
      <c r="E36" s="563"/>
      <c r="F36" s="364">
        <f t="shared" si="0"/>
        <v>0</v>
      </c>
      <c r="G36" s="703">
        <f t="shared" si="1"/>
        <v>0</v>
      </c>
      <c r="H36" s="704">
        <f t="shared" si="6"/>
        <v>0</v>
      </c>
      <c r="I36" s="364">
        <f t="shared" si="2"/>
        <v>0</v>
      </c>
      <c r="J36" s="595"/>
      <c r="K36" s="563"/>
      <c r="L36" s="595"/>
      <c r="M36" s="563"/>
      <c r="N36" s="561"/>
      <c r="O36" s="563"/>
      <c r="P36" s="561"/>
      <c r="Q36" s="563"/>
      <c r="R36" s="561"/>
      <c r="S36" s="563"/>
      <c r="T36" s="561"/>
      <c r="U36" s="364">
        <f t="shared" si="3"/>
        <v>0</v>
      </c>
      <c r="V36" s="364">
        <f t="shared" si="4"/>
        <v>0</v>
      </c>
      <c r="W36" s="704">
        <f t="shared" si="5"/>
        <v>0</v>
      </c>
      <c r="AI36" s="221"/>
      <c r="AJ36" s="3"/>
      <c r="AK36" s="3"/>
      <c r="AR36" s="240"/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220"/>
    </row>
    <row r="37" spans="2:55" ht="18" customHeight="1" x14ac:dyDescent="0.2">
      <c r="C37" s="595"/>
      <c r="D37" s="595"/>
      <c r="E37" s="563"/>
      <c r="F37" s="364">
        <f t="shared" si="0"/>
        <v>0</v>
      </c>
      <c r="G37" s="703">
        <f t="shared" si="1"/>
        <v>0</v>
      </c>
      <c r="H37" s="704">
        <f t="shared" si="6"/>
        <v>0</v>
      </c>
      <c r="I37" s="364">
        <f t="shared" si="2"/>
        <v>0</v>
      </c>
      <c r="J37" s="595"/>
      <c r="K37" s="563"/>
      <c r="L37" s="595"/>
      <c r="M37" s="563"/>
      <c r="N37" s="561"/>
      <c r="O37" s="563"/>
      <c r="P37" s="561"/>
      <c r="Q37" s="563"/>
      <c r="R37" s="561"/>
      <c r="S37" s="563"/>
      <c r="T37" s="561"/>
      <c r="U37" s="364">
        <f t="shared" si="3"/>
        <v>0</v>
      </c>
      <c r="V37" s="364">
        <f t="shared" si="4"/>
        <v>0</v>
      </c>
      <c r="W37" s="704">
        <f t="shared" si="5"/>
        <v>0</v>
      </c>
      <c r="AI37" s="221"/>
      <c r="AJ37" s="3"/>
      <c r="AK37" s="35"/>
      <c r="AR37" s="240"/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220"/>
    </row>
    <row r="38" spans="2:55" ht="18" customHeight="1" x14ac:dyDescent="0.2">
      <c r="C38" s="595"/>
      <c r="D38" s="595"/>
      <c r="E38" s="563"/>
      <c r="F38" s="364">
        <f t="shared" si="0"/>
        <v>0</v>
      </c>
      <c r="G38" s="703">
        <f t="shared" si="1"/>
        <v>0</v>
      </c>
      <c r="H38" s="704">
        <f t="shared" si="6"/>
        <v>0</v>
      </c>
      <c r="I38" s="364">
        <f t="shared" si="2"/>
        <v>0</v>
      </c>
      <c r="J38" s="595"/>
      <c r="K38" s="563"/>
      <c r="L38" s="595"/>
      <c r="M38" s="563"/>
      <c r="N38" s="561"/>
      <c r="O38" s="563"/>
      <c r="P38" s="561"/>
      <c r="Q38" s="563"/>
      <c r="R38" s="561"/>
      <c r="S38" s="563"/>
      <c r="T38" s="561"/>
      <c r="U38" s="364">
        <f t="shared" si="3"/>
        <v>0</v>
      </c>
      <c r="V38" s="364">
        <f t="shared" si="4"/>
        <v>0</v>
      </c>
      <c r="W38" s="704">
        <f t="shared" si="5"/>
        <v>0</v>
      </c>
      <c r="AI38" s="221"/>
      <c r="AJ38" s="3"/>
      <c r="AK38" s="35"/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220"/>
    </row>
    <row r="39" spans="2:55" ht="18" customHeight="1" thickBot="1" x14ac:dyDescent="0.25">
      <c r="C39" s="639"/>
      <c r="D39" s="639"/>
      <c r="E39" s="641"/>
      <c r="F39" s="705">
        <f t="shared" si="0"/>
        <v>0</v>
      </c>
      <c r="G39" s="706">
        <f t="shared" si="1"/>
        <v>0</v>
      </c>
      <c r="H39" s="707">
        <f t="shared" si="6"/>
        <v>0</v>
      </c>
      <c r="I39" s="705">
        <f t="shared" si="2"/>
        <v>0</v>
      </c>
      <c r="J39" s="639"/>
      <c r="K39" s="641"/>
      <c r="L39" s="639"/>
      <c r="M39" s="641"/>
      <c r="N39" s="717"/>
      <c r="O39" s="641"/>
      <c r="P39" s="717"/>
      <c r="Q39" s="641"/>
      <c r="R39" s="717"/>
      <c r="S39" s="641"/>
      <c r="T39" s="717"/>
      <c r="U39" s="705">
        <f t="shared" si="3"/>
        <v>0</v>
      </c>
      <c r="V39" s="705">
        <f t="shared" si="4"/>
        <v>0</v>
      </c>
      <c r="W39" s="707">
        <f t="shared" si="5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220"/>
    </row>
    <row r="40" spans="2:55" ht="18" customHeight="1" x14ac:dyDescent="0.2">
      <c r="K40" s="490" t="s">
        <v>499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220"/>
    </row>
    <row r="41" spans="2:55" ht="18" customHeight="1" x14ac:dyDescent="0.2">
      <c r="C41" s="441" t="s">
        <v>455</v>
      </c>
      <c r="D41" s="443"/>
      <c r="E41" s="443"/>
      <c r="F41" s="443"/>
      <c r="G41" s="444" t="s">
        <v>605</v>
      </c>
      <c r="H41" s="578">
        <v>0.55090435976812235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498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479</v>
      </c>
      <c r="D43" s="294"/>
      <c r="E43" s="294"/>
      <c r="F43" s="294"/>
      <c r="G43" s="29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56" t="s">
        <v>383</v>
      </c>
      <c r="AR43" s="2"/>
      <c r="AT43" s="169" t="s">
        <v>565</v>
      </c>
      <c r="AU43" s="3"/>
      <c r="AV43" s="3"/>
      <c r="AW43" s="3"/>
      <c r="AX43" s="3"/>
      <c r="BC43" s="220"/>
    </row>
    <row r="44" spans="2:55" ht="18" customHeight="1" x14ac:dyDescent="0.2">
      <c r="C44" s="481" t="s">
        <v>480</v>
      </c>
      <c r="D44" s="556"/>
      <c r="E44" s="556"/>
      <c r="F44" s="556"/>
      <c r="G44" s="556"/>
      <c r="H44" s="622"/>
      <c r="J44" s="33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185">
        <v>20</v>
      </c>
      <c r="AT44" s="169" t="s">
        <v>567</v>
      </c>
      <c r="AU44" s="3"/>
      <c r="AV44" s="3"/>
      <c r="AW44" s="3"/>
      <c r="AX44" s="3"/>
      <c r="BC44" s="220"/>
    </row>
    <row r="45" spans="2:55" ht="15" x14ac:dyDescent="0.2">
      <c r="C45" s="292" t="s">
        <v>450</v>
      </c>
      <c r="D45" s="294"/>
      <c r="E45" s="294"/>
      <c r="F45" s="294"/>
      <c r="G45" s="290" t="s">
        <v>605</v>
      </c>
      <c r="H45" s="579">
        <v>1.4</v>
      </c>
      <c r="J45" s="490" t="s">
        <v>604</v>
      </c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183">
        <v>20</v>
      </c>
      <c r="AT45" s="169" t="s">
        <v>566</v>
      </c>
      <c r="AU45" s="3"/>
      <c r="AV45" s="3"/>
      <c r="AW45" s="3"/>
      <c r="AX45" s="3"/>
      <c r="BC45" s="220"/>
    </row>
    <row r="46" spans="2:55" ht="19.5" x14ac:dyDescent="0.35">
      <c r="C46" s="292" t="s">
        <v>481</v>
      </c>
      <c r="D46" s="294"/>
      <c r="E46" s="294"/>
      <c r="F46" s="294"/>
      <c r="G46" s="290"/>
      <c r="H46" s="214"/>
      <c r="J46" s="33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183">
        <v>30</v>
      </c>
      <c r="AT46" s="297">
        <v>1</v>
      </c>
      <c r="AU46" s="3"/>
      <c r="AV46" s="3"/>
      <c r="AW46" s="3"/>
      <c r="AX46" s="3"/>
      <c r="BC46" s="220"/>
    </row>
    <row r="47" spans="2:55" ht="15" x14ac:dyDescent="0.2">
      <c r="B47" s="197"/>
      <c r="C47" s="436" t="s">
        <v>482</v>
      </c>
      <c r="D47" s="438"/>
      <c r="E47" s="438"/>
      <c r="F47" s="438"/>
      <c r="G47" s="448" t="s">
        <v>605</v>
      </c>
      <c r="H47" s="625">
        <f>$H$41+$H$45</f>
        <v>1.9509043597681224</v>
      </c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88">
        <v>30</v>
      </c>
      <c r="AT47" s="3"/>
      <c r="AU47" s="3"/>
      <c r="AV47" s="3"/>
      <c r="AW47" s="3"/>
      <c r="AX47" s="3"/>
      <c r="BC47" s="220"/>
    </row>
    <row r="48" spans="2:55" x14ac:dyDescent="0.2">
      <c r="B48" s="197"/>
      <c r="C48" s="294"/>
      <c r="D48" s="294"/>
      <c r="E48" s="294"/>
      <c r="F48" s="294"/>
      <c r="G48" s="294"/>
      <c r="H48" s="10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x14ac:dyDescent="0.25">
      <c r="B49" s="197"/>
      <c r="C49" s="319" t="s">
        <v>483</v>
      </c>
      <c r="D49" s="294"/>
      <c r="E49" s="294"/>
      <c r="F49" s="294"/>
      <c r="G49" s="294"/>
      <c r="H49" s="10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ht="15.75" x14ac:dyDescent="0.2">
      <c r="B50" s="197"/>
      <c r="C50" s="481" t="s">
        <v>438</v>
      </c>
      <c r="D50" s="556"/>
      <c r="E50" s="556"/>
      <c r="F50" s="556"/>
      <c r="G50" s="565" t="s">
        <v>414</v>
      </c>
      <c r="H50" s="674">
        <f>H8</f>
        <v>1398</v>
      </c>
      <c r="AI50" s="221"/>
      <c r="AJ50" s="5"/>
      <c r="AK50" s="5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">
      <c r="B51" s="197"/>
      <c r="C51" s="436" t="s">
        <v>472</v>
      </c>
      <c r="D51" s="438"/>
      <c r="E51" s="438"/>
      <c r="F51" s="438"/>
      <c r="G51" s="448" t="s">
        <v>605</v>
      </c>
      <c r="H51" s="673">
        <f>H47</f>
        <v>1.9509043597681224</v>
      </c>
      <c r="AI51" s="224"/>
      <c r="AJ51" s="242"/>
      <c r="AK51" s="242"/>
      <c r="AL51" s="242"/>
      <c r="AM51" s="242"/>
      <c r="AN51" s="225"/>
      <c r="AO51" s="225"/>
      <c r="AP51" s="225"/>
      <c r="AQ51" s="225"/>
      <c r="AR51" s="225"/>
      <c r="AS51" s="225"/>
      <c r="AT51" s="242"/>
      <c r="AU51" s="242"/>
      <c r="AV51" s="242"/>
      <c r="AW51" s="242"/>
      <c r="AX51" s="242"/>
      <c r="AY51" s="225"/>
      <c r="AZ51" s="225"/>
      <c r="BA51" s="225"/>
      <c r="BB51" s="225"/>
      <c r="BC51" s="226"/>
    </row>
    <row r="52" spans="2:55" x14ac:dyDescent="0.2">
      <c r="B52" s="197"/>
      <c r="C52" s="294"/>
      <c r="D52" s="294"/>
      <c r="E52" s="294"/>
      <c r="F52" s="294"/>
      <c r="G52" s="294"/>
      <c r="AI52" s="229"/>
      <c r="AJ52" s="261"/>
      <c r="AK52" s="262"/>
      <c r="AL52" s="261"/>
      <c r="AM52" s="261"/>
      <c r="AN52" s="229"/>
      <c r="AO52" s="229"/>
      <c r="AP52" s="229"/>
      <c r="AT52" s="3"/>
      <c r="AU52" s="3"/>
      <c r="AV52" s="3"/>
      <c r="AW52" s="3"/>
      <c r="AX52" s="3"/>
    </row>
    <row r="53" spans="2:55" ht="15.75" x14ac:dyDescent="0.25">
      <c r="B53" s="197"/>
      <c r="C53" s="580" t="s">
        <v>670</v>
      </c>
      <c r="D53" s="438"/>
      <c r="E53" s="438"/>
      <c r="F53" s="438"/>
      <c r="G53" s="438"/>
      <c r="H53" s="244"/>
      <c r="AJ53" s="3"/>
      <c r="AK53" s="35"/>
      <c r="AT53" s="3"/>
      <c r="AU53" s="3"/>
      <c r="AV53" s="3"/>
      <c r="AW53" s="3"/>
      <c r="AX53" s="3"/>
    </row>
    <row r="54" spans="2:55" ht="15.75" customHeight="1" x14ac:dyDescent="0.2">
      <c r="B54" s="197"/>
      <c r="C54" s="292" t="s">
        <v>565</v>
      </c>
      <c r="D54" s="294"/>
      <c r="E54" s="294"/>
      <c r="F54" s="294"/>
      <c r="G54" s="294"/>
      <c r="J54" s="490" t="s">
        <v>568</v>
      </c>
      <c r="AJ54" s="3"/>
      <c r="AK54" s="35"/>
      <c r="AT54" s="3"/>
      <c r="AU54" s="3"/>
      <c r="AV54" s="3"/>
      <c r="AW54" s="3"/>
      <c r="AX54" s="3"/>
    </row>
    <row r="55" spans="2:55" ht="15.75" customHeight="1" x14ac:dyDescent="0.2">
      <c r="B55" s="197"/>
      <c r="C55" s="292" t="str">
        <f>IF(AT46=1,"Potencia mínima de intercambio deseada","Superficie útil de intercambio")</f>
        <v>Potencia mínima de intercambio deseada</v>
      </c>
      <c r="D55" s="294"/>
      <c r="E55" s="294"/>
      <c r="F55" s="294"/>
      <c r="G55" s="290" t="str">
        <f>IF(AT46=1,"W/m2","m2/m2 capt")</f>
        <v>W/m2</v>
      </c>
      <c r="H55" s="579">
        <v>600</v>
      </c>
      <c r="J55" s="490" t="str">
        <f>IF(AT46=1,"Mínimo 600 W/m2","Mínimo 0,2 m2/m2 captadores")</f>
        <v>Mínimo 600 W/m2</v>
      </c>
      <c r="AJ55" s="3"/>
      <c r="AK55" s="35"/>
      <c r="AT55" s="3"/>
      <c r="AU55" s="3"/>
      <c r="AV55" s="3"/>
      <c r="AW55" s="3"/>
      <c r="AX55" s="3"/>
    </row>
    <row r="56" spans="2:55" ht="15.75" x14ac:dyDescent="0.2">
      <c r="B56" s="197"/>
      <c r="C56" s="292"/>
      <c r="D56" s="294"/>
      <c r="E56" s="294"/>
      <c r="F56" s="294"/>
      <c r="G56" s="290" t="str">
        <f>IF(AT46=1,"kW","m2")</f>
        <v>kW</v>
      </c>
      <c r="H56" s="599">
        <f>IF(AT46=1,H55*Principal!G66/1000,H55*Principal!G66)</f>
        <v>16.776</v>
      </c>
      <c r="AJ56" s="3"/>
      <c r="AK56" s="35"/>
      <c r="AT56" s="3"/>
      <c r="AU56" s="3"/>
      <c r="AV56" s="3"/>
      <c r="AW56" s="3"/>
      <c r="AX56" s="3"/>
    </row>
    <row r="57" spans="2:55" ht="15.75" x14ac:dyDescent="0.2">
      <c r="B57" s="197"/>
      <c r="C57" s="481" t="str">
        <f>IF(AT46=1,"Caudal lado primario","Caudal fluido caloportador")</f>
        <v>Caudal lado primario</v>
      </c>
      <c r="D57" s="556"/>
      <c r="E57" s="556"/>
      <c r="F57" s="556"/>
      <c r="G57" s="565" t="s">
        <v>414</v>
      </c>
      <c r="H57" s="674">
        <f>CH_Prim!H8</f>
        <v>1398</v>
      </c>
      <c r="J57" s="33"/>
      <c r="AT57" s="3"/>
      <c r="AU57" s="3"/>
      <c r="AV57" s="3"/>
      <c r="AW57" s="3"/>
      <c r="AX57" s="3"/>
    </row>
    <row r="58" spans="2:55" ht="15" x14ac:dyDescent="0.2">
      <c r="B58" s="197"/>
      <c r="C58" s="332" t="str">
        <f>IF(AT46=1,"Temp de entrada a intercamb lado primario","Temp. de entrada a intercambiador")</f>
        <v>Temp de entrada a intercamb lado primario</v>
      </c>
      <c r="D58" s="333"/>
      <c r="E58" s="333"/>
      <c r="F58" s="290"/>
      <c r="G58" s="290" t="s">
        <v>12</v>
      </c>
      <c r="H58" s="579">
        <v>60</v>
      </c>
      <c r="J58" s="33"/>
      <c r="AT58" s="3"/>
      <c r="AU58" s="3"/>
      <c r="AV58" s="3"/>
      <c r="AW58" s="3"/>
      <c r="AX58" s="3"/>
    </row>
    <row r="59" spans="2:55" ht="15" x14ac:dyDescent="0.2">
      <c r="B59" s="197"/>
      <c r="C59" s="292" t="s">
        <v>417</v>
      </c>
      <c r="D59" s="294"/>
      <c r="E59" s="294"/>
      <c r="F59" s="294"/>
      <c r="G59" s="290"/>
      <c r="H59" s="380" t="str">
        <f>IF(CH_Prim!AR35=1,"agua sin aditivos","agua con anticongelante")</f>
        <v>agua con anticongelante</v>
      </c>
      <c r="J59" s="33"/>
      <c r="AT59" s="3"/>
      <c r="AU59" s="3"/>
      <c r="AV59" s="3"/>
      <c r="AW59" s="3"/>
      <c r="AX59" s="3"/>
    </row>
    <row r="60" spans="2:55" ht="15.75" x14ac:dyDescent="0.2">
      <c r="B60" s="197"/>
      <c r="C60" s="481" t="str">
        <f>IF(AT46=1,"Caudal lado secundario","")</f>
        <v>Caudal lado secundario</v>
      </c>
      <c r="D60" s="556"/>
      <c r="E60" s="556"/>
      <c r="F60" s="556"/>
      <c r="G60" s="565" t="str">
        <f>IF(AT46=1,"litros/h","")</f>
        <v>litros/h</v>
      </c>
      <c r="H60" s="740">
        <f>IF(AT46=1,H8,"")</f>
        <v>1398</v>
      </c>
      <c r="J60" s="33"/>
      <c r="AT60" s="3"/>
      <c r="AU60" s="3"/>
      <c r="AV60" s="3"/>
      <c r="AW60" s="3"/>
      <c r="AX60" s="3"/>
    </row>
    <row r="61" spans="2:55" ht="15" x14ac:dyDescent="0.2">
      <c r="B61" s="197"/>
      <c r="C61" s="332" t="str">
        <f>IF(AT46=1,"Temp de entrada a intercamb lado secundario","")</f>
        <v>Temp de entrada a intercamb lado secundario</v>
      </c>
      <c r="D61" s="333"/>
      <c r="E61" s="333"/>
      <c r="F61" s="290"/>
      <c r="G61" s="290" t="str">
        <f>IF(AT46=1,"ºC","")</f>
        <v>ºC</v>
      </c>
      <c r="H61" s="718">
        <v>42</v>
      </c>
      <c r="AT61" s="3"/>
      <c r="AU61" s="3"/>
      <c r="AV61" s="3"/>
      <c r="AW61" s="3"/>
      <c r="AX61" s="3"/>
    </row>
    <row r="62" spans="2:55" ht="15.75" thickBot="1" x14ac:dyDescent="0.25">
      <c r="B62" s="197"/>
      <c r="C62" s="428" t="str">
        <f>IF(AT46=1,"Fluido del circuito secundario","")</f>
        <v>Fluido del circuito secundario</v>
      </c>
      <c r="D62" s="427"/>
      <c r="E62" s="427"/>
      <c r="F62" s="427"/>
      <c r="G62" s="558"/>
      <c r="H62" s="604" t="str">
        <f>IF(AT46=1,"agua","")</f>
        <v>agua</v>
      </c>
      <c r="AT62" s="3"/>
      <c r="AU62" s="3"/>
      <c r="AV62" s="3"/>
      <c r="AW62" s="3"/>
      <c r="AX62" s="3"/>
    </row>
    <row r="63" spans="2:55" x14ac:dyDescent="0.2">
      <c r="B63" s="197"/>
      <c r="J63" s="6"/>
      <c r="K63" s="5"/>
      <c r="L63" s="5"/>
    </row>
    <row r="64" spans="2:55" ht="16.5" thickBot="1" x14ac:dyDescent="0.3">
      <c r="B64" s="676"/>
      <c r="C64" s="605"/>
      <c r="D64" s="422"/>
      <c r="E64" s="422"/>
      <c r="F64" s="422"/>
      <c r="G64" s="606"/>
      <c r="H64" s="677"/>
      <c r="I64" s="422"/>
      <c r="J64" s="422"/>
      <c r="K64" s="422"/>
      <c r="L64" s="422"/>
      <c r="M64" s="422"/>
      <c r="N64" s="422"/>
      <c r="O64" s="422"/>
      <c r="P64" s="422"/>
      <c r="Q64" s="422"/>
      <c r="R64" s="422"/>
      <c r="S64" s="422"/>
      <c r="T64" s="422"/>
      <c r="U64" s="422"/>
      <c r="V64" s="422"/>
      <c r="W64" s="422"/>
    </row>
    <row r="65" spans="2:39" ht="15.75" thickTop="1" x14ac:dyDescent="0.2">
      <c r="B65" s="675" t="s">
        <v>722</v>
      </c>
      <c r="C65" s="241"/>
      <c r="G65" s="3"/>
      <c r="H65" s="214"/>
      <c r="J65" s="33"/>
      <c r="K65" s="110"/>
      <c r="L65" s="217"/>
      <c r="M65" s="5"/>
      <c r="N65" s="241"/>
    </row>
    <row r="66" spans="2:39" ht="15" x14ac:dyDescent="0.2">
      <c r="C66" s="97"/>
      <c r="G66" s="3"/>
      <c r="H66" s="600"/>
    </row>
    <row r="67" spans="2:39" ht="11.25" customHeight="1" x14ac:dyDescent="0.2">
      <c r="B67" s="382"/>
      <c r="H67" s="6"/>
      <c r="I67" s="6"/>
      <c r="AJ67" s="105"/>
      <c r="AK67" s="197"/>
      <c r="AL67" s="105"/>
      <c r="AM67" s="197"/>
    </row>
    <row r="68" spans="2:39" ht="15.75" customHeight="1" x14ac:dyDescent="0.2">
      <c r="AJ68" s="105"/>
      <c r="AK68" s="197"/>
      <c r="AL68" s="105"/>
      <c r="AM68" s="197"/>
    </row>
    <row r="69" spans="2:39" ht="15" customHeight="1" x14ac:dyDescent="0.2">
      <c r="AJ69" s="105"/>
      <c r="AK69" s="197"/>
      <c r="AL69" s="105"/>
      <c r="AM69" s="197"/>
    </row>
    <row r="70" spans="2:39" x14ac:dyDescent="0.2">
      <c r="AJ70" s="105"/>
      <c r="AK70" s="197"/>
      <c r="AL70" s="105"/>
      <c r="AM70" s="197"/>
    </row>
    <row r="71" spans="2:39" x14ac:dyDescent="0.2">
      <c r="H71" s="6"/>
      <c r="I71" s="195"/>
      <c r="AJ71" s="105"/>
      <c r="AK71" s="197"/>
      <c r="AL71" s="105"/>
      <c r="AM71" s="197"/>
    </row>
    <row r="72" spans="2:39" x14ac:dyDescent="0.2">
      <c r="AJ72" s="105"/>
      <c r="AK72" s="197"/>
      <c r="AL72" s="105"/>
      <c r="AM72" s="197"/>
    </row>
    <row r="73" spans="2:39" x14ac:dyDescent="0.2">
      <c r="AJ73" s="105"/>
      <c r="AK73" s="197"/>
      <c r="AL73" s="105"/>
      <c r="AM73" s="197"/>
    </row>
    <row r="74" spans="2:39" x14ac:dyDescent="0.2">
      <c r="B74" s="196"/>
      <c r="C74" s="3"/>
      <c r="D74" s="197"/>
      <c r="E74" s="11"/>
      <c r="F74" s="11"/>
      <c r="H74" s="6"/>
      <c r="I74" s="216"/>
      <c r="AJ74" s="105"/>
      <c r="AK74" s="197"/>
      <c r="AL74" s="105"/>
      <c r="AM74" s="197"/>
    </row>
    <row r="75" spans="2:39" x14ac:dyDescent="0.2">
      <c r="B75" s="196"/>
      <c r="C75" s="3"/>
      <c r="D75" s="197"/>
      <c r="E75" s="11"/>
      <c r="F75" s="11"/>
      <c r="H75" s="6"/>
      <c r="I75" s="216"/>
      <c r="AJ75" s="105"/>
      <c r="AK75" s="197"/>
      <c r="AL75" s="105"/>
      <c r="AM75" s="197"/>
    </row>
    <row r="76" spans="2:39" x14ac:dyDescent="0.2">
      <c r="B76" s="196"/>
      <c r="C76" s="3"/>
      <c r="D76" s="197"/>
      <c r="E76" s="11"/>
      <c r="F76" s="11"/>
      <c r="AJ76" s="105"/>
      <c r="AK76" s="197"/>
      <c r="AL76" s="105"/>
      <c r="AM76" s="197"/>
    </row>
    <row r="77" spans="2:39" x14ac:dyDescent="0.2">
      <c r="AJ77" s="105"/>
      <c r="AK77" s="197"/>
      <c r="AL77" s="105"/>
      <c r="AM77" s="197"/>
    </row>
    <row r="78" spans="2:39" x14ac:dyDescent="0.2">
      <c r="H78" s="172"/>
      <c r="I78" s="192"/>
      <c r="J78" s="5"/>
      <c r="AJ78" s="105"/>
      <c r="AK78" s="197"/>
      <c r="AL78" s="105"/>
      <c r="AM78" s="197"/>
    </row>
    <row r="79" spans="2:39" x14ac:dyDescent="0.2">
      <c r="AJ79" s="105"/>
      <c r="AK79" s="197"/>
      <c r="AL79" s="105"/>
      <c r="AM79" s="197"/>
    </row>
    <row r="80" spans="2:39" x14ac:dyDescent="0.2">
      <c r="AJ80" s="105"/>
      <c r="AK80" s="197"/>
      <c r="AL80" s="105"/>
      <c r="AM80" s="197"/>
    </row>
    <row r="81" spans="36:39" x14ac:dyDescent="0.2">
      <c r="AJ81" s="105"/>
      <c r="AK81" s="197"/>
      <c r="AL81" s="105"/>
      <c r="AM81" s="197"/>
    </row>
  </sheetData>
  <mergeCells count="4">
    <mergeCell ref="AV24:BB24"/>
    <mergeCell ref="AI20:AO20"/>
    <mergeCell ref="K22:T22"/>
    <mergeCell ref="AK22:AP22"/>
  </mergeCells>
  <phoneticPr fontId="56" type="noConversion"/>
  <conditionalFormatting sqref="H24:H39">
    <cfRule type="cellIs" dxfId="21" priority="1" stopIfTrue="1" operator="greaterThan">
      <formula>40</formula>
    </cfRule>
  </conditionalFormatting>
  <conditionalFormatting sqref="G24:G39">
    <cfRule type="cellIs" dxfId="20" priority="2" stopIfTrue="1" operator="between">
      <formula>$AR$29</formula>
      <formula>$AR$30</formula>
    </cfRule>
    <cfRule type="cellIs" dxfId="19" priority="3" stopIfTrue="1" operator="greaterThanOrEqual">
      <formula>$AR$30</formula>
    </cfRule>
  </conditionalFormatting>
  <pageMargins left="0.75" right="0.75" top="1" bottom="1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Drop Down 1">
              <controlPr defaultSize="0" autoLine="0" autoPict="0">
                <anchor moveWithCells="1">
                  <from>
                    <xdr:col>7</xdr:col>
                    <xdr:colOff>104775</xdr:colOff>
                    <xdr:row>9</xdr:row>
                    <xdr:rowOff>47625</xdr:rowOff>
                  </from>
                  <to>
                    <xdr:col>8</xdr:col>
                    <xdr:colOff>200025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Drop Down 2">
              <controlPr defaultSize="0" autoLine="0" autoPict="0">
                <anchor moveWithCells="1">
                  <from>
                    <xdr:col>3</xdr:col>
                    <xdr:colOff>1695450</xdr:colOff>
                    <xdr:row>23</xdr:row>
                    <xdr:rowOff>9525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Drop Down 3">
              <controlPr defaultSize="0" autoLine="0" autoPict="0">
                <anchor moveWithCells="1">
                  <from>
                    <xdr:col>9</xdr:col>
                    <xdr:colOff>895350</xdr:colOff>
                    <xdr:row>23</xdr:row>
                    <xdr:rowOff>0</xdr:rowOff>
                  </from>
                  <to>
                    <xdr:col>11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Drop Down 4">
              <controlPr defaultSize="0" autoLine="0" autoPict="0">
                <anchor moveWithCells="1">
                  <from>
                    <xdr:col>3</xdr:col>
                    <xdr:colOff>1695450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Drop Down 5">
              <controlPr defaultSize="0" autoLine="0" autoPict="0">
                <anchor moveWithCells="1">
                  <from>
                    <xdr:col>9</xdr:col>
                    <xdr:colOff>895350</xdr:colOff>
                    <xdr:row>24</xdr:row>
                    <xdr:rowOff>0</xdr:rowOff>
                  </from>
                  <to>
                    <xdr:col>11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Drop Down 6">
              <controlPr defaultSize="0" autoLine="0" autoPict="0">
                <anchor moveWithCells="1">
                  <from>
                    <xdr:col>3</xdr:col>
                    <xdr:colOff>1695450</xdr:colOff>
                    <xdr:row>25</xdr:row>
                    <xdr:rowOff>9525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Drop Down 7">
              <controlPr defaultSize="0" autoLine="0" autoPict="0">
                <anchor moveWithCells="1">
                  <from>
                    <xdr:col>9</xdr:col>
                    <xdr:colOff>895350</xdr:colOff>
                    <xdr:row>25</xdr:row>
                    <xdr:rowOff>0</xdr:rowOff>
                  </from>
                  <to>
                    <xdr:col>11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Drop Down 8">
              <controlPr defaultSize="0" autoLine="0" autoPict="0">
                <anchor moveWithCells="1">
                  <from>
                    <xdr:col>3</xdr:col>
                    <xdr:colOff>1695450</xdr:colOff>
                    <xdr:row>26</xdr:row>
                    <xdr:rowOff>9525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Drop Down 9">
              <controlPr defaultSize="0" autoLine="0" autoPict="0">
                <anchor moveWithCells="1">
                  <from>
                    <xdr:col>9</xdr:col>
                    <xdr:colOff>895350</xdr:colOff>
                    <xdr:row>26</xdr:row>
                    <xdr:rowOff>0</xdr:rowOff>
                  </from>
                  <to>
                    <xdr:col>11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Drop Down 10">
              <controlPr defaultSize="0" autoLine="0" autoPict="0">
                <anchor moveWithCells="1">
                  <from>
                    <xdr:col>11</xdr:col>
                    <xdr:colOff>895350</xdr:colOff>
                    <xdr:row>23</xdr:row>
                    <xdr:rowOff>0</xdr:rowOff>
                  </from>
                  <to>
                    <xdr:col>13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Drop Down 11">
              <controlPr defaultSize="0" autoLine="0" autoPict="0">
                <anchor moveWithCells="1">
                  <from>
                    <xdr:col>11</xdr:col>
                    <xdr:colOff>895350</xdr:colOff>
                    <xdr:row>24</xdr:row>
                    <xdr:rowOff>0</xdr:rowOff>
                  </from>
                  <to>
                    <xdr:col>13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Drop Down 12">
              <controlPr defaultSize="0" autoLine="0" autoPict="0">
                <anchor moveWithCells="1">
                  <from>
                    <xdr:col>11</xdr:col>
                    <xdr:colOff>895350</xdr:colOff>
                    <xdr:row>25</xdr:row>
                    <xdr:rowOff>0</xdr:rowOff>
                  </from>
                  <to>
                    <xdr:col>13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Drop Down 13">
              <controlPr defaultSize="0" autoLine="0" autoPict="0">
                <anchor moveWithCells="1">
                  <from>
                    <xdr:col>11</xdr:col>
                    <xdr:colOff>895350</xdr:colOff>
                    <xdr:row>26</xdr:row>
                    <xdr:rowOff>0</xdr:rowOff>
                  </from>
                  <to>
                    <xdr:col>13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Drop Down 14">
              <controlPr defaultSize="0" autoLine="0" autoPict="0">
                <anchor moveWithCells="1">
                  <from>
                    <xdr:col>13</xdr:col>
                    <xdr:colOff>895350</xdr:colOff>
                    <xdr:row>23</xdr:row>
                    <xdr:rowOff>0</xdr:rowOff>
                  </from>
                  <to>
                    <xdr:col>15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Drop Down 15">
              <controlPr defaultSize="0" autoLine="0" autoPict="0">
                <anchor moveWithCells="1">
                  <from>
                    <xdr:col>13</xdr:col>
                    <xdr:colOff>895350</xdr:colOff>
                    <xdr:row>24</xdr:row>
                    <xdr:rowOff>0</xdr:rowOff>
                  </from>
                  <to>
                    <xdr:col>15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Drop Down 16">
              <controlPr defaultSize="0" autoLine="0" autoPict="0">
                <anchor moveWithCells="1">
                  <from>
                    <xdr:col>13</xdr:col>
                    <xdr:colOff>895350</xdr:colOff>
                    <xdr:row>25</xdr:row>
                    <xdr:rowOff>0</xdr:rowOff>
                  </from>
                  <to>
                    <xdr:col>15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Drop Down 17">
              <controlPr defaultSize="0" autoLine="0" autoPict="0">
                <anchor moveWithCells="1">
                  <from>
                    <xdr:col>13</xdr:col>
                    <xdr:colOff>895350</xdr:colOff>
                    <xdr:row>26</xdr:row>
                    <xdr:rowOff>0</xdr:rowOff>
                  </from>
                  <to>
                    <xdr:col>15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Drop Down 18">
              <controlPr defaultSize="0" autoLine="0" autoPict="0">
                <anchor moveWithCells="1">
                  <from>
                    <xdr:col>15</xdr:col>
                    <xdr:colOff>895350</xdr:colOff>
                    <xdr:row>23</xdr:row>
                    <xdr:rowOff>0</xdr:rowOff>
                  </from>
                  <to>
                    <xdr:col>17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Drop Down 19">
              <controlPr defaultSize="0" autoLine="0" autoPict="0">
                <anchor moveWithCells="1">
                  <from>
                    <xdr:col>15</xdr:col>
                    <xdr:colOff>895350</xdr:colOff>
                    <xdr:row>24</xdr:row>
                    <xdr:rowOff>0</xdr:rowOff>
                  </from>
                  <to>
                    <xdr:col>17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Drop Down 20">
              <controlPr defaultSize="0" autoLine="0" autoPict="0">
                <anchor moveWithCells="1">
                  <from>
                    <xdr:col>15</xdr:col>
                    <xdr:colOff>895350</xdr:colOff>
                    <xdr:row>25</xdr:row>
                    <xdr:rowOff>0</xdr:rowOff>
                  </from>
                  <to>
                    <xdr:col>17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Drop Down 21">
              <controlPr defaultSize="0" autoLine="0" autoPict="0">
                <anchor moveWithCells="1">
                  <from>
                    <xdr:col>15</xdr:col>
                    <xdr:colOff>895350</xdr:colOff>
                    <xdr:row>26</xdr:row>
                    <xdr:rowOff>0</xdr:rowOff>
                  </from>
                  <to>
                    <xdr:col>17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Drop Down 22">
              <controlPr defaultSize="0" autoLine="0" autoPict="0">
                <anchor moveWithCells="1">
                  <from>
                    <xdr:col>17</xdr:col>
                    <xdr:colOff>895350</xdr:colOff>
                    <xdr:row>23</xdr:row>
                    <xdr:rowOff>0</xdr:rowOff>
                  </from>
                  <to>
                    <xdr:col>19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Drop Down 23">
              <controlPr defaultSize="0" autoLine="0" autoPict="0">
                <anchor moveWithCells="1">
                  <from>
                    <xdr:col>17</xdr:col>
                    <xdr:colOff>895350</xdr:colOff>
                    <xdr:row>24</xdr:row>
                    <xdr:rowOff>0</xdr:rowOff>
                  </from>
                  <to>
                    <xdr:col>19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Drop Down 24">
              <controlPr defaultSize="0" autoLine="0" autoPict="0">
                <anchor moveWithCells="1">
                  <from>
                    <xdr:col>17</xdr:col>
                    <xdr:colOff>895350</xdr:colOff>
                    <xdr:row>25</xdr:row>
                    <xdr:rowOff>0</xdr:rowOff>
                  </from>
                  <to>
                    <xdr:col>19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Drop Down 25">
              <controlPr defaultSize="0" autoLine="0" autoPict="0">
                <anchor moveWithCells="1">
                  <from>
                    <xdr:col>17</xdr:col>
                    <xdr:colOff>895350</xdr:colOff>
                    <xdr:row>26</xdr:row>
                    <xdr:rowOff>0</xdr:rowOff>
                  </from>
                  <to>
                    <xdr:col>19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29" name="Drop Down 27">
              <controlPr defaultSize="0" autoLine="0" autoPict="0">
                <anchor moveWithCells="1">
                  <from>
                    <xdr:col>3</xdr:col>
                    <xdr:colOff>1695450</xdr:colOff>
                    <xdr:row>27</xdr:row>
                    <xdr:rowOff>9525</xdr:rowOff>
                  </from>
                  <to>
                    <xdr:col>5</xdr:col>
                    <xdr:colOff>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0" name="Drop Down 28">
              <controlPr defaultSize="0" autoLine="0" autoPict="0">
                <anchor moveWithCells="1">
                  <from>
                    <xdr:col>9</xdr:col>
                    <xdr:colOff>895350</xdr:colOff>
                    <xdr:row>27</xdr:row>
                    <xdr:rowOff>0</xdr:rowOff>
                  </from>
                  <to>
                    <xdr:col>11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1" name="Drop Down 29">
              <controlPr defaultSize="0" autoLine="0" autoPict="0">
                <anchor moveWithCells="1">
                  <from>
                    <xdr:col>11</xdr:col>
                    <xdr:colOff>895350</xdr:colOff>
                    <xdr:row>27</xdr:row>
                    <xdr:rowOff>0</xdr:rowOff>
                  </from>
                  <to>
                    <xdr:col>13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2" name="Drop Down 30">
              <controlPr defaultSize="0" autoLine="0" autoPict="0">
                <anchor moveWithCells="1">
                  <from>
                    <xdr:col>13</xdr:col>
                    <xdr:colOff>895350</xdr:colOff>
                    <xdr:row>27</xdr:row>
                    <xdr:rowOff>0</xdr:rowOff>
                  </from>
                  <to>
                    <xdr:col>15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3" name="Drop Down 31">
              <controlPr defaultSize="0" autoLine="0" autoPict="0">
                <anchor moveWithCells="1">
                  <from>
                    <xdr:col>15</xdr:col>
                    <xdr:colOff>895350</xdr:colOff>
                    <xdr:row>27</xdr:row>
                    <xdr:rowOff>0</xdr:rowOff>
                  </from>
                  <to>
                    <xdr:col>17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4" name="Drop Down 32">
              <controlPr defaultSize="0" autoLine="0" autoPict="0">
                <anchor moveWithCells="1">
                  <from>
                    <xdr:col>17</xdr:col>
                    <xdr:colOff>895350</xdr:colOff>
                    <xdr:row>27</xdr:row>
                    <xdr:rowOff>0</xdr:rowOff>
                  </from>
                  <to>
                    <xdr:col>19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5" name="Drop Down 33">
              <controlPr defaultSize="0" autoLine="0" autoPict="0">
                <anchor moveWithCells="1">
                  <from>
                    <xdr:col>3</xdr:col>
                    <xdr:colOff>1695450</xdr:colOff>
                    <xdr:row>28</xdr:row>
                    <xdr:rowOff>9525</xdr:rowOff>
                  </from>
                  <to>
                    <xdr:col>5</xdr:col>
                    <xdr:colOff>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6" name="Drop Down 34">
              <controlPr defaultSize="0" autoLine="0" autoPict="0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7" name="Drop Down 35">
              <controlPr defaultSize="0" autoLine="0" autoPict="0">
                <anchor moveWithCells="1">
                  <from>
                    <xdr:col>11</xdr:col>
                    <xdr:colOff>895350</xdr:colOff>
                    <xdr:row>28</xdr:row>
                    <xdr:rowOff>0</xdr:rowOff>
                  </from>
                  <to>
                    <xdr:col>13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8" name="Drop Down 36">
              <controlPr defaultSize="0" autoLine="0" autoPict="0">
                <anchor moveWithCells="1">
                  <from>
                    <xdr:col>13</xdr:col>
                    <xdr:colOff>895350</xdr:colOff>
                    <xdr:row>28</xdr:row>
                    <xdr:rowOff>0</xdr:rowOff>
                  </from>
                  <to>
                    <xdr:col>15</xdr:col>
                    <xdr:colOff>200025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39" name="Drop Down 37">
              <controlPr defaultSize="0" autoLine="0" autoPict="0">
                <anchor moveWithCells="1">
                  <from>
                    <xdr:col>15</xdr:col>
                    <xdr:colOff>895350</xdr:colOff>
                    <xdr:row>28</xdr:row>
                    <xdr:rowOff>0</xdr:rowOff>
                  </from>
                  <to>
                    <xdr:col>17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0" name="Drop Down 38">
              <controlPr defaultSize="0" autoLine="0" autoPict="0">
                <anchor moveWithCells="1">
                  <from>
                    <xdr:col>17</xdr:col>
                    <xdr:colOff>895350</xdr:colOff>
                    <xdr:row>28</xdr:row>
                    <xdr:rowOff>0</xdr:rowOff>
                  </from>
                  <to>
                    <xdr:col>19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1" name="Drop Down 39">
              <controlPr defaultSize="0" autoLine="0" autoPict="0">
                <anchor moveWithCells="1">
                  <from>
                    <xdr:col>3</xdr:col>
                    <xdr:colOff>1695450</xdr:colOff>
                    <xdr:row>29</xdr:row>
                    <xdr:rowOff>9525</xdr:rowOff>
                  </from>
                  <to>
                    <xdr:col>5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2" name="Drop Down 40">
              <controlPr defaultSize="0" autoLine="0" autoPict="0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3" name="Drop Down 41">
              <controlPr defaultSize="0" autoLine="0" autoPict="0">
                <anchor moveWithCells="1">
                  <from>
                    <xdr:col>3</xdr:col>
                    <xdr:colOff>1695450</xdr:colOff>
                    <xdr:row>30</xdr:row>
                    <xdr:rowOff>9525</xdr:rowOff>
                  </from>
                  <to>
                    <xdr:col>5</xdr:col>
                    <xdr:colOff>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4" name="Drop Down 42">
              <controlPr defaultSize="0" autoLine="0" autoPict="0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5" name="Drop Down 43">
              <controlPr defaultSize="0" autoLine="0" autoPict="0">
                <anchor moveWithCells="1">
                  <from>
                    <xdr:col>3</xdr:col>
                    <xdr:colOff>1695450</xdr:colOff>
                    <xdr:row>31</xdr:row>
                    <xdr:rowOff>9525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6" name="Drop Down 44">
              <controlPr defaultSize="0" autoLine="0" autoPict="0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7" name="Drop Down 45">
              <controlPr defaultSize="0" autoLine="0" autoPict="0">
                <anchor moveWithCells="1">
                  <from>
                    <xdr:col>3</xdr:col>
                    <xdr:colOff>1695450</xdr:colOff>
                    <xdr:row>32</xdr:row>
                    <xdr:rowOff>9525</xdr:rowOff>
                  </from>
                  <to>
                    <xdr:col>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8" name="Drop Down 46">
              <controlPr defaultSize="0" autoLine="0" autoPict="0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49" name="Drop Down 47">
              <controlPr defaultSize="0" autoLine="0" autoPict="0">
                <anchor moveWithCells="1">
                  <from>
                    <xdr:col>11</xdr:col>
                    <xdr:colOff>895350</xdr:colOff>
                    <xdr:row>29</xdr:row>
                    <xdr:rowOff>0</xdr:rowOff>
                  </from>
                  <to>
                    <xdr:col>13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0" name="Drop Down 48">
              <controlPr defaultSize="0" autoLine="0" autoPict="0">
                <anchor moveWithCells="1">
                  <from>
                    <xdr:col>11</xdr:col>
                    <xdr:colOff>895350</xdr:colOff>
                    <xdr:row>30</xdr:row>
                    <xdr:rowOff>0</xdr:rowOff>
                  </from>
                  <to>
                    <xdr:col>13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1" name="Drop Down 49">
              <controlPr defaultSize="0" autoLine="0" autoPict="0">
                <anchor moveWithCells="1">
                  <from>
                    <xdr:col>11</xdr:col>
                    <xdr:colOff>895350</xdr:colOff>
                    <xdr:row>31</xdr:row>
                    <xdr:rowOff>0</xdr:rowOff>
                  </from>
                  <to>
                    <xdr:col>13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2" name="Drop Down 50">
              <controlPr defaultSize="0" autoLine="0" autoPict="0">
                <anchor moveWithCells="1">
                  <from>
                    <xdr:col>11</xdr:col>
                    <xdr:colOff>895350</xdr:colOff>
                    <xdr:row>32</xdr:row>
                    <xdr:rowOff>0</xdr:rowOff>
                  </from>
                  <to>
                    <xdr:col>13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3" name="Drop Down 51">
              <controlPr defaultSize="0" autoLine="0" autoPict="0">
                <anchor moveWithCells="1">
                  <from>
                    <xdr:col>13</xdr:col>
                    <xdr:colOff>895350</xdr:colOff>
                    <xdr:row>29</xdr:row>
                    <xdr:rowOff>0</xdr:rowOff>
                  </from>
                  <to>
                    <xdr:col>15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4" name="Drop Down 52">
              <controlPr defaultSize="0" autoLine="0" autoPict="0">
                <anchor moveWithCells="1">
                  <from>
                    <xdr:col>13</xdr:col>
                    <xdr:colOff>895350</xdr:colOff>
                    <xdr:row>30</xdr:row>
                    <xdr:rowOff>0</xdr:rowOff>
                  </from>
                  <to>
                    <xdr:col>15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5" name="Drop Down 53">
              <controlPr defaultSize="0" autoLine="0" autoPict="0">
                <anchor moveWithCells="1">
                  <from>
                    <xdr:col>13</xdr:col>
                    <xdr:colOff>895350</xdr:colOff>
                    <xdr:row>31</xdr:row>
                    <xdr:rowOff>0</xdr:rowOff>
                  </from>
                  <to>
                    <xdr:col>15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6" name="Drop Down 54">
              <controlPr defaultSize="0" autoLine="0" autoPict="0">
                <anchor moveWithCells="1">
                  <from>
                    <xdr:col>13</xdr:col>
                    <xdr:colOff>895350</xdr:colOff>
                    <xdr:row>32</xdr:row>
                    <xdr:rowOff>0</xdr:rowOff>
                  </from>
                  <to>
                    <xdr:col>15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7" name="Drop Down 55">
              <controlPr defaultSize="0" autoLine="0" autoPict="0">
                <anchor moveWithCells="1">
                  <from>
                    <xdr:col>15</xdr:col>
                    <xdr:colOff>895350</xdr:colOff>
                    <xdr:row>29</xdr:row>
                    <xdr:rowOff>0</xdr:rowOff>
                  </from>
                  <to>
                    <xdr:col>17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8" name="Drop Down 56">
              <controlPr defaultSize="0" autoLine="0" autoPict="0">
                <anchor moveWithCells="1">
                  <from>
                    <xdr:col>15</xdr:col>
                    <xdr:colOff>895350</xdr:colOff>
                    <xdr:row>30</xdr:row>
                    <xdr:rowOff>0</xdr:rowOff>
                  </from>
                  <to>
                    <xdr:col>17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59" name="Drop Down 57">
              <controlPr defaultSize="0" autoLine="0" autoPict="0">
                <anchor moveWithCells="1">
                  <from>
                    <xdr:col>15</xdr:col>
                    <xdr:colOff>895350</xdr:colOff>
                    <xdr:row>31</xdr:row>
                    <xdr:rowOff>0</xdr:rowOff>
                  </from>
                  <to>
                    <xdr:col>17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0" name="Drop Down 58">
              <controlPr defaultSize="0" autoLine="0" autoPict="0">
                <anchor moveWithCells="1">
                  <from>
                    <xdr:col>15</xdr:col>
                    <xdr:colOff>895350</xdr:colOff>
                    <xdr:row>32</xdr:row>
                    <xdr:rowOff>0</xdr:rowOff>
                  </from>
                  <to>
                    <xdr:col>17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1" name="Drop Down 59">
              <controlPr defaultSize="0" autoLine="0" autoPict="0">
                <anchor moveWithCells="1">
                  <from>
                    <xdr:col>17</xdr:col>
                    <xdr:colOff>895350</xdr:colOff>
                    <xdr:row>29</xdr:row>
                    <xdr:rowOff>0</xdr:rowOff>
                  </from>
                  <to>
                    <xdr:col>19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2" name="Drop Down 60">
              <controlPr defaultSize="0" autoLine="0" autoPict="0">
                <anchor moveWithCells="1">
                  <from>
                    <xdr:col>17</xdr:col>
                    <xdr:colOff>895350</xdr:colOff>
                    <xdr:row>30</xdr:row>
                    <xdr:rowOff>0</xdr:rowOff>
                  </from>
                  <to>
                    <xdr:col>19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3" name="Drop Down 61">
              <controlPr defaultSize="0" autoLine="0" autoPict="0">
                <anchor moveWithCells="1">
                  <from>
                    <xdr:col>17</xdr:col>
                    <xdr:colOff>895350</xdr:colOff>
                    <xdr:row>31</xdr:row>
                    <xdr:rowOff>0</xdr:rowOff>
                  </from>
                  <to>
                    <xdr:col>19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4" name="Drop Down 62">
              <controlPr defaultSize="0" autoLine="0" autoPict="0">
                <anchor moveWithCells="1">
                  <from>
                    <xdr:col>17</xdr:col>
                    <xdr:colOff>895350</xdr:colOff>
                    <xdr:row>32</xdr:row>
                    <xdr:rowOff>0</xdr:rowOff>
                  </from>
                  <to>
                    <xdr:col>19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5" name="Drop Down 63">
              <controlPr defaultSize="0" autoLine="0" autoPict="0">
                <anchor moveWithCells="1">
                  <from>
                    <xdr:col>3</xdr:col>
                    <xdr:colOff>1695450</xdr:colOff>
                    <xdr:row>33</xdr:row>
                    <xdr:rowOff>9525</xdr:rowOff>
                  </from>
                  <to>
                    <xdr:col>5</xdr:col>
                    <xdr:colOff>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6" name="Drop Down 64">
              <controlPr defaultSize="0" autoLine="0" autoPict="0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7" name="Drop Down 65">
              <controlPr defaultSize="0" autoLine="0" autoPict="0">
                <anchor moveWithCells="1">
                  <from>
                    <xdr:col>11</xdr:col>
                    <xdr:colOff>895350</xdr:colOff>
                    <xdr:row>33</xdr:row>
                    <xdr:rowOff>0</xdr:rowOff>
                  </from>
                  <to>
                    <xdr:col>13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8" name="Drop Down 66">
              <controlPr defaultSize="0" autoLine="0" autoPict="0">
                <anchor moveWithCells="1">
                  <from>
                    <xdr:col>13</xdr:col>
                    <xdr:colOff>895350</xdr:colOff>
                    <xdr:row>33</xdr:row>
                    <xdr:rowOff>0</xdr:rowOff>
                  </from>
                  <to>
                    <xdr:col>15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69" name="Drop Down 67">
              <controlPr defaultSize="0" autoLine="0" autoPict="0">
                <anchor moveWithCells="1">
                  <from>
                    <xdr:col>15</xdr:col>
                    <xdr:colOff>895350</xdr:colOff>
                    <xdr:row>33</xdr:row>
                    <xdr:rowOff>0</xdr:rowOff>
                  </from>
                  <to>
                    <xdr:col>17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0" name="Drop Down 68">
              <controlPr defaultSize="0" autoLine="0" autoPict="0">
                <anchor moveWithCells="1">
                  <from>
                    <xdr:col>17</xdr:col>
                    <xdr:colOff>895350</xdr:colOff>
                    <xdr:row>33</xdr:row>
                    <xdr:rowOff>0</xdr:rowOff>
                  </from>
                  <to>
                    <xdr:col>19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1" name="Drop Down 69">
              <controlPr defaultSize="0" autoLine="0" autoPict="0">
                <anchor moveWithCells="1">
                  <from>
                    <xdr:col>3</xdr:col>
                    <xdr:colOff>1695450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2" name="Drop Down 70">
              <controlPr defaultSize="0" autoLine="0" autoPict="0">
                <anchor moveWithCells="1">
                  <from>
                    <xdr:col>9</xdr:col>
                    <xdr:colOff>895350</xdr:colOff>
                    <xdr:row>34</xdr:row>
                    <xdr:rowOff>0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3" name="Drop Down 71">
              <controlPr defaultSize="0" autoLine="0" autoPict="0">
                <anchor moveWithCells="1">
                  <from>
                    <xdr:col>11</xdr:col>
                    <xdr:colOff>895350</xdr:colOff>
                    <xdr:row>34</xdr:row>
                    <xdr:rowOff>0</xdr:rowOff>
                  </from>
                  <to>
                    <xdr:col>13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4" name="Drop Down 72">
              <controlPr defaultSize="0" autoLine="0" autoPict="0">
                <anchor moveWithCells="1">
                  <from>
                    <xdr:col>13</xdr:col>
                    <xdr:colOff>895350</xdr:colOff>
                    <xdr:row>34</xdr:row>
                    <xdr:rowOff>0</xdr:rowOff>
                  </from>
                  <to>
                    <xdr:col>15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5" name="Drop Down 73">
              <controlPr defaultSize="0" autoLine="0" autoPict="0">
                <anchor moveWithCells="1">
                  <from>
                    <xdr:col>15</xdr:col>
                    <xdr:colOff>895350</xdr:colOff>
                    <xdr:row>34</xdr:row>
                    <xdr:rowOff>0</xdr:rowOff>
                  </from>
                  <to>
                    <xdr:col>17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6" name="Drop Down 74">
              <controlPr defaultSize="0" autoLine="0" autoPict="0">
                <anchor moveWithCells="1">
                  <from>
                    <xdr:col>17</xdr:col>
                    <xdr:colOff>895350</xdr:colOff>
                    <xdr:row>34</xdr:row>
                    <xdr:rowOff>0</xdr:rowOff>
                  </from>
                  <to>
                    <xdr:col>19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7" name="Drop Down 75">
              <controlPr defaultSize="0" autoLine="0" autoPict="0">
                <anchor moveWithCells="1">
                  <from>
                    <xdr:col>3</xdr:col>
                    <xdr:colOff>1695450</xdr:colOff>
                    <xdr:row>35</xdr:row>
                    <xdr:rowOff>9525</xdr:rowOff>
                  </from>
                  <to>
                    <xdr:col>5</xdr:col>
                    <xdr:colOff>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8" name="Drop Down 76">
              <controlPr defaultSize="0" autoLine="0" autoPict="0">
                <anchor moveWithCells="1">
                  <from>
                    <xdr:col>9</xdr:col>
                    <xdr:colOff>895350</xdr:colOff>
                    <xdr:row>35</xdr:row>
                    <xdr:rowOff>0</xdr:rowOff>
                  </from>
                  <to>
                    <xdr:col>11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79" name="Drop Down 77">
              <controlPr defaultSize="0" autoLine="0" autoPict="0">
                <anchor moveWithCells="1">
                  <from>
                    <xdr:col>11</xdr:col>
                    <xdr:colOff>895350</xdr:colOff>
                    <xdr:row>35</xdr:row>
                    <xdr:rowOff>0</xdr:rowOff>
                  </from>
                  <to>
                    <xdr:col>13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0" name="Drop Down 78">
              <controlPr defaultSize="0" autoLine="0" autoPict="0">
                <anchor moveWithCells="1">
                  <from>
                    <xdr:col>13</xdr:col>
                    <xdr:colOff>895350</xdr:colOff>
                    <xdr:row>35</xdr:row>
                    <xdr:rowOff>0</xdr:rowOff>
                  </from>
                  <to>
                    <xdr:col>15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1" name="Drop Down 79">
              <controlPr defaultSize="0" autoLine="0" autoPict="0">
                <anchor moveWithCells="1">
                  <from>
                    <xdr:col>15</xdr:col>
                    <xdr:colOff>895350</xdr:colOff>
                    <xdr:row>35</xdr:row>
                    <xdr:rowOff>0</xdr:rowOff>
                  </from>
                  <to>
                    <xdr:col>17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2" name="Drop Down 80">
              <controlPr defaultSize="0" autoLine="0" autoPict="0">
                <anchor moveWithCells="1">
                  <from>
                    <xdr:col>17</xdr:col>
                    <xdr:colOff>895350</xdr:colOff>
                    <xdr:row>35</xdr:row>
                    <xdr:rowOff>0</xdr:rowOff>
                  </from>
                  <to>
                    <xdr:col>19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3" name="Drop Down 81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4" name="Drop Down 82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5" name="Drop Down 83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6" name="Drop Down 84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7" name="Drop Down 85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8" name="Drop Down 86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89" name="Drop Down 87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0" name="Drop Down 88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1" name="Drop Down 89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2" name="Drop Down 90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3" name="Drop Down 91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4" name="Drop Down 92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5" name="Drop Down 93">
              <controlPr defaultSize="0" autoLine="0" autoPict="0">
                <anchor moveWithCells="1">
                  <from>
                    <xdr:col>3</xdr:col>
                    <xdr:colOff>1695450</xdr:colOff>
                    <xdr:row>37</xdr:row>
                    <xdr:rowOff>9525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6" name="Drop Down 94">
              <controlPr defaultSize="0" autoLine="0" autoPict="0">
                <anchor moveWithCells="1">
                  <from>
                    <xdr:col>9</xdr:col>
                    <xdr:colOff>895350</xdr:colOff>
                    <xdr:row>37</xdr:row>
                    <xdr:rowOff>0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7" name="Drop Down 95">
              <controlPr defaultSize="0" autoLine="0" autoPict="0">
                <anchor moveWithCells="1">
                  <from>
                    <xdr:col>11</xdr:col>
                    <xdr:colOff>895350</xdr:colOff>
                    <xdr:row>37</xdr:row>
                    <xdr:rowOff>0</xdr:rowOff>
                  </from>
                  <to>
                    <xdr:col>13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8" name="Drop Down 96">
              <controlPr defaultSize="0" autoLine="0" autoPict="0">
                <anchor moveWithCells="1">
                  <from>
                    <xdr:col>13</xdr:col>
                    <xdr:colOff>895350</xdr:colOff>
                    <xdr:row>37</xdr:row>
                    <xdr:rowOff>0</xdr:rowOff>
                  </from>
                  <to>
                    <xdr:col>15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99" name="Drop Down 97">
              <controlPr defaultSize="0" autoLine="0" autoPict="0">
                <anchor moveWithCells="1">
                  <from>
                    <xdr:col>15</xdr:col>
                    <xdr:colOff>895350</xdr:colOff>
                    <xdr:row>37</xdr:row>
                    <xdr:rowOff>0</xdr:rowOff>
                  </from>
                  <to>
                    <xdr:col>17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0" name="Drop Down 98">
              <controlPr defaultSize="0" autoLine="0" autoPict="0">
                <anchor moveWithCells="1">
                  <from>
                    <xdr:col>17</xdr:col>
                    <xdr:colOff>895350</xdr:colOff>
                    <xdr:row>37</xdr:row>
                    <xdr:rowOff>0</xdr:rowOff>
                  </from>
                  <to>
                    <xdr:col>19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1" name="Drop Down 99">
              <controlPr defaultSize="0" autoLine="0" autoPict="0">
                <anchor moveWithCells="1">
                  <from>
                    <xdr:col>3</xdr:col>
                    <xdr:colOff>1695450</xdr:colOff>
                    <xdr:row>38</xdr:row>
                    <xdr:rowOff>9525</xdr:rowOff>
                  </from>
                  <to>
                    <xdr:col>5</xdr:col>
                    <xdr:colOff>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2" name="Drop Down 100">
              <controlPr defaultSize="0" autoLine="0" autoPict="0">
                <anchor moveWithCells="1">
                  <from>
                    <xdr:col>9</xdr:col>
                    <xdr:colOff>895350</xdr:colOff>
                    <xdr:row>38</xdr:row>
                    <xdr:rowOff>0</xdr:rowOff>
                  </from>
                  <to>
                    <xdr:col>11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3" name="Drop Down 101">
              <controlPr defaultSize="0" autoLine="0" autoPict="0">
                <anchor moveWithCells="1">
                  <from>
                    <xdr:col>11</xdr:col>
                    <xdr:colOff>895350</xdr:colOff>
                    <xdr:row>38</xdr:row>
                    <xdr:rowOff>0</xdr:rowOff>
                  </from>
                  <to>
                    <xdr:col>13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4" name="Drop Down 102">
              <controlPr defaultSize="0" autoLine="0" autoPict="0">
                <anchor moveWithCells="1">
                  <from>
                    <xdr:col>13</xdr:col>
                    <xdr:colOff>895350</xdr:colOff>
                    <xdr:row>38</xdr:row>
                    <xdr:rowOff>0</xdr:rowOff>
                  </from>
                  <to>
                    <xdr:col>15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5" name="Drop Down 103">
              <controlPr defaultSize="0" autoLine="0" autoPict="0">
                <anchor moveWithCells="1">
                  <from>
                    <xdr:col>15</xdr:col>
                    <xdr:colOff>895350</xdr:colOff>
                    <xdr:row>38</xdr:row>
                    <xdr:rowOff>0</xdr:rowOff>
                  </from>
                  <to>
                    <xdr:col>17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6" name="Drop Down 104">
              <controlPr defaultSize="0" autoLine="0" autoPict="0">
                <anchor moveWithCells="1">
                  <from>
                    <xdr:col>17</xdr:col>
                    <xdr:colOff>895350</xdr:colOff>
                    <xdr:row>38</xdr:row>
                    <xdr:rowOff>0</xdr:rowOff>
                  </from>
                  <to>
                    <xdr:col>19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7" name="Drop Down 105">
              <controlPr defaultSize="0" autoLine="0" autoPict="0" macro="[0]!CambioTopologiaIntercambiadorMixta">
                <anchor moveWithCells="1">
                  <from>
                    <xdr:col>6</xdr:col>
                    <xdr:colOff>942975</xdr:colOff>
                    <xdr:row>53</xdr:row>
                    <xdr:rowOff>9525</xdr:rowOff>
                  </from>
                  <to>
                    <xdr:col>8</xdr:col>
                    <xdr:colOff>200025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08" name="Button 107">
              <controlPr defaultSize="0" print="0" autoFill="0" autoPict="0" macro="[0]!CalculaPdctotalSecundarioMixta">
                <anchor moveWithCells="1" sizeWithCells="1">
                  <from>
                    <xdr:col>8</xdr:col>
                    <xdr:colOff>47625</xdr:colOff>
                    <xdr:row>39</xdr:row>
                    <xdr:rowOff>219075</xdr:rowOff>
                  </from>
                  <to>
                    <xdr:col>9</xdr:col>
                    <xdr:colOff>657225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9325A-F3AB-4408-A252-BA8EF1CB43A3}">
  <sheetPr codeName="Hoja20">
    <pageSetUpPr fitToPage="1"/>
  </sheetPr>
  <dimension ref="A1:BE124"/>
  <sheetViews>
    <sheetView showGridLines="0" topLeftCell="A36" zoomScale="75" zoomScaleNormal="75" workbookViewId="0">
      <selection activeCell="A52" sqref="A52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7109375" customWidth="1"/>
    <col min="5" max="5" width="13.7109375" customWidth="1"/>
    <col min="6" max="6" width="13" customWidth="1"/>
    <col min="7" max="8" width="15.42578125" customWidth="1"/>
    <col min="9" max="9" width="14.140625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9.42578125" customWidth="1"/>
    <col min="25" max="25" width="8.28515625" customWidth="1"/>
    <col min="33" max="33" width="11.42578125" hidden="1" customWidth="1"/>
    <col min="34" max="34" width="2.85546875" hidden="1" customWidth="1"/>
    <col min="35" max="35" width="18.285156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31.85546875" hidden="1" customWidth="1"/>
    <col min="56" max="57" width="11.42578125" hidden="1" customWidth="1"/>
    <col min="58" max="62" width="0" hidden="1" customWidth="1"/>
  </cols>
  <sheetData>
    <row r="1" spans="1:25" ht="15.75" x14ac:dyDescent="0.25">
      <c r="B1" s="791"/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1"/>
      <c r="S1" s="791"/>
      <c r="T1" s="791"/>
      <c r="U1" s="791"/>
      <c r="V1" s="791"/>
      <c r="W1" s="791"/>
      <c r="X1" s="791"/>
      <c r="Y1" s="791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671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5" spans="1:25" ht="15.75" x14ac:dyDescent="0.25">
      <c r="C5" s="580" t="s">
        <v>672</v>
      </c>
      <c r="D5" s="438"/>
      <c r="E5" s="438"/>
      <c r="F5" s="438"/>
      <c r="G5" s="438"/>
      <c r="H5" s="244"/>
      <c r="J5" s="237"/>
    </row>
    <row r="6" spans="1:25" ht="15" x14ac:dyDescent="0.2">
      <c r="C6" s="292" t="s">
        <v>675</v>
      </c>
      <c r="D6" s="294"/>
      <c r="E6" s="294"/>
      <c r="F6" s="294"/>
      <c r="G6" s="294"/>
      <c r="H6" s="636">
        <f>Principal!H12</f>
        <v>10</v>
      </c>
    </row>
    <row r="7" spans="1:25" ht="15" x14ac:dyDescent="0.2">
      <c r="C7" s="436" t="s">
        <v>676</v>
      </c>
      <c r="D7" s="438"/>
      <c r="E7" s="438"/>
      <c r="F7" s="438"/>
      <c r="G7" s="448" t="s">
        <v>414</v>
      </c>
      <c r="H7" s="638">
        <v>200</v>
      </c>
      <c r="J7" s="620" t="s">
        <v>677</v>
      </c>
    </row>
    <row r="8" spans="1:25" ht="15.75" x14ac:dyDescent="0.25">
      <c r="C8" s="292" t="s">
        <v>678</v>
      </c>
      <c r="D8" s="294"/>
      <c r="E8" s="294"/>
      <c r="F8" s="294"/>
      <c r="G8" s="293" t="s">
        <v>414</v>
      </c>
      <c r="H8" s="391">
        <f>H6*H7</f>
        <v>2000</v>
      </c>
      <c r="I8" s="19"/>
    </row>
    <row r="9" spans="1:25" ht="18.75" customHeight="1" x14ac:dyDescent="0.2">
      <c r="C9" s="387" t="s">
        <v>417</v>
      </c>
      <c r="D9" s="294"/>
      <c r="E9" s="294"/>
    </row>
    <row r="10" spans="1:25" ht="18.75" customHeight="1" x14ac:dyDescent="0.2">
      <c r="C10" s="387" t="s">
        <v>422</v>
      </c>
      <c r="D10" s="294"/>
      <c r="E10" s="294"/>
    </row>
    <row r="11" spans="1:25" ht="15.75" customHeight="1" x14ac:dyDescent="0.2">
      <c r="C11" s="678" t="s">
        <v>426</v>
      </c>
      <c r="D11" s="438"/>
      <c r="E11" s="438"/>
      <c r="F11" s="244"/>
      <c r="G11" s="448" t="s">
        <v>425</v>
      </c>
      <c r="H11" s="448" t="str">
        <f>IF(AR25=1, "1,5 - 2", IF(OR(AR25=2,AR25=3), "2,5 - 3"))</f>
        <v>1,5 - 2</v>
      </c>
    </row>
    <row r="12" spans="1:25" ht="15.75" thickBot="1" x14ac:dyDescent="0.25">
      <c r="C12" s="292"/>
      <c r="D12" s="294"/>
      <c r="E12" s="294"/>
      <c r="G12" s="3"/>
      <c r="H12" s="214"/>
      <c r="J12" s="33"/>
      <c r="L12" s="597" t="s">
        <v>432</v>
      </c>
      <c r="M12" s="598"/>
      <c r="N12" s="598"/>
    </row>
    <row r="13" spans="1:25" x14ac:dyDescent="0.2">
      <c r="C13" s="294"/>
      <c r="D13" s="294"/>
      <c r="E13" s="294"/>
      <c r="I13" s="33"/>
      <c r="L13" s="601" t="s">
        <v>380</v>
      </c>
      <c r="M13" s="601" t="s">
        <v>381</v>
      </c>
      <c r="N13" s="601" t="s">
        <v>382</v>
      </c>
    </row>
    <row r="14" spans="1:25" x14ac:dyDescent="0.2">
      <c r="D14" s="290"/>
      <c r="E14" s="290"/>
      <c r="L14" s="548" t="s">
        <v>385</v>
      </c>
      <c r="M14" s="294"/>
      <c r="N14" s="294"/>
    </row>
    <row r="15" spans="1:25" x14ac:dyDescent="0.2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75" x14ac:dyDescent="0.25">
      <c r="C16" s="319" t="s">
        <v>429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">
      <c r="C17" s="408" t="s">
        <v>430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">
      <c r="B18" s="6"/>
      <c r="C18" s="409" t="s">
        <v>609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5" thickBot="1" x14ac:dyDescent="0.25">
      <c r="L20" s="576">
        <v>54</v>
      </c>
      <c r="M20" s="576">
        <v>1.2</v>
      </c>
      <c r="N20" s="558">
        <v>51.6</v>
      </c>
      <c r="AI20" s="785" t="s">
        <v>421</v>
      </c>
      <c r="AJ20" s="786"/>
      <c r="AK20" s="786"/>
      <c r="AL20" s="786"/>
      <c r="AM20" s="786"/>
      <c r="AN20" s="786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87" t="s">
        <v>443</v>
      </c>
      <c r="M22" s="787"/>
      <c r="N22" s="787"/>
      <c r="O22" s="787"/>
      <c r="P22" s="787"/>
      <c r="Q22" s="787"/>
      <c r="R22" s="787"/>
      <c r="S22" s="787"/>
      <c r="T22" s="787"/>
      <c r="U22" s="787"/>
      <c r="V22" s="565" t="s">
        <v>446</v>
      </c>
      <c r="W22" s="565" t="s">
        <v>447</v>
      </c>
      <c r="X22" s="565" t="s">
        <v>611</v>
      </c>
      <c r="AI22" s="221"/>
      <c r="AJ22" s="788" t="s">
        <v>420</v>
      </c>
      <c r="AK22" s="788"/>
      <c r="AL22" s="788"/>
      <c r="AM22" s="788"/>
      <c r="AN22" s="788"/>
      <c r="AO22" s="788"/>
      <c r="AP22" s="788"/>
      <c r="AQ22" s="2"/>
      <c r="BC22" s="220"/>
    </row>
    <row r="23" spans="2:55" ht="26.25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649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J23" s="790" t="s">
        <v>419</v>
      </c>
      <c r="AK23" s="790"/>
      <c r="AL23" s="790"/>
      <c r="AM23" s="790"/>
      <c r="AN23" s="790"/>
      <c r="AO23" s="790"/>
      <c r="AP23" s="790"/>
      <c r="AQ23" s="2"/>
      <c r="BC23" s="220"/>
    </row>
    <row r="24" spans="2:55" ht="18" customHeight="1" x14ac:dyDescent="0.2">
      <c r="C24" s="595"/>
      <c r="D24" s="562"/>
      <c r="E24" s="595"/>
      <c r="F24" s="563"/>
      <c r="G24" s="364">
        <f t="shared" ref="G24:G39" si="0">IF(AU25=1,0,INDEX($AJ$42:$AJ$49,$AU25,1)-2*INDEX($AK$42:$AK$49,$AU25,1))</f>
        <v>33</v>
      </c>
      <c r="H24" s="703">
        <f t="shared" ref="H24:H39" si="1">IF(AU25=1,0,0.354*E24/(G24^2))</f>
        <v>0</v>
      </c>
      <c r="I24" s="704">
        <f t="shared" ref="I24:I39" si="2">IF(AU25=1,0,INDEX($AK$37:$AK$38,$AR$35,1)*378*(E24^1.75)/(G24^4.75))</f>
        <v>0</v>
      </c>
      <c r="J24" s="364">
        <f t="shared" ref="J24:J39" si="3">IF(AU25=1,0,IF(OR($AR$25=1,$AR$25=2),INDEX($AM$42:$AM$49,$AU25,1),IF($AR$25=3,INDEX($AM$42:$AM$49,$AU25,1)+10)))</f>
        <v>20</v>
      </c>
      <c r="K24" s="595"/>
      <c r="L24" s="563"/>
      <c r="M24" s="595"/>
      <c r="N24" s="563"/>
      <c r="O24" s="595"/>
      <c r="P24" s="563"/>
      <c r="Q24" s="561"/>
      <c r="R24" s="563"/>
      <c r="S24" s="561"/>
      <c r="T24" s="563"/>
      <c r="U24" s="561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INDEX($AJ$25:$AP$33,$AV25,$AU25-1)*M24+INDEX($AJ$25:$AP$33,$AW25,$AU25-1)*O24+INDEX($AJ$25:$AP$33,$AX25,$AU25-1)*Q24+INDEX($AJ$25:$AP$33,$AY25,$AU25-1)*S24+INDEX($AJ$25:$AP$33,$AZ25,$AU25-1)*U24+INDEX($AJ$25:$AP$33,$BA25,$AU25-1)*AK85+INDEX($AJ$25:$AP$33,$BB25,$AU25-1)*AM85)</f>
        <v>0</v>
      </c>
      <c r="W24" s="364">
        <f t="shared" ref="W24:W39" si="5">K24+V24</f>
        <v>0</v>
      </c>
      <c r="X24" s="704">
        <f t="shared" ref="X24:X39" si="6">I24*W24</f>
        <v>0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389</v>
      </c>
      <c r="AT24" s="202" t="s">
        <v>390</v>
      </c>
      <c r="AU24" s="202" t="s">
        <v>391</v>
      </c>
      <c r="AV24" s="783" t="s">
        <v>418</v>
      </c>
      <c r="AW24" s="783"/>
      <c r="AX24" s="783"/>
      <c r="AY24" s="783"/>
      <c r="AZ24" s="783"/>
      <c r="BA24" s="783"/>
      <c r="BB24" s="784"/>
      <c r="BC24" s="200" t="s">
        <v>648</v>
      </c>
    </row>
    <row r="25" spans="2:55" ht="18" customHeight="1" x14ac:dyDescent="0.2">
      <c r="C25" s="595"/>
      <c r="D25" s="562"/>
      <c r="E25" s="595"/>
      <c r="F25" s="563"/>
      <c r="G25" s="364">
        <f t="shared" si="0"/>
        <v>26</v>
      </c>
      <c r="H25" s="703">
        <f t="shared" si="1"/>
        <v>0</v>
      </c>
      <c r="I25" s="704">
        <f t="shared" si="2"/>
        <v>0</v>
      </c>
      <c r="J25" s="364">
        <f t="shared" si="3"/>
        <v>20</v>
      </c>
      <c r="K25" s="595"/>
      <c r="L25" s="563"/>
      <c r="M25" s="595"/>
      <c r="N25" s="563"/>
      <c r="O25" s="595"/>
      <c r="P25" s="563"/>
      <c r="Q25" s="561"/>
      <c r="R25" s="563"/>
      <c r="S25" s="561"/>
      <c r="T25" s="563"/>
      <c r="U25" s="561"/>
      <c r="V25" s="364">
        <f t="shared" si="4"/>
        <v>0</v>
      </c>
      <c r="W25" s="364">
        <f t="shared" si="5"/>
        <v>0</v>
      </c>
      <c r="X25" s="704">
        <f t="shared" si="6"/>
        <v>0</v>
      </c>
      <c r="AI25" s="193" t="s">
        <v>385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1</v>
      </c>
      <c r="AT25" s="299">
        <f t="shared" ref="AT25:AT40" si="7">C24</f>
        <v>0</v>
      </c>
      <c r="AU25" s="299">
        <v>6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0</v>
      </c>
    </row>
    <row r="26" spans="2:55" ht="18" customHeight="1" x14ac:dyDescent="0.2">
      <c r="C26" s="595"/>
      <c r="D26" s="562"/>
      <c r="E26" s="595"/>
      <c r="F26" s="563"/>
      <c r="G26" s="364">
        <f t="shared" si="0"/>
        <v>20</v>
      </c>
      <c r="H26" s="703">
        <f t="shared" si="1"/>
        <v>0</v>
      </c>
      <c r="I26" s="704">
        <f t="shared" si="2"/>
        <v>0</v>
      </c>
      <c r="J26" s="364">
        <f t="shared" si="3"/>
        <v>20</v>
      </c>
      <c r="K26" s="595"/>
      <c r="L26" s="563"/>
      <c r="M26" s="595"/>
      <c r="N26" s="563"/>
      <c r="O26" s="595"/>
      <c r="P26" s="563"/>
      <c r="Q26" s="561"/>
      <c r="R26" s="563"/>
      <c r="S26" s="561"/>
      <c r="T26" s="563"/>
      <c r="U26" s="561"/>
      <c r="V26" s="364">
        <f t="shared" si="4"/>
        <v>0</v>
      </c>
      <c r="W26" s="364">
        <f t="shared" si="5"/>
        <v>0</v>
      </c>
      <c r="X26" s="704">
        <f t="shared" si="6"/>
        <v>0</v>
      </c>
      <c r="AI26" s="194" t="s">
        <v>392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5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0</v>
      </c>
    </row>
    <row r="27" spans="2:55" ht="18" customHeight="1" x14ac:dyDescent="0.2">
      <c r="C27" s="595"/>
      <c r="D27" s="562"/>
      <c r="E27" s="595"/>
      <c r="F27" s="563"/>
      <c r="G27" s="364">
        <f t="shared" si="0"/>
        <v>26</v>
      </c>
      <c r="H27" s="703">
        <f t="shared" si="1"/>
        <v>0</v>
      </c>
      <c r="I27" s="704">
        <f t="shared" si="2"/>
        <v>0</v>
      </c>
      <c r="J27" s="364">
        <f t="shared" si="3"/>
        <v>20</v>
      </c>
      <c r="K27" s="595"/>
      <c r="L27" s="563"/>
      <c r="M27" s="595"/>
      <c r="N27" s="563"/>
      <c r="O27" s="595"/>
      <c r="P27" s="563"/>
      <c r="Q27" s="561"/>
      <c r="R27" s="563"/>
      <c r="S27" s="561"/>
      <c r="T27" s="563"/>
      <c r="U27" s="561"/>
      <c r="V27" s="364">
        <f t="shared" si="4"/>
        <v>0</v>
      </c>
      <c r="W27" s="364">
        <f t="shared" si="5"/>
        <v>0</v>
      </c>
      <c r="X27" s="704">
        <f t="shared" si="6"/>
        <v>0</v>
      </c>
      <c r="AI27" s="194" t="s">
        <v>394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4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0</v>
      </c>
    </row>
    <row r="28" spans="2:55" ht="18" customHeight="1" x14ac:dyDescent="0.2">
      <c r="C28" s="595"/>
      <c r="D28" s="562"/>
      <c r="E28" s="595"/>
      <c r="F28" s="563"/>
      <c r="G28" s="364">
        <f t="shared" si="0"/>
        <v>33</v>
      </c>
      <c r="H28" s="703">
        <f t="shared" si="1"/>
        <v>0</v>
      </c>
      <c r="I28" s="704">
        <f t="shared" si="2"/>
        <v>0</v>
      </c>
      <c r="J28" s="364">
        <f t="shared" si="3"/>
        <v>20</v>
      </c>
      <c r="K28" s="595"/>
      <c r="L28" s="563"/>
      <c r="M28" s="595"/>
      <c r="N28" s="563"/>
      <c r="O28" s="595"/>
      <c r="P28" s="563"/>
      <c r="Q28" s="561"/>
      <c r="R28" s="563"/>
      <c r="S28" s="561"/>
      <c r="T28" s="563"/>
      <c r="U28" s="561"/>
      <c r="V28" s="364">
        <f t="shared" si="4"/>
        <v>0</v>
      </c>
      <c r="W28" s="364">
        <f t="shared" si="5"/>
        <v>0</v>
      </c>
      <c r="X28" s="704">
        <f t="shared" si="6"/>
        <v>0</v>
      </c>
      <c r="AI28" s="99" t="s">
        <v>395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5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0</v>
      </c>
    </row>
    <row r="29" spans="2:55" s="105" customFormat="1" ht="18" customHeight="1" x14ac:dyDescent="0.2">
      <c r="C29" s="595" t="s">
        <v>406</v>
      </c>
      <c r="D29" s="562"/>
      <c r="E29" s="595">
        <v>2400</v>
      </c>
      <c r="F29" s="563"/>
      <c r="G29" s="364">
        <f t="shared" si="0"/>
        <v>33</v>
      </c>
      <c r="H29" s="703">
        <f t="shared" si="1"/>
        <v>0.78016528925619821</v>
      </c>
      <c r="I29" s="704">
        <f t="shared" si="2"/>
        <v>19.051108850267916</v>
      </c>
      <c r="J29" s="364">
        <f t="shared" si="3"/>
        <v>20</v>
      </c>
      <c r="K29" s="595">
        <v>8.5</v>
      </c>
      <c r="L29" s="563"/>
      <c r="M29" s="595">
        <v>4</v>
      </c>
      <c r="N29" s="563"/>
      <c r="O29" s="595"/>
      <c r="P29" s="563"/>
      <c r="Q29" s="561"/>
      <c r="R29" s="563"/>
      <c r="S29" s="561"/>
      <c r="T29" s="563"/>
      <c r="U29" s="561"/>
      <c r="V29" s="364">
        <f t="shared" si="4"/>
        <v>3.36</v>
      </c>
      <c r="W29" s="364">
        <f t="shared" si="5"/>
        <v>11.86</v>
      </c>
      <c r="X29" s="704">
        <f t="shared" si="6"/>
        <v>225.94615096417746</v>
      </c>
      <c r="AI29" s="99" t="s">
        <v>397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8">
        <f>IF(AR25=1,1.5,IF(OR(AR25=2,AR25=3),2.5))</f>
        <v>1.5</v>
      </c>
      <c r="AT29" s="299">
        <f t="shared" si="7"/>
        <v>0</v>
      </c>
      <c r="AU29" s="302">
        <v>6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0</v>
      </c>
    </row>
    <row r="30" spans="2:55" s="105" customFormat="1" ht="18" customHeight="1" x14ac:dyDescent="0.2">
      <c r="C30" s="595" t="s">
        <v>591</v>
      </c>
      <c r="D30" s="563"/>
      <c r="E30" s="595">
        <v>2400</v>
      </c>
      <c r="F30" s="563"/>
      <c r="G30" s="364">
        <f t="shared" si="0"/>
        <v>33</v>
      </c>
      <c r="H30" s="703">
        <f t="shared" si="1"/>
        <v>0.78016528925619821</v>
      </c>
      <c r="I30" s="704">
        <f t="shared" si="2"/>
        <v>19.051108850267916</v>
      </c>
      <c r="J30" s="364">
        <f t="shared" si="3"/>
        <v>20</v>
      </c>
      <c r="K30" s="595">
        <v>0.5</v>
      </c>
      <c r="L30" s="563"/>
      <c r="M30" s="595">
        <v>1</v>
      </c>
      <c r="N30" s="563"/>
      <c r="O30" s="595">
        <v>1</v>
      </c>
      <c r="P30" s="563"/>
      <c r="Q30" s="561"/>
      <c r="R30" s="563"/>
      <c r="S30" s="561"/>
      <c r="T30" s="563"/>
      <c r="U30" s="561"/>
      <c r="V30" s="364">
        <f t="shared" si="4"/>
        <v>1.24</v>
      </c>
      <c r="W30" s="364">
        <f t="shared" si="5"/>
        <v>1.74</v>
      </c>
      <c r="X30" s="704">
        <f t="shared" si="6"/>
        <v>33.148929399466176</v>
      </c>
      <c r="AI30" s="99" t="s">
        <v>400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8">
        <f>IF(AR25=1,2,IF(OR(AR25=2,AR25=3),3))</f>
        <v>2</v>
      </c>
      <c r="AT30" s="299" t="str">
        <f t="shared" si="7"/>
        <v>GH</v>
      </c>
      <c r="AU30" s="302">
        <v>6</v>
      </c>
      <c r="AV30" s="303">
        <v>4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1</v>
      </c>
    </row>
    <row r="31" spans="2:55" s="105" customFormat="1" ht="18" customHeight="1" x14ac:dyDescent="0.2">
      <c r="C31" s="595" t="s">
        <v>592</v>
      </c>
      <c r="D31" s="562"/>
      <c r="E31" s="595">
        <v>200</v>
      </c>
      <c r="F31" s="563"/>
      <c r="G31" s="364">
        <f t="shared" si="0"/>
        <v>13</v>
      </c>
      <c r="H31" s="703">
        <f t="shared" si="1"/>
        <v>0.41893491124260351</v>
      </c>
      <c r="I31" s="704">
        <f t="shared" si="2"/>
        <v>20.561905970514413</v>
      </c>
      <c r="J31" s="364">
        <f t="shared" si="3"/>
        <v>20</v>
      </c>
      <c r="K31" s="595">
        <v>4</v>
      </c>
      <c r="L31" s="563"/>
      <c r="M31" s="595">
        <v>6</v>
      </c>
      <c r="N31" s="563"/>
      <c r="O31" s="595">
        <v>1</v>
      </c>
      <c r="P31" s="563"/>
      <c r="Q31" s="561"/>
      <c r="R31" s="563"/>
      <c r="S31" s="561"/>
      <c r="T31" s="563"/>
      <c r="U31" s="561"/>
      <c r="V31" s="364">
        <f t="shared" si="4"/>
        <v>2.13</v>
      </c>
      <c r="W31" s="364">
        <f t="shared" si="5"/>
        <v>6.13</v>
      </c>
      <c r="X31" s="704">
        <f t="shared" si="6"/>
        <v>126.04448359925335</v>
      </c>
      <c r="AI31" s="99" t="s">
        <v>402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 t="str">
        <f t="shared" si="7"/>
        <v>HI</v>
      </c>
      <c r="AU31" s="302">
        <v>6</v>
      </c>
      <c r="AV31" s="303">
        <v>4</v>
      </c>
      <c r="AW31" s="303">
        <v>6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1</v>
      </c>
    </row>
    <row r="32" spans="2:55" s="105" customFormat="1" ht="18" customHeight="1" x14ac:dyDescent="0.2">
      <c r="C32" s="595" t="s">
        <v>593</v>
      </c>
      <c r="D32" s="562"/>
      <c r="E32" s="595">
        <v>400</v>
      </c>
      <c r="F32" s="563"/>
      <c r="G32" s="364">
        <f t="shared" si="0"/>
        <v>16</v>
      </c>
      <c r="H32" s="703">
        <f t="shared" si="1"/>
        <v>0.55312499999999998</v>
      </c>
      <c r="I32" s="704">
        <f t="shared" si="2"/>
        <v>25.794485336148696</v>
      </c>
      <c r="J32" s="364">
        <f t="shared" si="3"/>
        <v>20</v>
      </c>
      <c r="K32" s="595">
        <v>2.8</v>
      </c>
      <c r="L32" s="563"/>
      <c r="M32" s="595"/>
      <c r="N32" s="563"/>
      <c r="O32" s="595">
        <v>1</v>
      </c>
      <c r="P32" s="563"/>
      <c r="Q32" s="561"/>
      <c r="R32" s="563"/>
      <c r="S32" s="561"/>
      <c r="T32" s="563"/>
      <c r="U32" s="561"/>
      <c r="V32" s="364">
        <f t="shared" si="4"/>
        <v>0.15</v>
      </c>
      <c r="W32" s="364">
        <f t="shared" si="5"/>
        <v>2.9499999999999997</v>
      </c>
      <c r="X32" s="704">
        <f t="shared" si="6"/>
        <v>76.093731741638649</v>
      </c>
      <c r="AI32" s="99" t="s">
        <v>404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 t="str">
        <f t="shared" si="7"/>
        <v>IJ</v>
      </c>
      <c r="AU32" s="302">
        <v>2</v>
      </c>
      <c r="AV32" s="303">
        <v>4</v>
      </c>
      <c r="AW32" s="303">
        <v>6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1</v>
      </c>
    </row>
    <row r="33" spans="2:55" ht="18" customHeight="1" x14ac:dyDescent="0.2">
      <c r="C33" s="595" t="s">
        <v>594</v>
      </c>
      <c r="D33" s="562"/>
      <c r="E33" s="595">
        <v>800</v>
      </c>
      <c r="F33" s="563"/>
      <c r="G33" s="364">
        <f t="shared" si="0"/>
        <v>20</v>
      </c>
      <c r="H33" s="703">
        <f t="shared" si="1"/>
        <v>0.70799999999999996</v>
      </c>
      <c r="I33" s="704">
        <f t="shared" si="2"/>
        <v>30.061233547394529</v>
      </c>
      <c r="J33" s="364">
        <f t="shared" si="3"/>
        <v>20</v>
      </c>
      <c r="K33" s="595">
        <v>2.8</v>
      </c>
      <c r="L33" s="563"/>
      <c r="M33" s="595"/>
      <c r="N33" s="563"/>
      <c r="O33" s="595">
        <v>1</v>
      </c>
      <c r="P33" s="563"/>
      <c r="Q33" s="561"/>
      <c r="R33" s="563"/>
      <c r="S33" s="561"/>
      <c r="T33" s="563"/>
      <c r="U33" s="561"/>
      <c r="V33" s="364">
        <f t="shared" si="4"/>
        <v>0.2</v>
      </c>
      <c r="W33" s="364">
        <f t="shared" si="5"/>
        <v>3</v>
      </c>
      <c r="X33" s="704">
        <f t="shared" si="6"/>
        <v>90.183700642183595</v>
      </c>
      <c r="AI33" s="100" t="s">
        <v>656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 t="str">
        <f t="shared" si="7"/>
        <v>JK</v>
      </c>
      <c r="AU33" s="299">
        <v>3</v>
      </c>
      <c r="AV33" s="300">
        <v>1</v>
      </c>
      <c r="AW33" s="300">
        <v>6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1</v>
      </c>
    </row>
    <row r="34" spans="2:55" ht="18" customHeight="1" x14ac:dyDescent="0.2">
      <c r="C34" s="595" t="s">
        <v>595</v>
      </c>
      <c r="D34" s="562"/>
      <c r="E34" s="595">
        <v>1200</v>
      </c>
      <c r="F34" s="563"/>
      <c r="G34" s="364">
        <f t="shared" si="0"/>
        <v>26</v>
      </c>
      <c r="H34" s="703">
        <f t="shared" si="1"/>
        <v>0.62840236686390527</v>
      </c>
      <c r="I34" s="704">
        <f t="shared" si="2"/>
        <v>17.576628661585584</v>
      </c>
      <c r="J34" s="364">
        <f t="shared" si="3"/>
        <v>20</v>
      </c>
      <c r="K34" s="595">
        <v>2.8</v>
      </c>
      <c r="L34" s="563"/>
      <c r="M34" s="595"/>
      <c r="N34" s="563"/>
      <c r="O34" s="595">
        <v>1</v>
      </c>
      <c r="P34" s="563"/>
      <c r="Q34" s="561"/>
      <c r="R34" s="563"/>
      <c r="S34" s="561"/>
      <c r="T34" s="563"/>
      <c r="U34" s="561"/>
      <c r="V34" s="364">
        <f t="shared" si="4"/>
        <v>0.3</v>
      </c>
      <c r="W34" s="364">
        <f t="shared" si="5"/>
        <v>3.0999999999999996</v>
      </c>
      <c r="X34" s="704">
        <f t="shared" si="6"/>
        <v>54.487548850915303</v>
      </c>
      <c r="AI34" s="221"/>
      <c r="AR34" s="199" t="s">
        <v>398</v>
      </c>
      <c r="AT34" s="299" t="str">
        <f t="shared" si="7"/>
        <v>KL</v>
      </c>
      <c r="AU34" s="299">
        <v>4</v>
      </c>
      <c r="AV34" s="300">
        <v>1</v>
      </c>
      <c r="AW34" s="300">
        <v>6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1</v>
      </c>
    </row>
    <row r="35" spans="2:55" ht="18" customHeight="1" x14ac:dyDescent="0.2">
      <c r="C35" s="595" t="s">
        <v>596</v>
      </c>
      <c r="D35" s="562"/>
      <c r="E35" s="595">
        <v>1600</v>
      </c>
      <c r="F35" s="563"/>
      <c r="G35" s="364">
        <f t="shared" si="0"/>
        <v>26</v>
      </c>
      <c r="H35" s="703">
        <f t="shared" si="1"/>
        <v>0.83786982248520703</v>
      </c>
      <c r="I35" s="704">
        <f t="shared" si="2"/>
        <v>29.078926291741773</v>
      </c>
      <c r="J35" s="364">
        <f t="shared" si="3"/>
        <v>20</v>
      </c>
      <c r="K35" s="595">
        <v>2.8</v>
      </c>
      <c r="L35" s="563"/>
      <c r="M35" s="595"/>
      <c r="N35" s="563"/>
      <c r="O35" s="595">
        <v>1</v>
      </c>
      <c r="P35" s="563"/>
      <c r="Q35" s="561"/>
      <c r="R35" s="563"/>
      <c r="S35" s="561"/>
      <c r="T35" s="563"/>
      <c r="U35" s="561"/>
      <c r="V35" s="364">
        <f t="shared" si="4"/>
        <v>0.3</v>
      </c>
      <c r="W35" s="364">
        <f t="shared" si="5"/>
        <v>3.0999999999999996</v>
      </c>
      <c r="X35" s="704">
        <f t="shared" si="6"/>
        <v>90.144671504399483</v>
      </c>
      <c r="AI35" s="221"/>
      <c r="AJ35" s="200" t="s">
        <v>377</v>
      </c>
      <c r="AK35" s="211"/>
      <c r="AR35" s="296">
        <v>1</v>
      </c>
      <c r="AT35" s="299" t="str">
        <f t="shared" si="7"/>
        <v>LM</v>
      </c>
      <c r="AU35" s="299">
        <v>5</v>
      </c>
      <c r="AV35" s="300">
        <v>1</v>
      </c>
      <c r="AW35" s="300">
        <v>6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1</v>
      </c>
    </row>
    <row r="36" spans="2:55" ht="18" customHeight="1" x14ac:dyDescent="0.2">
      <c r="C36" s="595" t="s">
        <v>597</v>
      </c>
      <c r="D36" s="562"/>
      <c r="E36" s="595">
        <v>2000</v>
      </c>
      <c r="F36" s="563"/>
      <c r="G36" s="364">
        <f t="shared" si="0"/>
        <v>33</v>
      </c>
      <c r="H36" s="703">
        <f t="shared" si="1"/>
        <v>0.65013774104683197</v>
      </c>
      <c r="I36" s="704">
        <f t="shared" si="2"/>
        <v>13.846916643801602</v>
      </c>
      <c r="J36" s="364">
        <f t="shared" si="3"/>
        <v>20</v>
      </c>
      <c r="K36" s="595">
        <v>2.8</v>
      </c>
      <c r="L36" s="563"/>
      <c r="M36" s="595"/>
      <c r="N36" s="563"/>
      <c r="O36" s="595">
        <v>1</v>
      </c>
      <c r="P36" s="563"/>
      <c r="Q36" s="561"/>
      <c r="R36" s="563"/>
      <c r="S36" s="561"/>
      <c r="T36" s="563"/>
      <c r="U36" s="561"/>
      <c r="V36" s="364">
        <f t="shared" si="4"/>
        <v>0.4</v>
      </c>
      <c r="W36" s="364">
        <f t="shared" si="5"/>
        <v>3.1999999999999997</v>
      </c>
      <c r="X36" s="704">
        <f t="shared" si="6"/>
        <v>44.310133260165124</v>
      </c>
      <c r="AI36" s="221"/>
      <c r="AJ36" s="169" t="s">
        <v>378</v>
      </c>
      <c r="AK36" s="120" t="s">
        <v>379</v>
      </c>
      <c r="AR36" s="258" t="s">
        <v>493</v>
      </c>
      <c r="AT36" s="299" t="str">
        <f t="shared" si="7"/>
        <v>MN</v>
      </c>
      <c r="AU36" s="299">
        <v>5</v>
      </c>
      <c r="AV36" s="300">
        <v>1</v>
      </c>
      <c r="AW36" s="300">
        <v>6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1</v>
      </c>
    </row>
    <row r="37" spans="2:55" ht="18" customHeight="1" x14ac:dyDescent="0.2">
      <c r="C37" s="595" t="s">
        <v>598</v>
      </c>
      <c r="D37" s="562"/>
      <c r="E37" s="595">
        <v>2400</v>
      </c>
      <c r="F37" s="563"/>
      <c r="G37" s="364">
        <f t="shared" si="0"/>
        <v>33</v>
      </c>
      <c r="H37" s="703">
        <f t="shared" si="1"/>
        <v>0.78016528925619821</v>
      </c>
      <c r="I37" s="704">
        <f t="shared" si="2"/>
        <v>19.051108850267916</v>
      </c>
      <c r="J37" s="364">
        <f t="shared" si="3"/>
        <v>20</v>
      </c>
      <c r="K37" s="595">
        <v>15</v>
      </c>
      <c r="L37" s="563"/>
      <c r="M37" s="595">
        <v>3</v>
      </c>
      <c r="N37" s="563"/>
      <c r="O37" s="595"/>
      <c r="P37" s="563"/>
      <c r="Q37" s="561"/>
      <c r="R37" s="563"/>
      <c r="S37" s="561"/>
      <c r="T37" s="563"/>
      <c r="U37" s="561"/>
      <c r="V37" s="364">
        <f t="shared" si="4"/>
        <v>2.52</v>
      </c>
      <c r="W37" s="364">
        <f t="shared" si="5"/>
        <v>17.52</v>
      </c>
      <c r="X37" s="704">
        <f t="shared" si="6"/>
        <v>333.7754270566939</v>
      </c>
      <c r="AI37" s="221"/>
      <c r="AJ37" s="98" t="s">
        <v>493</v>
      </c>
      <c r="AK37" s="178">
        <v>1</v>
      </c>
      <c r="AR37" s="258" t="s">
        <v>494</v>
      </c>
      <c r="AT37" s="299" t="str">
        <f t="shared" si="7"/>
        <v>NO</v>
      </c>
      <c r="AU37" s="299">
        <v>6</v>
      </c>
      <c r="AV37" s="300">
        <v>1</v>
      </c>
      <c r="AW37" s="300">
        <v>6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1</v>
      </c>
    </row>
    <row r="38" spans="2:55" ht="18" customHeight="1" x14ac:dyDescent="0.2">
      <c r="C38" s="595" t="s">
        <v>599</v>
      </c>
      <c r="D38" s="562"/>
      <c r="E38" s="595">
        <v>2400</v>
      </c>
      <c r="F38" s="563"/>
      <c r="G38" s="364">
        <f t="shared" si="0"/>
        <v>33</v>
      </c>
      <c r="H38" s="703">
        <f t="shared" si="1"/>
        <v>0.78016528925619821</v>
      </c>
      <c r="I38" s="704">
        <f t="shared" si="2"/>
        <v>19.051108850267916</v>
      </c>
      <c r="J38" s="364">
        <f t="shared" si="3"/>
        <v>20</v>
      </c>
      <c r="K38" s="595">
        <v>8.5</v>
      </c>
      <c r="L38" s="563"/>
      <c r="M38" s="595">
        <v>4</v>
      </c>
      <c r="N38" s="563"/>
      <c r="O38" s="595">
        <v>1</v>
      </c>
      <c r="P38" s="563"/>
      <c r="Q38" s="561"/>
      <c r="R38" s="563"/>
      <c r="S38" s="561"/>
      <c r="T38" s="563"/>
      <c r="U38" s="561"/>
      <c r="V38" s="364">
        <f t="shared" si="4"/>
        <v>3.76</v>
      </c>
      <c r="W38" s="364">
        <f t="shared" si="5"/>
        <v>12.26</v>
      </c>
      <c r="X38" s="704">
        <f t="shared" si="6"/>
        <v>233.56659450428464</v>
      </c>
      <c r="AI38" s="221"/>
      <c r="AJ38" s="100" t="s">
        <v>495</v>
      </c>
      <c r="AK38" s="128">
        <v>1.3</v>
      </c>
      <c r="AT38" s="299" t="str">
        <f t="shared" si="7"/>
        <v>OP</v>
      </c>
      <c r="AU38" s="299">
        <v>6</v>
      </c>
      <c r="AV38" s="300">
        <v>4</v>
      </c>
      <c r="AW38" s="300">
        <v>6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1</v>
      </c>
    </row>
    <row r="39" spans="2:55" ht="18" customHeight="1" thickBot="1" x14ac:dyDescent="0.25">
      <c r="C39" s="639"/>
      <c r="D39" s="640"/>
      <c r="E39" s="639"/>
      <c r="F39" s="641"/>
      <c r="G39" s="705">
        <f t="shared" si="0"/>
        <v>0</v>
      </c>
      <c r="H39" s="706">
        <f t="shared" si="1"/>
        <v>0</v>
      </c>
      <c r="I39" s="707">
        <f t="shared" si="2"/>
        <v>0</v>
      </c>
      <c r="J39" s="705">
        <f t="shared" si="3"/>
        <v>0</v>
      </c>
      <c r="K39" s="639"/>
      <c r="L39" s="641"/>
      <c r="M39" s="639"/>
      <c r="N39" s="641"/>
      <c r="O39" s="639"/>
      <c r="P39" s="641"/>
      <c r="Q39" s="717"/>
      <c r="R39" s="641"/>
      <c r="S39" s="717"/>
      <c r="T39" s="641"/>
      <c r="U39" s="717"/>
      <c r="V39" s="705">
        <f>IF(AU40=1,0, INDEX($AK$25:$AP$33,$AV40,$AU40-1)*M39+INDEX($AK$25:$AP$33,$AW40,$AU40-1)*O39+INDEX($AK$25:$AP$33,$AX40,$AU40-1)*Q39+INDEX($AK$25:$AP$33,$AY40,$AU40-1)*S39+INDEX($AK$25:$AP$33,$AZ40,$AU40-1)*U39+INDEX($AK$25:$AP$33,$BA40,$AU40-1)*AK100+INDEX($AK$25:$AP$33,$BB40,$AU40-1)*AM100)</f>
        <v>0</v>
      </c>
      <c r="W39" s="705">
        <f t="shared" si="5"/>
        <v>0</v>
      </c>
      <c r="X39" s="707">
        <f t="shared" si="6"/>
        <v>0</v>
      </c>
      <c r="AI39" s="221"/>
      <c r="AT39" s="299" t="str">
        <f t="shared" si="7"/>
        <v>PA</v>
      </c>
      <c r="AU39" s="299">
        <v>6</v>
      </c>
      <c r="AV39" s="300">
        <v>4</v>
      </c>
      <c r="AW39" s="300">
        <v>6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1</v>
      </c>
    </row>
    <row r="40" spans="2:55" ht="18" customHeight="1" x14ac:dyDescent="0.2">
      <c r="L40" s="490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642">
        <v>1.3077013715231776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563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481" t="s">
        <v>740</v>
      </c>
      <c r="D45" s="556"/>
      <c r="E45" s="556"/>
      <c r="F45" s="556"/>
      <c r="G45" s="565"/>
      <c r="H45" s="741"/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436" t="s">
        <v>741</v>
      </c>
      <c r="D46" s="438"/>
      <c r="E46" s="438"/>
      <c r="F46" s="438"/>
      <c r="G46" s="448" t="s">
        <v>605</v>
      </c>
      <c r="H46" s="638">
        <v>0.5</v>
      </c>
      <c r="J46" s="490" t="s">
        <v>616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739</v>
      </c>
      <c r="D47" s="294"/>
      <c r="E47" s="294"/>
      <c r="F47" s="294"/>
      <c r="G47" s="290"/>
      <c r="H47" s="214"/>
      <c r="J47" s="384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487</v>
      </c>
      <c r="D48" s="294"/>
      <c r="E48" s="294"/>
      <c r="F48" s="294"/>
      <c r="G48" s="290" t="s">
        <v>605</v>
      </c>
      <c r="H48" s="633">
        <f>H41+H46</f>
        <v>1.8077013715231776</v>
      </c>
      <c r="J48" s="384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" x14ac:dyDescent="0.2">
      <c r="B49" s="197"/>
      <c r="C49" s="436" t="s">
        <v>692</v>
      </c>
      <c r="D49" s="438"/>
      <c r="E49" s="438"/>
      <c r="F49" s="438"/>
      <c r="G49" s="448" t="s">
        <v>30</v>
      </c>
      <c r="H49" s="679">
        <v>0</v>
      </c>
      <c r="J49" s="384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">
      <c r="B50" s="197"/>
      <c r="J50" s="384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319" t="s">
        <v>562</v>
      </c>
      <c r="D51" s="294"/>
      <c r="E51" s="294"/>
      <c r="F51" s="294"/>
      <c r="G51" s="294"/>
      <c r="J51" s="384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5">
      <c r="B52" s="197"/>
      <c r="C52" s="481" t="s">
        <v>438</v>
      </c>
      <c r="D52" s="556"/>
      <c r="E52" s="556"/>
      <c r="F52" s="556"/>
      <c r="G52" s="565" t="s">
        <v>414</v>
      </c>
      <c r="H52" s="644">
        <f>H8</f>
        <v>2000</v>
      </c>
      <c r="J52" s="384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5">
      <c r="B53" s="197"/>
      <c r="C53" s="436" t="s">
        <v>472</v>
      </c>
      <c r="D53" s="438"/>
      <c r="E53" s="438"/>
      <c r="F53" s="438"/>
      <c r="G53" s="448" t="s">
        <v>605</v>
      </c>
      <c r="H53" s="645">
        <f>H48+H49</f>
        <v>1.8077013715231776</v>
      </c>
      <c r="J53" s="384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C54" s="294"/>
      <c r="D54" s="294"/>
      <c r="E54" s="294"/>
      <c r="F54" s="294"/>
      <c r="G54" s="294"/>
      <c r="J54" s="384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319" t="s">
        <v>456</v>
      </c>
      <c r="D55" s="294"/>
      <c r="E55" s="294"/>
      <c r="F55" s="294"/>
      <c r="G55" s="294"/>
      <c r="J55" s="384"/>
      <c r="AI55" s="221"/>
      <c r="AT55" s="3"/>
      <c r="AU55" s="3"/>
      <c r="AV55" s="3"/>
      <c r="AW55" s="3"/>
      <c r="AX55" s="3"/>
      <c r="BC55" s="220"/>
    </row>
    <row r="56" spans="2:55" ht="19.5" x14ac:dyDescent="0.35">
      <c r="B56" s="197"/>
      <c r="C56" s="441" t="s">
        <v>659</v>
      </c>
      <c r="D56" s="443"/>
      <c r="E56" s="443"/>
      <c r="F56" s="443"/>
      <c r="G56" s="443"/>
      <c r="J56" s="384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84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384"/>
      <c r="AT58" s="3"/>
      <c r="AU58" s="3"/>
      <c r="AV58" s="3"/>
      <c r="AW58" s="3"/>
      <c r="AX58" s="3"/>
    </row>
    <row r="59" spans="2:55" ht="12.75" customHeight="1" x14ac:dyDescent="0.2">
      <c r="B59" s="197"/>
      <c r="C59" s="634">
        <v>15</v>
      </c>
      <c r="D59" s="653">
        <v>8</v>
      </c>
      <c r="E59" s="213">
        <v>13</v>
      </c>
      <c r="F59" s="699">
        <f t="shared" ref="F59:F65" si="8">(PI()*E59^2)/(4*1000)</f>
        <v>0.13273228961416877</v>
      </c>
      <c r="G59" s="700">
        <f>IF(D59*F59=0,"",D59*F59)</f>
        <v>1.0618583169133502</v>
      </c>
      <c r="J59" s="384"/>
      <c r="AT59" s="3"/>
      <c r="AU59" s="3"/>
      <c r="AV59" s="3"/>
      <c r="AW59" s="3"/>
      <c r="AX59" s="3"/>
    </row>
    <row r="60" spans="2:55" x14ac:dyDescent="0.2">
      <c r="B60" s="197"/>
      <c r="C60" s="552">
        <v>18</v>
      </c>
      <c r="D60" s="654">
        <v>5.6</v>
      </c>
      <c r="E60" s="293">
        <v>16</v>
      </c>
      <c r="F60" s="699">
        <f t="shared" si="8"/>
        <v>0.20106192982974677</v>
      </c>
      <c r="G60" s="700">
        <f t="shared" ref="G60:G65" si="9">IF(D60*F60=0,"",D60*F60)</f>
        <v>1.1259468070465819</v>
      </c>
      <c r="J60" s="384"/>
      <c r="AT60" s="3"/>
      <c r="AU60" s="3"/>
      <c r="AV60" s="3"/>
      <c r="AW60" s="3"/>
      <c r="AX60" s="3"/>
    </row>
    <row r="61" spans="2:55" x14ac:dyDescent="0.2">
      <c r="B61" s="197"/>
      <c r="C61" s="552">
        <v>22</v>
      </c>
      <c r="D61" s="654">
        <v>5.6</v>
      </c>
      <c r="E61" s="293">
        <v>20</v>
      </c>
      <c r="F61" s="699">
        <f t="shared" si="8"/>
        <v>0.31415926535897931</v>
      </c>
      <c r="G61" s="700">
        <f t="shared" si="9"/>
        <v>1.759291886010284</v>
      </c>
      <c r="J61" s="490" t="s">
        <v>478</v>
      </c>
      <c r="AT61" s="3"/>
      <c r="AU61" s="3"/>
      <c r="AV61" s="3"/>
      <c r="AW61" s="3"/>
      <c r="AX61" s="3"/>
    </row>
    <row r="62" spans="2:55" x14ac:dyDescent="0.2">
      <c r="B62" s="197"/>
      <c r="C62" s="552">
        <v>28</v>
      </c>
      <c r="D62" s="654">
        <v>11.2</v>
      </c>
      <c r="E62" s="293">
        <v>26</v>
      </c>
      <c r="F62" s="699">
        <f t="shared" si="8"/>
        <v>0.5309291584566751</v>
      </c>
      <c r="G62" s="700">
        <f t="shared" si="9"/>
        <v>5.9464065747147608</v>
      </c>
      <c r="J62" s="384"/>
      <c r="AT62" s="3"/>
      <c r="AU62" s="3"/>
      <c r="AV62" s="3"/>
      <c r="AW62" s="3"/>
      <c r="AX62" s="3"/>
    </row>
    <row r="63" spans="2:55" x14ac:dyDescent="0.2">
      <c r="B63" s="197"/>
      <c r="C63" s="552">
        <v>35</v>
      </c>
      <c r="D63" s="654">
        <v>70.599999999999994</v>
      </c>
      <c r="E63" s="293">
        <v>33</v>
      </c>
      <c r="F63" s="699">
        <f t="shared" si="8"/>
        <v>0.85529859993982116</v>
      </c>
      <c r="G63" s="700">
        <f t="shared" si="9"/>
        <v>60.384081155751367</v>
      </c>
      <c r="J63" s="384"/>
      <c r="AT63" s="3"/>
      <c r="AU63" s="3"/>
      <c r="AV63" s="3"/>
      <c r="AW63" s="3"/>
      <c r="AX63" s="3"/>
    </row>
    <row r="64" spans="2:55" x14ac:dyDescent="0.2">
      <c r="B64" s="197"/>
      <c r="C64" s="552">
        <v>42</v>
      </c>
      <c r="D64" s="654"/>
      <c r="E64" s="293">
        <v>40</v>
      </c>
      <c r="F64" s="699">
        <f t="shared" si="8"/>
        <v>1.2566370614359172</v>
      </c>
      <c r="G64" s="700" t="str">
        <f t="shared" si="9"/>
        <v/>
      </c>
      <c r="J64" s="384"/>
      <c r="AT64" s="3"/>
      <c r="AU64" s="3"/>
      <c r="AV64" s="3"/>
      <c r="AW64" s="3"/>
      <c r="AX64" s="3"/>
    </row>
    <row r="65" spans="1:50" ht="13.5" thickBot="1" x14ac:dyDescent="0.25">
      <c r="B65" s="197"/>
      <c r="C65" s="586">
        <v>54</v>
      </c>
      <c r="D65" s="655"/>
      <c r="E65" s="576">
        <v>51.6</v>
      </c>
      <c r="F65" s="701">
        <f t="shared" si="8"/>
        <v>2.09116973393551</v>
      </c>
      <c r="G65" s="702" t="str">
        <f t="shared" si="9"/>
        <v/>
      </c>
      <c r="J65" s="384"/>
      <c r="AT65" s="3"/>
      <c r="AU65" s="3"/>
      <c r="AV65" s="3"/>
      <c r="AW65" s="3"/>
      <c r="AX65" s="3"/>
    </row>
    <row r="66" spans="1:50" x14ac:dyDescent="0.2">
      <c r="B66" s="197"/>
      <c r="C66" s="196"/>
      <c r="D66" s="3"/>
      <c r="E66" s="197"/>
      <c r="F66" s="650" t="s">
        <v>409</v>
      </c>
      <c r="G66" s="651">
        <f>SUM($G$59:$G$65)</f>
        <v>70.277584740436339</v>
      </c>
      <c r="J66" s="384"/>
      <c r="AT66" s="3"/>
      <c r="AU66" s="3"/>
      <c r="AV66" s="3"/>
      <c r="AW66" s="3"/>
      <c r="AX66" s="3"/>
    </row>
    <row r="67" spans="1:50" x14ac:dyDescent="0.2">
      <c r="B67" s="197"/>
      <c r="J67" s="384"/>
      <c r="AT67" s="3"/>
      <c r="AU67" s="3"/>
      <c r="AV67" s="3"/>
      <c r="AW67" s="3"/>
      <c r="AX67" s="3"/>
    </row>
    <row r="68" spans="1:50" ht="15" x14ac:dyDescent="0.2">
      <c r="A68" s="5"/>
      <c r="B68" s="197"/>
      <c r="C68" s="292"/>
      <c r="D68" s="294"/>
      <c r="E68" s="294"/>
      <c r="F68" s="294"/>
      <c r="G68" s="290"/>
      <c r="H68" s="388"/>
      <c r="J68" s="383"/>
      <c r="AT68" s="3"/>
      <c r="AU68" s="3"/>
      <c r="AV68" s="3"/>
      <c r="AW68" s="3"/>
      <c r="AX68" s="3"/>
    </row>
    <row r="69" spans="1:50" ht="15" x14ac:dyDescent="0.2">
      <c r="B69" s="197"/>
      <c r="C69" s="436" t="s">
        <v>664</v>
      </c>
      <c r="D69" s="438"/>
      <c r="E69" s="438"/>
      <c r="F69" s="438"/>
      <c r="G69" s="448"/>
      <c r="H69" s="467"/>
      <c r="I69" s="244"/>
      <c r="J69" s="349"/>
    </row>
    <row r="70" spans="1:50" ht="15" x14ac:dyDescent="0.2">
      <c r="B70" s="197"/>
      <c r="C70" s="585"/>
      <c r="D70" s="680"/>
      <c r="E70" s="681" t="s">
        <v>636</v>
      </c>
      <c r="F70" s="681" t="s">
        <v>637</v>
      </c>
      <c r="G70" s="681" t="s">
        <v>638</v>
      </c>
      <c r="H70" s="681" t="s">
        <v>639</v>
      </c>
      <c r="I70" s="681" t="s">
        <v>640</v>
      </c>
      <c r="J70" s="349"/>
    </row>
    <row r="71" spans="1:50" x14ac:dyDescent="0.2">
      <c r="B71" s="197"/>
      <c r="D71" s="378" t="s">
        <v>666</v>
      </c>
      <c r="E71" s="335">
        <f>Datos!E52</f>
        <v>10</v>
      </c>
      <c r="F71" s="335">
        <f>Datos!F52</f>
        <v>0</v>
      </c>
      <c r="G71" s="335">
        <f>Datos!G52</f>
        <v>0</v>
      </c>
      <c r="H71" s="335">
        <f>Datos!H52</f>
        <v>0</v>
      </c>
      <c r="I71" s="335">
        <f>Datos!I52</f>
        <v>0</v>
      </c>
      <c r="J71" s="349"/>
    </row>
    <row r="72" spans="1:50" x14ac:dyDescent="0.2">
      <c r="B72" s="197"/>
      <c r="D72" s="378" t="s">
        <v>662</v>
      </c>
      <c r="E72" s="635">
        <f>Datos!E70</f>
        <v>0</v>
      </c>
      <c r="F72" s="635">
        <f>Datos!F70</f>
        <v>0</v>
      </c>
      <c r="G72" s="635">
        <f>Datos!G70</f>
        <v>0</v>
      </c>
      <c r="H72" s="635">
        <f>Datos!H70</f>
        <v>0</v>
      </c>
      <c r="I72" s="635">
        <f>Datos!I70</f>
        <v>0</v>
      </c>
      <c r="J72" s="349"/>
    </row>
    <row r="73" spans="1:50" x14ac:dyDescent="0.2">
      <c r="B73" s="197"/>
      <c r="C73" s="244"/>
      <c r="D73" s="656" t="s">
        <v>663</v>
      </c>
      <c r="E73" s="614">
        <v>4.5</v>
      </c>
      <c r="F73" s="657"/>
      <c r="G73" s="657"/>
      <c r="H73" s="657"/>
      <c r="I73" s="657"/>
      <c r="J73" s="490" t="s">
        <v>667</v>
      </c>
    </row>
    <row r="74" spans="1:50" ht="13.5" thickBot="1" x14ac:dyDescent="0.25">
      <c r="B74" s="197"/>
      <c r="D74" s="317"/>
      <c r="E74" s="376"/>
      <c r="F74" s="376"/>
      <c r="G74" s="376"/>
      <c r="H74" s="376"/>
      <c r="I74" s="376"/>
      <c r="J74" s="383"/>
    </row>
    <row r="75" spans="1:50" ht="17.25" customHeight="1" x14ac:dyDescent="0.35">
      <c r="B75" s="197"/>
      <c r="C75" s="516" t="s">
        <v>665</v>
      </c>
      <c r="D75" s="517"/>
      <c r="E75" s="517"/>
      <c r="F75" s="517"/>
      <c r="G75" s="518" t="s">
        <v>373</v>
      </c>
      <c r="H75" s="682">
        <f>SUMPRODUCT(E71:I71,E73:I73)</f>
        <v>45</v>
      </c>
      <c r="J75" s="383"/>
    </row>
    <row r="76" spans="1:50" ht="14.25" customHeight="1" x14ac:dyDescent="0.2">
      <c r="B76" s="197"/>
      <c r="C76" s="292"/>
      <c r="D76" s="294"/>
      <c r="E76" s="294"/>
      <c r="F76" s="294"/>
      <c r="G76" s="290"/>
      <c r="H76" s="315"/>
      <c r="J76" s="383"/>
    </row>
    <row r="77" spans="1:50" ht="16.5" customHeight="1" x14ac:dyDescent="0.35">
      <c r="B77" s="197"/>
      <c r="C77" s="292" t="s">
        <v>661</v>
      </c>
      <c r="D77" s="294"/>
      <c r="E77" s="294"/>
      <c r="F77" s="294"/>
      <c r="G77" s="294"/>
      <c r="J77" s="383"/>
    </row>
    <row r="78" spans="1:50" ht="15" x14ac:dyDescent="0.2">
      <c r="B78" s="197"/>
      <c r="C78" s="292" t="s">
        <v>564</v>
      </c>
      <c r="D78" s="294"/>
      <c r="E78" s="294"/>
      <c r="F78" s="294"/>
      <c r="G78" s="290" t="s">
        <v>373</v>
      </c>
      <c r="H78" s="637">
        <f>$G$66+H75</f>
        <v>115.27758474043634</v>
      </c>
      <c r="J78" s="383"/>
    </row>
    <row r="79" spans="1:50" x14ac:dyDescent="0.2">
      <c r="B79" s="196"/>
      <c r="C79" s="294"/>
      <c r="D79" s="294"/>
      <c r="E79" s="294"/>
      <c r="F79" s="294"/>
      <c r="G79" s="294"/>
      <c r="J79" s="383"/>
    </row>
    <row r="80" spans="1:50" ht="15" x14ac:dyDescent="0.2">
      <c r="C80" s="481" t="s">
        <v>526</v>
      </c>
      <c r="D80" s="556"/>
      <c r="E80" s="556"/>
      <c r="F80" s="556"/>
      <c r="G80" s="565" t="s">
        <v>469</v>
      </c>
      <c r="H80" s="643">
        <v>1.5</v>
      </c>
      <c r="J80" s="490" t="s">
        <v>684</v>
      </c>
    </row>
    <row r="81" spans="2:39" ht="15" x14ac:dyDescent="0.2">
      <c r="C81" s="292" t="s">
        <v>527</v>
      </c>
      <c r="D81" s="294"/>
      <c r="E81" s="294"/>
      <c r="F81" s="294"/>
      <c r="G81" s="290" t="s">
        <v>469</v>
      </c>
      <c r="H81" s="523">
        <v>4</v>
      </c>
      <c r="J81" s="490" t="s">
        <v>470</v>
      </c>
      <c r="K81" s="110"/>
      <c r="L81" s="217"/>
      <c r="M81" s="5"/>
    </row>
    <row r="82" spans="2:39" ht="15" x14ac:dyDescent="0.2">
      <c r="C82" s="292" t="s">
        <v>525</v>
      </c>
      <c r="D82" s="294"/>
      <c r="E82" s="294"/>
      <c r="F82" s="294"/>
      <c r="G82" s="290"/>
      <c r="H82" s="637">
        <f>H81/(H81-H80)</f>
        <v>1.6</v>
      </c>
      <c r="J82" s="383"/>
      <c r="K82" s="110"/>
      <c r="L82" s="217"/>
      <c r="M82" s="5"/>
    </row>
    <row r="83" spans="2:39" ht="16.5" thickBot="1" x14ac:dyDescent="0.3">
      <c r="C83" s="428" t="s">
        <v>471</v>
      </c>
      <c r="D83" s="427"/>
      <c r="E83" s="427"/>
      <c r="F83" s="427"/>
      <c r="G83" s="558" t="s">
        <v>373</v>
      </c>
      <c r="H83" s="659">
        <f>$H$78*($H$81/($H$81-$H$80))*INDEX(AK52:AK53,AR35,1)</f>
        <v>7.9310978301420203</v>
      </c>
      <c r="J83" s="490" t="s">
        <v>569</v>
      </c>
    </row>
    <row r="84" spans="2:39" ht="15.75" x14ac:dyDescent="0.25">
      <c r="B84" s="5"/>
      <c r="C84" s="97"/>
      <c r="G84" s="3"/>
      <c r="H84" s="554"/>
      <c r="J84" s="237"/>
      <c r="AJ84" s="246"/>
      <c r="AK84" s="213"/>
      <c r="AL84" s="246"/>
      <c r="AM84" s="213"/>
    </row>
    <row r="85" spans="2:39" ht="13.5" thickBot="1" x14ac:dyDescent="0.25">
      <c r="B85" s="422"/>
      <c r="C85" s="422"/>
      <c r="D85" s="422"/>
      <c r="E85" s="422"/>
      <c r="F85" s="422"/>
      <c r="G85" s="422"/>
      <c r="H85" s="422"/>
      <c r="I85" s="596"/>
      <c r="J85" s="422"/>
      <c r="K85" s="422"/>
      <c r="L85" s="422"/>
      <c r="M85" s="422"/>
      <c r="N85" s="422"/>
      <c r="O85" s="422"/>
      <c r="P85" s="422"/>
      <c r="Q85" s="422"/>
      <c r="R85" s="422"/>
      <c r="S85" s="422"/>
      <c r="T85" s="422"/>
      <c r="U85" s="422"/>
      <c r="V85" s="422"/>
      <c r="W85" s="422"/>
      <c r="X85" s="422"/>
      <c r="AJ85" s="105"/>
      <c r="AK85" s="197"/>
      <c r="AL85" s="105"/>
      <c r="AM85" s="197"/>
    </row>
    <row r="86" spans="2:39" ht="15" customHeight="1" thickTop="1" x14ac:dyDescent="0.2">
      <c r="B86" s="410" t="s">
        <v>523</v>
      </c>
      <c r="H86" s="6"/>
      <c r="I86" s="6"/>
      <c r="AJ86" s="105"/>
      <c r="AK86" s="197"/>
      <c r="AL86" s="105"/>
      <c r="AM86" s="197"/>
    </row>
    <row r="87" spans="2:39" ht="15.75" customHeight="1" x14ac:dyDescent="0.2">
      <c r="AJ87" s="105"/>
      <c r="AK87" s="197"/>
      <c r="AL87" s="105"/>
      <c r="AM87" s="197"/>
    </row>
    <row r="88" spans="2:39" ht="15" customHeight="1" x14ac:dyDescent="0.2">
      <c r="AJ88" s="105"/>
      <c r="AK88" s="197"/>
      <c r="AL88" s="105"/>
      <c r="AM88" s="197"/>
    </row>
    <row r="89" spans="2:39" x14ac:dyDescent="0.2">
      <c r="AJ89" s="105"/>
      <c r="AK89" s="197"/>
      <c r="AL89" s="105"/>
      <c r="AM89" s="197"/>
    </row>
    <row r="90" spans="2:39" x14ac:dyDescent="0.2">
      <c r="H90" s="6"/>
      <c r="I90" s="195"/>
      <c r="AJ90" s="105"/>
      <c r="AK90" s="197"/>
      <c r="AL90" s="105"/>
      <c r="AM90" s="197"/>
    </row>
    <row r="91" spans="2:39" x14ac:dyDescent="0.2">
      <c r="AJ91" s="105"/>
      <c r="AK91" s="197"/>
      <c r="AL91" s="105"/>
      <c r="AM91" s="197"/>
    </row>
    <row r="92" spans="2:39" x14ac:dyDescent="0.2">
      <c r="AJ92" s="105"/>
      <c r="AK92" s="197"/>
      <c r="AL92" s="105"/>
      <c r="AM92" s="197"/>
    </row>
    <row r="93" spans="2:39" x14ac:dyDescent="0.2">
      <c r="B93" s="196"/>
      <c r="C93" s="3"/>
      <c r="D93" s="197"/>
      <c r="E93" s="11"/>
      <c r="F93" s="11"/>
      <c r="H93" s="6"/>
      <c r="I93" s="216"/>
      <c r="AJ93" s="105"/>
      <c r="AK93" s="197"/>
      <c r="AL93" s="105"/>
      <c r="AM93" s="197"/>
    </row>
    <row r="94" spans="2:39" x14ac:dyDescent="0.2">
      <c r="B94" s="196"/>
      <c r="C94" s="3"/>
      <c r="D94" s="197"/>
      <c r="E94" s="11"/>
      <c r="F94" s="11"/>
      <c r="H94" s="6"/>
      <c r="I94" s="216"/>
      <c r="AJ94" s="105"/>
      <c r="AK94" s="197"/>
      <c r="AL94" s="105"/>
      <c r="AM94" s="197"/>
    </row>
    <row r="95" spans="2:39" x14ac:dyDescent="0.2">
      <c r="B95" s="196"/>
      <c r="C95" s="3"/>
      <c r="D95" s="197"/>
      <c r="E95" s="11"/>
      <c r="F95" s="11"/>
      <c r="AJ95" s="105"/>
      <c r="AK95" s="197"/>
      <c r="AL95" s="105"/>
      <c r="AM95" s="197"/>
    </row>
    <row r="96" spans="2:39" x14ac:dyDescent="0.2">
      <c r="AJ96" s="105"/>
      <c r="AK96" s="197"/>
      <c r="AL96" s="105"/>
      <c r="AM96" s="197"/>
    </row>
    <row r="97" spans="1:39" x14ac:dyDescent="0.2">
      <c r="H97" s="172"/>
      <c r="I97" s="192"/>
      <c r="J97" s="5"/>
      <c r="AJ97" s="105"/>
      <c r="AK97" s="197"/>
      <c r="AL97" s="105"/>
      <c r="AM97" s="197"/>
    </row>
    <row r="98" spans="1:39" x14ac:dyDescent="0.2">
      <c r="AJ98" s="105"/>
      <c r="AK98" s="197"/>
      <c r="AL98" s="105"/>
      <c r="AM98" s="197"/>
    </row>
    <row r="99" spans="1:39" x14ac:dyDescent="0.2">
      <c r="AJ99" s="105"/>
      <c r="AK99" s="197"/>
      <c r="AL99" s="105"/>
      <c r="AM99" s="197"/>
    </row>
    <row r="100" spans="1:39" x14ac:dyDescent="0.2">
      <c r="A100" s="5"/>
      <c r="AJ100" s="286"/>
      <c r="AK100" s="287"/>
      <c r="AL100" s="286"/>
      <c r="AM100" s="287"/>
    </row>
    <row r="104" spans="1:39" x14ac:dyDescent="0.2">
      <c r="C104" s="6"/>
      <c r="D104" s="6"/>
      <c r="E104" s="7"/>
    </row>
    <row r="105" spans="1:39" x14ac:dyDescent="0.2">
      <c r="D105" s="6"/>
      <c r="G105" s="6"/>
      <c r="H105" s="192"/>
      <c r="I105" s="5"/>
    </row>
    <row r="106" spans="1:39" x14ac:dyDescent="0.2">
      <c r="D106" s="6"/>
      <c r="E106" s="7"/>
      <c r="G106" s="6"/>
      <c r="H106" s="5"/>
      <c r="I106" s="5"/>
    </row>
    <row r="108" spans="1:39" x14ac:dyDescent="0.2">
      <c r="C108" s="6"/>
      <c r="D108" s="6"/>
      <c r="E108" s="19"/>
    </row>
    <row r="109" spans="1:39" x14ac:dyDescent="0.2">
      <c r="D109" s="6"/>
      <c r="E109" s="19"/>
      <c r="G109" s="6"/>
      <c r="H109" s="192"/>
      <c r="I109" s="5"/>
    </row>
    <row r="110" spans="1:39" x14ac:dyDescent="0.2">
      <c r="D110" s="6"/>
      <c r="E110" s="7"/>
      <c r="G110" s="6"/>
      <c r="H110" s="5"/>
      <c r="I110" s="5"/>
    </row>
    <row r="119" spans="2:4" x14ac:dyDescent="0.2">
      <c r="C119" s="7"/>
    </row>
    <row r="120" spans="2:4" x14ac:dyDescent="0.2">
      <c r="B120" s="5"/>
    </row>
    <row r="122" spans="2:4" x14ac:dyDescent="0.2">
      <c r="B122" s="5"/>
    </row>
    <row r="124" spans="2:4" x14ac:dyDescent="0.2">
      <c r="C124" s="6"/>
      <c r="D124" s="219"/>
    </row>
  </sheetData>
  <mergeCells count="6">
    <mergeCell ref="AJ23:AP23"/>
    <mergeCell ref="AV24:BB24"/>
    <mergeCell ref="B1:Y1"/>
    <mergeCell ref="AI20:AN20"/>
    <mergeCell ref="L22:U22"/>
    <mergeCell ref="AJ22:AP22"/>
  </mergeCells>
  <phoneticPr fontId="56" type="noConversion"/>
  <conditionalFormatting sqref="I24:I39">
    <cfRule type="cellIs" dxfId="18" priority="1" stopIfTrue="1" operator="greaterThan">
      <formula>40</formula>
    </cfRule>
  </conditionalFormatting>
  <conditionalFormatting sqref="H24:H39">
    <cfRule type="cellIs" dxfId="17" priority="2" stopIfTrue="1" operator="between">
      <formula>$AR$29</formula>
      <formula>$AR$30</formula>
    </cfRule>
    <cfRule type="cellIs" dxfId="16" priority="3" stopIfTrue="1" operator="greaterThanOrEqual">
      <formula>$AR$30</formula>
    </cfRule>
  </conditionalFormatting>
  <pageMargins left="0.75" right="0.75" top="1" bottom="1" header="0" footer="0"/>
  <pageSetup paperSize="9" scale="45" orientation="landscape" r:id="rId1"/>
  <headerFooter alignWithMargins="0"/>
  <rowBreaks count="1" manualBreakCount="1">
    <brk id="88" max="24" man="1"/>
  </rowBreaks>
  <colBreaks count="1" manualBreakCount="1">
    <brk id="25" max="9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Check Box 1">
              <controlPr locked="0" defaultSize="0" autoFill="0" autoLine="0" autoPict="0" macro="[0]!CalculaPdctotal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733425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Drop Down 2">
              <controlPr defaultSize="0" autoLine="0" autoPict="0">
                <anchor moveWithCells="1">
                  <from>
                    <xdr:col>7</xdr:col>
                    <xdr:colOff>95250</xdr:colOff>
                    <xdr:row>9</xdr:row>
                    <xdr:rowOff>47625</xdr:rowOff>
                  </from>
                  <to>
                    <xdr:col>8</xdr:col>
                    <xdr:colOff>180975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Drop Down 3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Drop Down 4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Drop Down 5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Drop Down 6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Drop Down 7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Drop Down 8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Drop Down 9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Drop Down 10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Drop Down 14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Drop Down 18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Drop Down 22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Drop Down 26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Drop Down 27">
              <controlPr defaultSize="0" autoLine="0" autoPict="0">
                <anchor moveWithCells="1">
                  <from>
                    <xdr:col>6</xdr:col>
                    <xdr:colOff>790575</xdr:colOff>
                    <xdr:row>8</xdr:row>
                    <xdr:rowOff>47625</xdr:rowOff>
                  </from>
                  <to>
                    <xdr:col>8</xdr:col>
                    <xdr:colOff>180975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Drop Down 29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Drop Down 30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3" name="Drop Down 31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4" name="Drop Down 32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5" name="Drop Down 33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6" name="Drop Down 34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7" name="Drop Down 35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8" name="Drop Down 36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39" name="Drop Down 37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0" name="Drop Down 38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1" name="Drop Down 39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2" name="Drop Down 40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3" name="Drop Down 41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4" name="Drop Down 42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5" name="Drop Down 43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6" name="Drop Down 44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7" name="Drop Down 45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8" name="Drop Down 46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49" name="Drop Down 47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0" name="Drop Down 48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1" name="Drop Down 49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2" name="Drop Down 50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3" name="Drop Down 51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4" name="Drop Down 52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5" name="Drop Down 53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6" name="Drop Down 54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7" name="Drop Down 55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8" name="Drop Down 56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59" name="Drop Down 57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0" name="Drop Down 58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1" name="Drop Down 59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2" name="Drop Down 60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3" name="Drop Down 61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4" name="Drop Down 62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5" name="Drop Down 63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6" name="Drop Down 64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7" name="Drop Down 65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8" name="Drop Down 66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69" name="Drop Down 67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0" name="Drop Down 68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1" name="Drop Down 69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2" name="Drop Down 70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3" name="Drop Down 71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4" name="Drop Down 72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5" name="Drop Down 73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6" name="Drop Down 74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7" name="Drop Down 75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8" name="Drop Down 76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79" name="Drop Down 77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0" name="Drop Down 78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1" name="Drop Down 79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2" name="Drop Down 80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3" name="Drop Down 81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4" name="Drop Down 82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5" name="Drop Down 83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6" name="Drop Down 84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7" name="Drop Down 85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8" name="Drop Down 86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89" name="Drop Down 87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0" name="Drop Down 88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1" name="Drop Down 89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2" name="Drop Down 90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3" name="Drop Down 91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4" name="Drop Down 92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5" name="Drop Down 93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6" name="Drop Down 94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7" name="Drop Down 95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8" name="Drop Down 96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99" name="Drop Down 97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0" name="Drop Down 98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1" name="Drop Down 99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2" name="Drop Down 100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3" name="Drop Down 101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4" name="Drop Down 102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5" name="Drop Down 103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6" name="Drop Down 104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7" name="Drop Down 105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8" name="Drop Down 106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09" name="Check Box 107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733425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0" name="Check Box 108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733425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1" name="Check Box 109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733425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2" name="Check Box 110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733425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3" name="Check Box 111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733425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4" name="Check Box 112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733425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5" name="Check Box 113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733425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6" name="Check Box 114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733425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7" name="Check Box 115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733425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8" name="Check Box 116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733425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19" name="Check Box 117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0" name="Check Box 118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733425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1" name="Check Box 119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2" name="Check Box 120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733425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3" name="Check Box 121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4" name="Check Box 122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733425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5" name="Button 123">
              <controlPr defaultSize="0" print="0" autoFill="0" autoPict="0" macro="[0]!CalculaPdctotalAIndMixta">
                <anchor moveWithCells="1" sizeWithCells="1">
                  <from>
                    <xdr:col>8</xdr:col>
                    <xdr:colOff>76200</xdr:colOff>
                    <xdr:row>39</xdr:row>
                    <xdr:rowOff>219075</xdr:rowOff>
                  </from>
                  <to>
                    <xdr:col>10</xdr:col>
                    <xdr:colOff>209550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94063-951C-4D99-9843-E950B0DF388E}">
  <sheetPr codeName="Hoja21"/>
  <dimension ref="A2:BD22"/>
  <sheetViews>
    <sheetView showGridLines="0" topLeftCell="B1" zoomScale="75" zoomScaleNormal="75" workbookViewId="0">
      <selection activeCell="H19" sqref="H19"/>
    </sheetView>
  </sheetViews>
  <sheetFormatPr baseColWidth="10" defaultRowHeight="12.75" x14ac:dyDescent="0.2"/>
  <cols>
    <col min="1" max="1" width="4" customWidth="1"/>
    <col min="2" max="2" width="4.42578125" customWidth="1"/>
    <col min="15" max="15" width="4" customWidth="1"/>
  </cols>
  <sheetData>
    <row r="2" spans="2:50" ht="9" customHeight="1" x14ac:dyDescent="0.2"/>
    <row r="3" spans="2:50" ht="15.75" x14ac:dyDescent="0.25">
      <c r="B3" s="758" t="s">
        <v>733</v>
      </c>
      <c r="C3" s="758"/>
      <c r="D3" s="758"/>
      <c r="E3" s="758"/>
      <c r="F3" s="758"/>
      <c r="G3" s="758"/>
      <c r="H3" s="758"/>
      <c r="I3" s="758"/>
      <c r="J3" s="758"/>
      <c r="K3" s="758"/>
      <c r="L3" s="758"/>
      <c r="M3" s="758"/>
      <c r="N3" s="758"/>
    </row>
    <row r="4" spans="2:50" x14ac:dyDescent="0.2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75" x14ac:dyDescent="0.25">
      <c r="B5" s="660"/>
      <c r="C5" s="319" t="s">
        <v>587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5" thickBot="1" x14ac:dyDescent="0.3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" x14ac:dyDescent="0.2">
      <c r="B7" s="197"/>
      <c r="C7" s="663" t="s">
        <v>573</v>
      </c>
      <c r="D7" s="664"/>
      <c r="E7" s="664"/>
      <c r="F7" s="664"/>
      <c r="G7" s="665" t="s">
        <v>634</v>
      </c>
      <c r="H7" s="667">
        <v>0.3</v>
      </c>
      <c r="J7" s="490" t="s">
        <v>729</v>
      </c>
      <c r="AJ7" s="3"/>
      <c r="AK7" s="35"/>
      <c r="AT7" s="3"/>
      <c r="AU7" s="3"/>
      <c r="AV7" s="3"/>
      <c r="AW7" s="3"/>
      <c r="AX7" s="3"/>
    </row>
    <row r="8" spans="2:50" ht="15" x14ac:dyDescent="0.2">
      <c r="B8" s="197"/>
      <c r="C8" s="97"/>
      <c r="G8" s="3" t="s">
        <v>574</v>
      </c>
      <c r="H8" s="315">
        <f>H7*Principal!$G$66</f>
        <v>8.3879999999999999</v>
      </c>
      <c r="J8" s="33"/>
      <c r="AJ8" s="3"/>
      <c r="AK8" s="35"/>
      <c r="AT8" s="3"/>
      <c r="AU8" s="3"/>
      <c r="AV8" s="3"/>
      <c r="AW8" s="3"/>
      <c r="AX8" s="3"/>
    </row>
    <row r="9" spans="2:50" ht="15.75" x14ac:dyDescent="0.25">
      <c r="B9" s="197"/>
      <c r="C9" s="97" t="s">
        <v>575</v>
      </c>
      <c r="G9" s="3" t="s">
        <v>574</v>
      </c>
      <c r="H9" s="661">
        <f>H8/Principal!$H$12</f>
        <v>0.83879999999999999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">
      <c r="B10" s="197"/>
      <c r="C10" s="292" t="str">
        <f>IF(AT2=1,"Caudal lado primario","Caudal fluido caloportador")</f>
        <v>Caudal fluido caloportador</v>
      </c>
      <c r="G10" s="3" t="s">
        <v>414</v>
      </c>
      <c r="H10" s="683">
        <v>200</v>
      </c>
      <c r="AJ10" s="3"/>
      <c r="AK10" s="35"/>
      <c r="AT10" s="3"/>
      <c r="AU10" s="3"/>
      <c r="AV10" s="3"/>
      <c r="AW10" s="3"/>
      <c r="AX10" s="3"/>
    </row>
    <row r="11" spans="2:50" ht="15" x14ac:dyDescent="0.2">
      <c r="B11" s="197"/>
      <c r="C11" s="332" t="str">
        <f>IF(AT2=1,"Temp de entrada a intercamb lado primario","Temp. de entrada a intercambiador")</f>
        <v>Temp. de entrada a intercambiador</v>
      </c>
      <c r="D11" s="213"/>
      <c r="E11" s="213"/>
      <c r="F11" s="3"/>
      <c r="G11" s="3" t="s">
        <v>12</v>
      </c>
      <c r="H11" s="523">
        <v>45</v>
      </c>
      <c r="J11" s="33"/>
      <c r="AT11" s="3"/>
      <c r="AU11" s="3"/>
      <c r="AV11" s="3"/>
      <c r="AW11" s="3"/>
      <c r="AX11" s="3"/>
    </row>
    <row r="12" spans="2:50" ht="15.75" thickBot="1" x14ac:dyDescent="0.25">
      <c r="B12" s="197"/>
      <c r="C12" s="428" t="s">
        <v>417</v>
      </c>
      <c r="D12" s="522"/>
      <c r="E12" s="522"/>
      <c r="F12" s="522"/>
      <c r="G12" s="666"/>
      <c r="H12" s="604" t="str">
        <f>IF(CH_AIndMixta!AR35=1,"agua sin aditivos","agua con anticongelante")</f>
        <v>agua sin aditivos</v>
      </c>
      <c r="J12" s="33"/>
      <c r="AT12" s="3"/>
      <c r="AU12" s="3"/>
      <c r="AV12" s="3"/>
      <c r="AW12" s="3"/>
      <c r="AX12" s="3"/>
    </row>
    <row r="13" spans="2:50" x14ac:dyDescent="0.2">
      <c r="B13" s="197"/>
      <c r="J13" s="33"/>
      <c r="AT13" s="3"/>
      <c r="AU13" s="3"/>
      <c r="AV13" s="3"/>
      <c r="AW13" s="3"/>
      <c r="AX13" s="3"/>
    </row>
    <row r="14" spans="2:50" x14ac:dyDescent="0.2">
      <c r="B14" s="197"/>
      <c r="J14" s="33"/>
      <c r="AT14" s="3"/>
      <c r="AU14" s="3"/>
      <c r="AV14" s="3"/>
      <c r="AW14" s="3"/>
      <c r="AX14" s="3"/>
    </row>
    <row r="15" spans="2:50" ht="15.75" x14ac:dyDescent="0.25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75" x14ac:dyDescent="0.25">
      <c r="B16" s="758" t="s">
        <v>588</v>
      </c>
      <c r="C16" s="758"/>
      <c r="D16" s="758"/>
      <c r="E16" s="758"/>
      <c r="F16" s="758"/>
      <c r="G16" s="758"/>
      <c r="H16" s="758"/>
      <c r="I16" s="758"/>
      <c r="J16" s="758"/>
      <c r="K16" s="758"/>
      <c r="L16" s="758"/>
      <c r="M16" s="758"/>
      <c r="N16" s="758"/>
      <c r="O16" s="243"/>
      <c r="P16" s="243"/>
    </row>
    <row r="17" spans="1:56" x14ac:dyDescent="0.2">
      <c r="B17" s="197"/>
      <c r="AX17" s="792"/>
      <c r="AY17" s="792"/>
      <c r="AZ17" s="792"/>
      <c r="BA17" s="792"/>
      <c r="BB17" s="792"/>
      <c r="BC17" s="792"/>
      <c r="BD17" s="792"/>
    </row>
    <row r="18" spans="1:56" ht="15.75" x14ac:dyDescent="0.25">
      <c r="B18" s="197"/>
      <c r="C18" s="627" t="s">
        <v>576</v>
      </c>
      <c r="D18" s="565"/>
      <c r="E18" s="565"/>
      <c r="F18" s="565"/>
      <c r="G18" s="565" t="s">
        <v>558</v>
      </c>
      <c r="H18" s="632">
        <v>16</v>
      </c>
      <c r="I18" s="213"/>
      <c r="J18" s="213"/>
      <c r="K18" s="213"/>
      <c r="L18" s="213"/>
      <c r="M18" s="213"/>
      <c r="AY18" s="3"/>
      <c r="AZ18" s="3"/>
    </row>
    <row r="19" spans="1:56" ht="16.5" thickBot="1" x14ac:dyDescent="0.25">
      <c r="A19" s="5"/>
      <c r="B19" s="197"/>
      <c r="C19" s="668" t="s">
        <v>559</v>
      </c>
      <c r="D19" s="669"/>
      <c r="E19" s="669"/>
      <c r="F19" s="669"/>
      <c r="G19" s="670" t="s">
        <v>560</v>
      </c>
      <c r="H19" s="594">
        <f>H18*25/14.3</f>
        <v>27.97202797202797</v>
      </c>
      <c r="I19" s="197"/>
      <c r="J19" s="662" t="s">
        <v>561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">
      <c r="B20" s="197"/>
      <c r="N20" s="197"/>
      <c r="O20" s="249"/>
      <c r="AA20" s="3"/>
      <c r="AY20" s="3"/>
      <c r="AZ20" s="3"/>
      <c r="BA20" s="3"/>
      <c r="BB20" s="3"/>
    </row>
    <row r="21" spans="1:56" ht="13.5" thickBot="1" x14ac:dyDescent="0.25">
      <c r="B21" s="684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3.5" thickTop="1" x14ac:dyDescent="0.2">
      <c r="B22" s="546" t="s">
        <v>722</v>
      </c>
    </row>
  </sheetData>
  <mergeCells count="3">
    <mergeCell ref="B3:N3"/>
    <mergeCell ref="B16:N16"/>
    <mergeCell ref="AX17:BD17"/>
  </mergeCells>
  <phoneticPr fontId="56" type="noConversion"/>
  <pageMargins left="0.75" right="0.75" top="1" bottom="1" header="0" footer="0"/>
  <pageSetup paperSize="9" scale="9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0AF8B-86FA-4641-9649-20C0A4ECE6A1}">
  <sheetPr codeName="Hoja1">
    <pageSetUpPr fitToPage="1"/>
  </sheetPr>
  <dimension ref="A1:BD119"/>
  <sheetViews>
    <sheetView showGridLines="0" topLeftCell="A12" zoomScale="85" zoomScaleNormal="85" zoomScaleSheetLayoutView="75" workbookViewId="0">
      <selection activeCell="H7" sqref="H7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85546875" customWidth="1"/>
    <col min="5" max="6" width="13.7109375" customWidth="1"/>
    <col min="7" max="8" width="15.42578125" customWidth="1"/>
    <col min="9" max="9" width="18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10.85546875" customWidth="1"/>
    <col min="25" max="25" width="4.5703125" customWidth="1"/>
    <col min="34" max="34" width="0" hidden="1" customWidth="1"/>
    <col min="35" max="35" width="11.425781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21.28515625" hidden="1" customWidth="1"/>
    <col min="56" max="56" width="11.42578125" hidden="1" customWidth="1"/>
  </cols>
  <sheetData>
    <row r="1" spans="1:25" ht="20.25" x14ac:dyDescent="0.3">
      <c r="B1" s="793" t="s">
        <v>723</v>
      </c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1"/>
      <c r="S1" s="791"/>
      <c r="T1" s="791"/>
      <c r="U1" s="791"/>
      <c r="V1" s="791"/>
      <c r="W1" s="791"/>
      <c r="X1" s="791"/>
      <c r="Y1" s="791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724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4" spans="1:25" ht="15.75" x14ac:dyDescent="0.25">
      <c r="C4" s="319" t="s">
        <v>410</v>
      </c>
      <c r="D4" s="294"/>
      <c r="E4" s="294"/>
      <c r="F4" s="294"/>
      <c r="G4" s="294"/>
    </row>
    <row r="5" spans="1:25" ht="15" x14ac:dyDescent="0.2">
      <c r="C5" s="481" t="s">
        <v>411</v>
      </c>
      <c r="D5" s="556"/>
      <c r="E5" s="556"/>
      <c r="F5" s="556"/>
      <c r="G5" s="556"/>
      <c r="H5" s="557">
        <f>Principal!G63</f>
        <v>12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5" ht="15" x14ac:dyDescent="0.2">
      <c r="C7" s="292" t="s">
        <v>415</v>
      </c>
      <c r="D7" s="294"/>
      <c r="E7" s="294"/>
      <c r="F7" s="294"/>
      <c r="G7" s="290" t="s">
        <v>416</v>
      </c>
      <c r="H7" s="523">
        <v>50</v>
      </c>
      <c r="J7" s="407" t="s">
        <v>632</v>
      </c>
    </row>
    <row r="8" spans="1:25" ht="15.75" x14ac:dyDescent="0.25">
      <c r="C8" s="696"/>
      <c r="D8" s="438"/>
      <c r="E8" s="438"/>
      <c r="F8" s="438"/>
      <c r="G8" s="455" t="s">
        <v>414</v>
      </c>
      <c r="H8" s="697">
        <f>H5*H6*H7</f>
        <v>1398</v>
      </c>
      <c r="I8" s="19"/>
    </row>
    <row r="9" spans="1:25" ht="18.75" customHeight="1" x14ac:dyDescent="0.2">
      <c r="C9" s="292" t="s">
        <v>417</v>
      </c>
      <c r="D9" s="294"/>
      <c r="E9" s="294"/>
      <c r="F9" s="294"/>
      <c r="G9" s="294"/>
    </row>
    <row r="10" spans="1:25" ht="18.75" customHeight="1" x14ac:dyDescent="0.2">
      <c r="C10" s="292" t="s">
        <v>422</v>
      </c>
      <c r="D10" s="294"/>
      <c r="E10" s="294"/>
      <c r="F10" s="294"/>
      <c r="G10" s="294"/>
    </row>
    <row r="11" spans="1:25" ht="15.75" customHeight="1" x14ac:dyDescent="0.2">
      <c r="C11" s="436" t="s">
        <v>426</v>
      </c>
      <c r="D11" s="438"/>
      <c r="E11" s="438"/>
      <c r="F11" s="438"/>
      <c r="G11" s="448" t="s">
        <v>425</v>
      </c>
      <c r="H11" s="448" t="str">
        <f>IF(AR25=1, "1,5 - 2", IF(OR(AR25=2,AR25=3), "2,5 - 3"))</f>
        <v>2,5 - 3</v>
      </c>
    </row>
    <row r="12" spans="1:25" ht="15.75" thickBot="1" x14ac:dyDescent="0.25">
      <c r="C12" s="97"/>
      <c r="G12" s="3"/>
      <c r="H12" s="214"/>
      <c r="J12" s="573" t="s">
        <v>432</v>
      </c>
      <c r="K12" s="574"/>
      <c r="L12" s="574"/>
    </row>
    <row r="13" spans="1:25" x14ac:dyDescent="0.2">
      <c r="I13" s="33"/>
      <c r="J13" s="575" t="s">
        <v>380</v>
      </c>
      <c r="K13" s="575" t="s">
        <v>381</v>
      </c>
      <c r="L13" s="575" t="s">
        <v>382</v>
      </c>
    </row>
    <row r="14" spans="1:25" x14ac:dyDescent="0.2">
      <c r="D14" s="290"/>
      <c r="E14" s="290"/>
      <c r="F14" s="294"/>
      <c r="G14" s="294"/>
      <c r="H14" s="294"/>
      <c r="I14" s="294"/>
      <c r="J14" s="548" t="s">
        <v>385</v>
      </c>
      <c r="K14" s="294"/>
      <c r="L14" s="294"/>
      <c r="P14" s="294"/>
      <c r="Q14" s="294"/>
      <c r="R14" s="294"/>
      <c r="S14" s="294"/>
      <c r="T14" s="294"/>
      <c r="U14" s="294"/>
      <c r="V14" s="294"/>
      <c r="W14" s="294"/>
    </row>
    <row r="15" spans="1:25" ht="15.75" x14ac:dyDescent="0.25">
      <c r="C15" s="319" t="s">
        <v>429</v>
      </c>
      <c r="D15" s="290"/>
      <c r="E15" s="290"/>
      <c r="F15" s="294"/>
      <c r="G15" s="294"/>
      <c r="H15" s="294"/>
      <c r="I15" s="316"/>
      <c r="J15" s="293">
        <v>18</v>
      </c>
      <c r="K15" s="293">
        <v>1</v>
      </c>
      <c r="L15" s="290">
        <v>16</v>
      </c>
      <c r="P15" s="294"/>
      <c r="Q15" s="294"/>
      <c r="R15" s="294"/>
      <c r="S15" s="294"/>
      <c r="T15" s="294"/>
      <c r="U15" s="294"/>
      <c r="V15" s="294"/>
      <c r="W15" s="294"/>
    </row>
    <row r="16" spans="1:25" x14ac:dyDescent="0.2">
      <c r="C16" s="408" t="s">
        <v>430</v>
      </c>
      <c r="D16" s="293"/>
      <c r="E16" s="293"/>
      <c r="F16" s="294"/>
      <c r="G16" s="294"/>
      <c r="H16" s="295"/>
      <c r="I16" s="316"/>
      <c r="J16" s="293">
        <v>22</v>
      </c>
      <c r="K16" s="293">
        <v>1</v>
      </c>
      <c r="L16" s="290">
        <v>20</v>
      </c>
      <c r="P16" s="294"/>
      <c r="Q16" s="294"/>
      <c r="R16" s="294"/>
      <c r="S16" s="294"/>
      <c r="T16" s="294"/>
      <c r="U16" s="294"/>
      <c r="V16" s="294"/>
      <c r="W16" s="294"/>
    </row>
    <row r="17" spans="2:55" x14ac:dyDescent="0.2">
      <c r="C17" s="409" t="s">
        <v>431</v>
      </c>
      <c r="D17" s="294"/>
      <c r="E17" s="294"/>
      <c r="F17" s="294"/>
      <c r="G17" s="294"/>
      <c r="H17" s="295"/>
      <c r="I17" s="330"/>
      <c r="J17" s="293">
        <v>28</v>
      </c>
      <c r="K17" s="293">
        <v>1</v>
      </c>
      <c r="L17" s="290">
        <v>26</v>
      </c>
      <c r="P17" s="294"/>
      <c r="Q17" s="294"/>
      <c r="R17" s="294"/>
      <c r="S17" s="294"/>
      <c r="T17" s="294"/>
      <c r="U17" s="294"/>
      <c r="V17" s="294"/>
      <c r="W17" s="294"/>
    </row>
    <row r="18" spans="2:55" x14ac:dyDescent="0.2">
      <c r="B18" s="6"/>
      <c r="C18" s="294"/>
      <c r="D18" s="294"/>
      <c r="E18" s="294"/>
      <c r="F18" s="294"/>
      <c r="G18" s="294"/>
      <c r="H18" s="295"/>
      <c r="I18" s="329"/>
      <c r="J18" s="293">
        <v>35</v>
      </c>
      <c r="K18" s="293">
        <v>1</v>
      </c>
      <c r="L18" s="290">
        <v>33</v>
      </c>
      <c r="P18" s="294"/>
      <c r="Q18" s="294"/>
      <c r="R18" s="294"/>
      <c r="S18" s="294"/>
      <c r="T18" s="294"/>
      <c r="U18" s="294"/>
      <c r="V18" s="294"/>
      <c r="W18" s="294"/>
    </row>
    <row r="19" spans="2:55" x14ac:dyDescent="0.2">
      <c r="B19" s="6"/>
      <c r="C19" s="294"/>
      <c r="D19" s="294"/>
      <c r="E19" s="294"/>
      <c r="F19" s="294"/>
      <c r="G19" s="294"/>
      <c r="H19" s="295"/>
      <c r="I19" s="316"/>
      <c r="J19" s="293">
        <v>42</v>
      </c>
      <c r="K19" s="293">
        <v>1</v>
      </c>
      <c r="L19" s="290">
        <v>40</v>
      </c>
      <c r="P19" s="294"/>
      <c r="Q19" s="294"/>
      <c r="R19" s="294"/>
      <c r="S19" s="294"/>
      <c r="T19" s="294"/>
      <c r="U19" s="294"/>
      <c r="V19" s="294"/>
      <c r="W19" s="294"/>
    </row>
    <row r="20" spans="2:55" ht="13.5" thickBot="1" x14ac:dyDescent="0.25">
      <c r="C20" s="294"/>
      <c r="D20" s="294"/>
      <c r="E20" s="294"/>
      <c r="F20" s="294"/>
      <c r="G20" s="294"/>
      <c r="H20" s="294"/>
      <c r="I20" s="294"/>
      <c r="J20" s="576">
        <v>54</v>
      </c>
      <c r="K20" s="576">
        <v>1.2</v>
      </c>
      <c r="L20" s="558">
        <v>51.6</v>
      </c>
      <c r="P20" s="294"/>
      <c r="Q20" s="294"/>
      <c r="R20" s="294"/>
      <c r="S20" s="294"/>
      <c r="T20" s="294"/>
      <c r="U20" s="294"/>
      <c r="V20" s="294"/>
      <c r="W20" s="294"/>
      <c r="AI20" s="785" t="s">
        <v>421</v>
      </c>
      <c r="AJ20" s="786"/>
      <c r="AK20" s="786"/>
      <c r="AL20" s="786"/>
      <c r="AM20" s="786"/>
      <c r="AN20" s="786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87" t="s">
        <v>443</v>
      </c>
      <c r="M22" s="787"/>
      <c r="N22" s="787"/>
      <c r="O22" s="787"/>
      <c r="P22" s="787"/>
      <c r="Q22" s="787"/>
      <c r="R22" s="787"/>
      <c r="S22" s="787"/>
      <c r="T22" s="787"/>
      <c r="U22" s="787"/>
      <c r="V22" s="565" t="s">
        <v>446</v>
      </c>
      <c r="W22" s="565" t="s">
        <v>447</v>
      </c>
      <c r="X22" s="565" t="s">
        <v>611</v>
      </c>
      <c r="AI22" s="221"/>
      <c r="AK22" s="788" t="s">
        <v>420</v>
      </c>
      <c r="AL22" s="788"/>
      <c r="AM22" s="788"/>
      <c r="AN22" s="788"/>
      <c r="AO22" s="788"/>
      <c r="AP22" s="789"/>
      <c r="AQ22" s="2"/>
      <c r="BC22" s="220"/>
    </row>
    <row r="23" spans="2:55" ht="24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612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/>
      <c r="D24" s="562"/>
      <c r="E24" s="595"/>
      <c r="F24" s="563"/>
      <c r="G24" s="364">
        <f t="shared" ref="G24:G39" si="0">IF(AU25=1,0,INDEX($AJ$42:$AJ$48,$AU25,1)-2*INDEX($AK$42:$AK$48,$AU25,1))</f>
        <v>0</v>
      </c>
      <c r="H24" s="703">
        <f t="shared" ref="H24:H39" si="1">IF(AU25=1,0,0.354*E24/(G24^2))</f>
        <v>0</v>
      </c>
      <c r="I24" s="704">
        <f t="shared" ref="I24:I39" si="2">IF(AU25=1,0,INDEX($AK$37:$AK$38,$AR$35,1)*378*(E24^1.75)/(G24^4.75))</f>
        <v>0</v>
      </c>
      <c r="J24" s="364">
        <f t="shared" ref="J24:J39" si="3">IF(AU25=1,0,IF(OR($AR$25=1,$AR$25=2),INDEX($AM$42:$AM$48,$AU25,1),IF($AR$25=3,INDEX($AM$42:$AM$48,$AU25,1)+10)))</f>
        <v>0</v>
      </c>
      <c r="K24" s="595"/>
      <c r="L24" s="563"/>
      <c r="M24" s="595"/>
      <c r="N24" s="563"/>
      <c r="O24" s="595"/>
      <c r="P24" s="563"/>
      <c r="Q24" s="595"/>
      <c r="R24" s="563"/>
      <c r="S24" s="595"/>
      <c r="T24" s="563"/>
      <c r="U24" s="595"/>
      <c r="V24" s="364">
        <f t="shared" ref="V24:V39" si="4">IF(AU25=1,0, INDEX($AK$25:$AP$33,$AV25,$AU25-1)*M24+INDEX($AK$25:$AP$33,$AW25,$AU25-1)*O24+INDEX($AK$25:$AP$33,$AX25,$AU25-1)*Q24+INDEX($AK$25:$AP$33,$AY25,$AU25-1)*S24+INDEX($AK$25:$AP$33,$AZ25,$AU25-1)*U24+INDEX($AK$25:$AP$33,$BA25,$AU25-1)*AK80+INDEX($AK$25:$AP$33,$BB25,$AU25-1)*AM80)</f>
        <v>0</v>
      </c>
      <c r="W24" s="364">
        <f t="shared" ref="W24:W39" si="5">K24+V24</f>
        <v>0</v>
      </c>
      <c r="X24" s="704">
        <f t="shared" ref="X24:X39" si="6">I24*W24</f>
        <v>0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83" t="s">
        <v>418</v>
      </c>
      <c r="AW24" s="783"/>
      <c r="AX24" s="783"/>
      <c r="AY24" s="783"/>
      <c r="AZ24" s="783"/>
      <c r="BA24" s="783"/>
      <c r="BB24" s="784"/>
      <c r="BC24" s="220"/>
    </row>
    <row r="25" spans="2:55" ht="18" customHeight="1" x14ac:dyDescent="0.2">
      <c r="C25" s="595"/>
      <c r="D25" s="562"/>
      <c r="E25" s="595"/>
      <c r="F25" s="563"/>
      <c r="G25" s="364">
        <f t="shared" si="0"/>
        <v>0</v>
      </c>
      <c r="H25" s="703">
        <f t="shared" si="1"/>
        <v>0</v>
      </c>
      <c r="I25" s="704">
        <f t="shared" si="2"/>
        <v>0</v>
      </c>
      <c r="J25" s="364">
        <f t="shared" si="3"/>
        <v>0</v>
      </c>
      <c r="K25" s="595"/>
      <c r="L25" s="563"/>
      <c r="M25" s="595"/>
      <c r="N25" s="563"/>
      <c r="O25" s="595"/>
      <c r="P25" s="563"/>
      <c r="Q25" s="595"/>
      <c r="R25" s="563"/>
      <c r="S25" s="595"/>
      <c r="T25" s="563"/>
      <c r="U25" s="595"/>
      <c r="V25" s="364">
        <f t="shared" si="4"/>
        <v>0</v>
      </c>
      <c r="W25" s="364">
        <f t="shared" si="5"/>
        <v>0</v>
      </c>
      <c r="X25" s="704">
        <f t="shared" si="6"/>
        <v>0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>
        <f t="shared" ref="AT25:AT40" si="7">C24</f>
        <v>0</v>
      </c>
      <c r="AU25" s="299">
        <v>1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65" t="b">
        <v>0</v>
      </c>
    </row>
    <row r="26" spans="2:55" ht="18" customHeight="1" x14ac:dyDescent="0.2">
      <c r="C26" s="595"/>
      <c r="D26" s="562"/>
      <c r="E26" s="595"/>
      <c r="F26" s="563"/>
      <c r="G26" s="364">
        <f t="shared" si="0"/>
        <v>0</v>
      </c>
      <c r="H26" s="703">
        <f t="shared" si="1"/>
        <v>0</v>
      </c>
      <c r="I26" s="704">
        <f t="shared" si="2"/>
        <v>0</v>
      </c>
      <c r="J26" s="364">
        <f t="shared" si="3"/>
        <v>0</v>
      </c>
      <c r="K26" s="595"/>
      <c r="L26" s="563"/>
      <c r="M26" s="595"/>
      <c r="N26" s="563"/>
      <c r="O26" s="595"/>
      <c r="P26" s="563"/>
      <c r="Q26" s="595"/>
      <c r="R26" s="563"/>
      <c r="S26" s="595"/>
      <c r="T26" s="563"/>
      <c r="U26" s="595"/>
      <c r="V26" s="364">
        <f t="shared" si="4"/>
        <v>0</v>
      </c>
      <c r="W26" s="364">
        <f t="shared" si="5"/>
        <v>0</v>
      </c>
      <c r="X26" s="704">
        <f t="shared" si="6"/>
        <v>0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65" t="b">
        <v>0</v>
      </c>
    </row>
    <row r="27" spans="2:55" ht="18" customHeight="1" x14ac:dyDescent="0.2">
      <c r="C27" s="595"/>
      <c r="D27" s="562"/>
      <c r="E27" s="595"/>
      <c r="F27" s="563"/>
      <c r="G27" s="364">
        <f t="shared" si="0"/>
        <v>0</v>
      </c>
      <c r="H27" s="703">
        <f t="shared" si="1"/>
        <v>0</v>
      </c>
      <c r="I27" s="704">
        <f t="shared" si="2"/>
        <v>0</v>
      </c>
      <c r="J27" s="364">
        <f t="shared" si="3"/>
        <v>0</v>
      </c>
      <c r="K27" s="595"/>
      <c r="L27" s="563"/>
      <c r="M27" s="595"/>
      <c r="N27" s="563"/>
      <c r="O27" s="595"/>
      <c r="P27" s="563"/>
      <c r="Q27" s="595"/>
      <c r="R27" s="563"/>
      <c r="S27" s="595"/>
      <c r="T27" s="563"/>
      <c r="U27" s="595"/>
      <c r="V27" s="364">
        <f t="shared" si="4"/>
        <v>0</v>
      </c>
      <c r="W27" s="364">
        <f t="shared" si="5"/>
        <v>0</v>
      </c>
      <c r="X27" s="704">
        <f t="shared" si="6"/>
        <v>0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65" t="b">
        <v>0</v>
      </c>
    </row>
    <row r="28" spans="2:55" ht="18" customHeight="1" x14ac:dyDescent="0.2">
      <c r="C28" s="595"/>
      <c r="D28" s="562"/>
      <c r="E28" s="595"/>
      <c r="F28" s="563"/>
      <c r="G28" s="364">
        <f t="shared" si="0"/>
        <v>0</v>
      </c>
      <c r="H28" s="703">
        <f t="shared" si="1"/>
        <v>0</v>
      </c>
      <c r="I28" s="704">
        <f t="shared" si="2"/>
        <v>0</v>
      </c>
      <c r="J28" s="364">
        <f t="shared" si="3"/>
        <v>0</v>
      </c>
      <c r="K28" s="595"/>
      <c r="L28" s="563"/>
      <c r="M28" s="595"/>
      <c r="N28" s="563"/>
      <c r="O28" s="595"/>
      <c r="P28" s="563"/>
      <c r="Q28" s="595"/>
      <c r="R28" s="563"/>
      <c r="S28" s="595"/>
      <c r="T28" s="563"/>
      <c r="U28" s="595"/>
      <c r="V28" s="364">
        <f t="shared" si="4"/>
        <v>0</v>
      </c>
      <c r="W28" s="364">
        <f t="shared" si="5"/>
        <v>0</v>
      </c>
      <c r="X28" s="704">
        <f t="shared" si="6"/>
        <v>0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65" t="b">
        <v>0</v>
      </c>
    </row>
    <row r="29" spans="2:55" s="105" customFormat="1" ht="18" customHeight="1" x14ac:dyDescent="0.2">
      <c r="C29" s="595"/>
      <c r="D29" s="562"/>
      <c r="E29" s="595"/>
      <c r="F29" s="563"/>
      <c r="G29" s="364">
        <f t="shared" si="0"/>
        <v>0</v>
      </c>
      <c r="H29" s="703">
        <f t="shared" si="1"/>
        <v>0</v>
      </c>
      <c r="I29" s="704">
        <f t="shared" si="2"/>
        <v>0</v>
      </c>
      <c r="J29" s="364">
        <f t="shared" si="3"/>
        <v>0</v>
      </c>
      <c r="K29" s="595"/>
      <c r="L29" s="563"/>
      <c r="M29" s="595"/>
      <c r="N29" s="563"/>
      <c r="O29" s="595"/>
      <c r="P29" s="563"/>
      <c r="Q29" s="595"/>
      <c r="R29" s="563"/>
      <c r="S29" s="595"/>
      <c r="T29" s="563"/>
      <c r="U29" s="595"/>
      <c r="V29" s="364">
        <f t="shared" si="4"/>
        <v>0</v>
      </c>
      <c r="W29" s="364">
        <f t="shared" si="5"/>
        <v>0</v>
      </c>
      <c r="X29" s="704">
        <f t="shared" si="6"/>
        <v>0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309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66" t="b">
        <v>0</v>
      </c>
    </row>
    <row r="30" spans="2:55" s="105" customFormat="1" ht="18" customHeight="1" x14ac:dyDescent="0.2">
      <c r="C30" s="561"/>
      <c r="D30" s="562"/>
      <c r="E30" s="561"/>
      <c r="F30" s="563"/>
      <c r="G30" s="364">
        <f t="shared" si="0"/>
        <v>0</v>
      </c>
      <c r="H30" s="703">
        <f t="shared" si="1"/>
        <v>0</v>
      </c>
      <c r="I30" s="704">
        <f t="shared" si="2"/>
        <v>0</v>
      </c>
      <c r="J30" s="364">
        <f t="shared" si="3"/>
        <v>0</v>
      </c>
      <c r="K30" s="561"/>
      <c r="L30" s="563"/>
      <c r="M30" s="595"/>
      <c r="N30" s="563"/>
      <c r="O30" s="595"/>
      <c r="P30" s="563"/>
      <c r="Q30" s="595"/>
      <c r="R30" s="563"/>
      <c r="S30" s="595"/>
      <c r="T30" s="563"/>
      <c r="U30" s="595"/>
      <c r="V30" s="364">
        <f t="shared" si="4"/>
        <v>0</v>
      </c>
      <c r="W30" s="364">
        <f t="shared" si="5"/>
        <v>0</v>
      </c>
      <c r="X30" s="704">
        <f t="shared" si="6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309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66" t="b">
        <v>0</v>
      </c>
    </row>
    <row r="31" spans="2:55" s="105" customFormat="1" ht="18" customHeight="1" x14ac:dyDescent="0.2">
      <c r="C31" s="561"/>
      <c r="D31" s="562"/>
      <c r="E31" s="561"/>
      <c r="F31" s="563"/>
      <c r="G31" s="364">
        <f t="shared" si="0"/>
        <v>0</v>
      </c>
      <c r="H31" s="703">
        <f t="shared" si="1"/>
        <v>0</v>
      </c>
      <c r="I31" s="704">
        <f t="shared" si="2"/>
        <v>0</v>
      </c>
      <c r="J31" s="364">
        <f t="shared" si="3"/>
        <v>0</v>
      </c>
      <c r="K31" s="561"/>
      <c r="L31" s="563"/>
      <c r="M31" s="595"/>
      <c r="N31" s="563"/>
      <c r="O31" s="595"/>
      <c r="P31" s="563"/>
      <c r="Q31" s="595"/>
      <c r="R31" s="563"/>
      <c r="S31" s="595"/>
      <c r="T31" s="563"/>
      <c r="U31" s="595"/>
      <c r="V31" s="364">
        <f t="shared" si="4"/>
        <v>0</v>
      </c>
      <c r="W31" s="364">
        <f t="shared" si="5"/>
        <v>0</v>
      </c>
      <c r="X31" s="704">
        <f t="shared" si="6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66" t="b">
        <v>0</v>
      </c>
    </row>
    <row r="32" spans="2:55" s="105" customFormat="1" ht="18" customHeight="1" x14ac:dyDescent="0.2">
      <c r="C32" s="561"/>
      <c r="D32" s="562"/>
      <c r="E32" s="561"/>
      <c r="F32" s="563"/>
      <c r="G32" s="364">
        <f t="shared" si="0"/>
        <v>0</v>
      </c>
      <c r="H32" s="703">
        <f t="shared" si="1"/>
        <v>0</v>
      </c>
      <c r="I32" s="704">
        <f t="shared" si="2"/>
        <v>0</v>
      </c>
      <c r="J32" s="364">
        <f t="shared" si="3"/>
        <v>0</v>
      </c>
      <c r="K32" s="561"/>
      <c r="L32" s="563"/>
      <c r="M32" s="595"/>
      <c r="N32" s="563"/>
      <c r="O32" s="595"/>
      <c r="P32" s="563"/>
      <c r="Q32" s="595"/>
      <c r="R32" s="563"/>
      <c r="S32" s="595"/>
      <c r="T32" s="563"/>
      <c r="U32" s="595"/>
      <c r="V32" s="364">
        <f t="shared" si="4"/>
        <v>0</v>
      </c>
      <c r="W32" s="364">
        <f t="shared" si="5"/>
        <v>0</v>
      </c>
      <c r="X32" s="704">
        <f t="shared" si="6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66" t="b">
        <v>0</v>
      </c>
    </row>
    <row r="33" spans="2:55" ht="18" customHeight="1" x14ac:dyDescent="0.2">
      <c r="C33" s="561"/>
      <c r="D33" s="562"/>
      <c r="E33" s="561"/>
      <c r="F33" s="563"/>
      <c r="G33" s="364">
        <f t="shared" si="0"/>
        <v>0</v>
      </c>
      <c r="H33" s="703">
        <f t="shared" si="1"/>
        <v>0</v>
      </c>
      <c r="I33" s="704">
        <f t="shared" si="2"/>
        <v>0</v>
      </c>
      <c r="J33" s="364">
        <f t="shared" si="3"/>
        <v>0</v>
      </c>
      <c r="K33" s="561"/>
      <c r="L33" s="563"/>
      <c r="M33" s="595"/>
      <c r="N33" s="563"/>
      <c r="O33" s="595"/>
      <c r="P33" s="563"/>
      <c r="Q33" s="595"/>
      <c r="R33" s="563"/>
      <c r="S33" s="595"/>
      <c r="T33" s="563"/>
      <c r="U33" s="595"/>
      <c r="V33" s="364">
        <f t="shared" si="4"/>
        <v>0</v>
      </c>
      <c r="W33" s="364">
        <f t="shared" si="5"/>
        <v>0</v>
      </c>
      <c r="X33" s="704">
        <f t="shared" si="6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65" t="b">
        <v>0</v>
      </c>
    </row>
    <row r="34" spans="2:55" ht="18" customHeight="1" x14ac:dyDescent="0.2">
      <c r="C34" s="561"/>
      <c r="D34" s="562"/>
      <c r="E34" s="561"/>
      <c r="F34" s="563"/>
      <c r="G34" s="364">
        <f t="shared" si="0"/>
        <v>0</v>
      </c>
      <c r="H34" s="703">
        <f t="shared" si="1"/>
        <v>0</v>
      </c>
      <c r="I34" s="704">
        <f t="shared" si="2"/>
        <v>0</v>
      </c>
      <c r="J34" s="364">
        <f t="shared" si="3"/>
        <v>0</v>
      </c>
      <c r="K34" s="561"/>
      <c r="L34" s="563"/>
      <c r="M34" s="595"/>
      <c r="N34" s="563"/>
      <c r="O34" s="595"/>
      <c r="P34" s="563"/>
      <c r="Q34" s="595"/>
      <c r="R34" s="563"/>
      <c r="S34" s="595"/>
      <c r="T34" s="563"/>
      <c r="U34" s="595"/>
      <c r="V34" s="364">
        <f t="shared" si="4"/>
        <v>0</v>
      </c>
      <c r="W34" s="364">
        <f t="shared" si="5"/>
        <v>0</v>
      </c>
      <c r="X34" s="704">
        <f t="shared" si="6"/>
        <v>0</v>
      </c>
      <c r="AI34" s="221"/>
      <c r="AR34" s="199" t="s">
        <v>398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65" t="b">
        <v>0</v>
      </c>
    </row>
    <row r="35" spans="2:55" ht="18" customHeight="1" x14ac:dyDescent="0.2">
      <c r="C35" s="561"/>
      <c r="D35" s="562"/>
      <c r="E35" s="561"/>
      <c r="F35" s="563"/>
      <c r="G35" s="364">
        <f t="shared" si="0"/>
        <v>0</v>
      </c>
      <c r="H35" s="703">
        <f t="shared" si="1"/>
        <v>0</v>
      </c>
      <c r="I35" s="704">
        <f t="shared" si="2"/>
        <v>0</v>
      </c>
      <c r="J35" s="364">
        <f t="shared" si="3"/>
        <v>0</v>
      </c>
      <c r="K35" s="561"/>
      <c r="L35" s="563"/>
      <c r="M35" s="595"/>
      <c r="N35" s="563"/>
      <c r="O35" s="595"/>
      <c r="P35" s="563"/>
      <c r="Q35" s="595"/>
      <c r="R35" s="563"/>
      <c r="S35" s="595"/>
      <c r="T35" s="563"/>
      <c r="U35" s="595"/>
      <c r="V35" s="364">
        <f t="shared" si="4"/>
        <v>0</v>
      </c>
      <c r="W35" s="364">
        <f t="shared" si="5"/>
        <v>0</v>
      </c>
      <c r="X35" s="704">
        <f t="shared" si="6"/>
        <v>0</v>
      </c>
      <c r="AI35" s="221"/>
      <c r="AJ35" s="200" t="s">
        <v>377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65" t="b">
        <v>0</v>
      </c>
    </row>
    <row r="36" spans="2:55" ht="18" customHeight="1" x14ac:dyDescent="0.2">
      <c r="C36" s="561"/>
      <c r="D36" s="562"/>
      <c r="E36" s="561"/>
      <c r="F36" s="563"/>
      <c r="G36" s="364">
        <f t="shared" si="0"/>
        <v>0</v>
      </c>
      <c r="H36" s="703">
        <f t="shared" si="1"/>
        <v>0</v>
      </c>
      <c r="I36" s="704">
        <f t="shared" si="2"/>
        <v>0</v>
      </c>
      <c r="J36" s="364">
        <f t="shared" si="3"/>
        <v>0</v>
      </c>
      <c r="K36" s="561"/>
      <c r="L36" s="563"/>
      <c r="M36" s="595"/>
      <c r="N36" s="563"/>
      <c r="O36" s="595"/>
      <c r="P36" s="563"/>
      <c r="Q36" s="595"/>
      <c r="R36" s="563"/>
      <c r="S36" s="595"/>
      <c r="T36" s="563"/>
      <c r="U36" s="595"/>
      <c r="V36" s="364">
        <f t="shared" si="4"/>
        <v>0</v>
      </c>
      <c r="W36" s="364">
        <f t="shared" si="5"/>
        <v>0</v>
      </c>
      <c r="X36" s="704">
        <f t="shared" si="6"/>
        <v>0</v>
      </c>
      <c r="AI36" s="221"/>
      <c r="AJ36" s="169" t="s">
        <v>378</v>
      </c>
      <c r="AK36" s="120" t="s">
        <v>379</v>
      </c>
      <c r="AR36" s="258" t="s">
        <v>493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65" t="b">
        <v>0</v>
      </c>
    </row>
    <row r="37" spans="2:55" ht="18" customHeight="1" x14ac:dyDescent="0.2">
      <c r="C37" s="561"/>
      <c r="D37" s="562"/>
      <c r="E37" s="561"/>
      <c r="F37" s="563"/>
      <c r="G37" s="364">
        <f t="shared" si="0"/>
        <v>0</v>
      </c>
      <c r="H37" s="703">
        <f t="shared" si="1"/>
        <v>0</v>
      </c>
      <c r="I37" s="704">
        <f t="shared" si="2"/>
        <v>0</v>
      </c>
      <c r="J37" s="364">
        <f t="shared" si="3"/>
        <v>0</v>
      </c>
      <c r="K37" s="561"/>
      <c r="L37" s="563"/>
      <c r="M37" s="595"/>
      <c r="N37" s="563"/>
      <c r="O37" s="595"/>
      <c r="P37" s="563"/>
      <c r="Q37" s="595"/>
      <c r="R37" s="563"/>
      <c r="S37" s="595"/>
      <c r="T37" s="563"/>
      <c r="U37" s="595"/>
      <c r="V37" s="364">
        <f t="shared" si="4"/>
        <v>0</v>
      </c>
      <c r="W37" s="364">
        <f t="shared" si="5"/>
        <v>0</v>
      </c>
      <c r="X37" s="704">
        <f t="shared" si="6"/>
        <v>0</v>
      </c>
      <c r="AI37" s="221"/>
      <c r="AJ37" s="98" t="s">
        <v>493</v>
      </c>
      <c r="AK37" s="178">
        <v>1</v>
      </c>
      <c r="AR37" s="258" t="s">
        <v>494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65" t="b">
        <v>0</v>
      </c>
    </row>
    <row r="38" spans="2:55" ht="18" customHeight="1" x14ac:dyDescent="0.2">
      <c r="C38" s="561"/>
      <c r="D38" s="562"/>
      <c r="E38" s="561"/>
      <c r="F38" s="563"/>
      <c r="G38" s="364">
        <f t="shared" si="0"/>
        <v>0</v>
      </c>
      <c r="H38" s="703">
        <f t="shared" si="1"/>
        <v>0</v>
      </c>
      <c r="I38" s="704">
        <f t="shared" si="2"/>
        <v>0</v>
      </c>
      <c r="J38" s="364">
        <f t="shared" si="3"/>
        <v>0</v>
      </c>
      <c r="K38" s="561"/>
      <c r="L38" s="563"/>
      <c r="M38" s="595"/>
      <c r="N38" s="563"/>
      <c r="O38" s="595"/>
      <c r="P38" s="563"/>
      <c r="Q38" s="595"/>
      <c r="R38" s="563"/>
      <c r="S38" s="595"/>
      <c r="T38" s="563"/>
      <c r="U38" s="595"/>
      <c r="V38" s="364">
        <f t="shared" si="4"/>
        <v>0</v>
      </c>
      <c r="W38" s="364">
        <f t="shared" si="5"/>
        <v>0</v>
      </c>
      <c r="X38" s="704">
        <f t="shared" si="6"/>
        <v>0</v>
      </c>
      <c r="AI38" s="221"/>
      <c r="AJ38" s="100" t="s">
        <v>495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65" t="b">
        <v>0</v>
      </c>
    </row>
    <row r="39" spans="2:55" ht="18" customHeight="1" x14ac:dyDescent="0.2">
      <c r="C39" s="570"/>
      <c r="D39" s="571"/>
      <c r="E39" s="570"/>
      <c r="F39" s="572"/>
      <c r="G39" s="709">
        <f t="shared" si="0"/>
        <v>0</v>
      </c>
      <c r="H39" s="710">
        <f t="shared" si="1"/>
        <v>0</v>
      </c>
      <c r="I39" s="711">
        <f t="shared" si="2"/>
        <v>0</v>
      </c>
      <c r="J39" s="709">
        <f t="shared" si="3"/>
        <v>0</v>
      </c>
      <c r="K39" s="570"/>
      <c r="L39" s="572"/>
      <c r="M39" s="712"/>
      <c r="N39" s="572"/>
      <c r="O39" s="613"/>
      <c r="P39" s="572"/>
      <c r="Q39" s="613"/>
      <c r="R39" s="572"/>
      <c r="S39" s="613"/>
      <c r="T39" s="572"/>
      <c r="U39" s="613"/>
      <c r="V39" s="709">
        <f t="shared" si="4"/>
        <v>0</v>
      </c>
      <c r="W39" s="709">
        <f t="shared" si="5"/>
        <v>0</v>
      </c>
      <c r="X39" s="711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65" t="b">
        <v>0</v>
      </c>
    </row>
    <row r="40" spans="2:55" ht="18" customHeight="1" x14ac:dyDescent="0.2">
      <c r="L40" s="577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65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578"/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580" t="s">
        <v>486</v>
      </c>
      <c r="D43" s="438"/>
      <c r="E43" s="438"/>
      <c r="F43" s="438"/>
      <c r="G43" s="438"/>
      <c r="H43" s="24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 t="s">
        <v>449</v>
      </c>
      <c r="D44" s="294"/>
      <c r="E44" s="294"/>
      <c r="F44" s="294"/>
      <c r="G44" s="294"/>
      <c r="J44" s="316"/>
      <c r="K44" s="294"/>
      <c r="L44" s="294"/>
      <c r="M44" s="294"/>
      <c r="N44" s="294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292" t="s">
        <v>450</v>
      </c>
      <c r="D45" s="294"/>
      <c r="E45" s="294"/>
      <c r="F45" s="294"/>
      <c r="G45" s="290" t="s">
        <v>605</v>
      </c>
      <c r="H45" s="579"/>
      <c r="J45" s="347" t="s">
        <v>453</v>
      </c>
      <c r="K45" s="294"/>
      <c r="L45" s="294"/>
      <c r="M45" s="294"/>
      <c r="N45" s="294"/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436" t="s">
        <v>451</v>
      </c>
      <c r="D46" s="438"/>
      <c r="E46" s="438"/>
      <c r="F46" s="438"/>
      <c r="G46" s="448" t="s">
        <v>614</v>
      </c>
      <c r="H46" s="581"/>
      <c r="J46" s="347" t="s">
        <v>454</v>
      </c>
      <c r="K46" s="294"/>
      <c r="L46" s="294"/>
      <c r="M46" s="294"/>
      <c r="N46" s="294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452</v>
      </c>
      <c r="D47" s="294"/>
      <c r="E47" s="294"/>
      <c r="F47" s="294"/>
      <c r="G47" s="290"/>
      <c r="H47" s="334"/>
      <c r="J47" s="375"/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487</v>
      </c>
      <c r="D48" s="294"/>
      <c r="E48" s="294"/>
      <c r="F48" s="294"/>
      <c r="G48" s="290" t="s">
        <v>605</v>
      </c>
      <c r="H48" s="549">
        <f>H41+H45+H46/1000</f>
        <v>0</v>
      </c>
      <c r="J48" s="37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thickBot="1" x14ac:dyDescent="0.25">
      <c r="B49" s="197"/>
      <c r="C49" s="428" t="s">
        <v>692</v>
      </c>
      <c r="D49" s="427"/>
      <c r="E49" s="427"/>
      <c r="F49" s="427"/>
      <c r="G49" s="558" t="s">
        <v>30</v>
      </c>
      <c r="H49" s="582"/>
      <c r="J49" s="37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x14ac:dyDescent="0.2">
      <c r="B50" s="197"/>
      <c r="C50" s="294"/>
      <c r="D50" s="294"/>
      <c r="E50" s="294"/>
      <c r="F50" s="294"/>
      <c r="G50" s="294"/>
      <c r="H50" s="105"/>
      <c r="J50" s="375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580" t="s">
        <v>473</v>
      </c>
      <c r="D51" s="438"/>
      <c r="E51" s="438"/>
      <c r="F51" s="438"/>
      <c r="G51" s="438"/>
      <c r="H51" s="583"/>
      <c r="J51" s="375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">
      <c r="B52" s="197"/>
      <c r="C52" s="292" t="s">
        <v>438</v>
      </c>
      <c r="D52" s="294"/>
      <c r="E52" s="294"/>
      <c r="F52" s="294"/>
      <c r="G52" s="290" t="s">
        <v>414</v>
      </c>
      <c r="H52" s="550">
        <f>H8</f>
        <v>1398</v>
      </c>
      <c r="J52" s="375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6.5" thickBot="1" x14ac:dyDescent="0.25">
      <c r="B53" s="197"/>
      <c r="C53" s="428" t="s">
        <v>472</v>
      </c>
      <c r="D53" s="427"/>
      <c r="E53" s="427"/>
      <c r="F53" s="427"/>
      <c r="G53" s="558" t="s">
        <v>605</v>
      </c>
      <c r="H53" s="584">
        <f>H48+H49</f>
        <v>0</v>
      </c>
      <c r="J53" s="375"/>
      <c r="L53" s="589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J54" s="375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580" t="s">
        <v>456</v>
      </c>
      <c r="D55" s="438"/>
      <c r="E55" s="438"/>
      <c r="F55" s="244"/>
      <c r="G55" s="244"/>
      <c r="J55" s="375"/>
      <c r="AI55" s="221"/>
      <c r="AT55" s="3"/>
      <c r="AU55" s="3"/>
      <c r="AV55" s="3"/>
      <c r="AW55" s="3"/>
      <c r="AX55" s="3"/>
      <c r="BC55" s="220"/>
    </row>
    <row r="56" spans="2:55" ht="15" x14ac:dyDescent="0.2">
      <c r="B56" s="197"/>
      <c r="C56" s="441" t="s">
        <v>457</v>
      </c>
      <c r="D56" s="443"/>
      <c r="E56" s="443"/>
      <c r="F56" s="585"/>
      <c r="G56" s="585"/>
      <c r="J56" s="375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75"/>
      <c r="AT57" s="3"/>
      <c r="AU57" s="3"/>
      <c r="AV57" s="3"/>
      <c r="AW57" s="3"/>
      <c r="AX57" s="3"/>
    </row>
    <row r="58" spans="2:55" ht="12.75" customHeight="1" x14ac:dyDescent="0.2">
      <c r="B58" s="197"/>
      <c r="C58" s="551" t="s">
        <v>458</v>
      </c>
      <c r="D58" s="560" t="s">
        <v>465</v>
      </c>
      <c r="E58" s="333" t="s">
        <v>466</v>
      </c>
      <c r="F58" s="290" t="s">
        <v>461</v>
      </c>
      <c r="G58" s="290" t="s">
        <v>462</v>
      </c>
      <c r="J58" s="375"/>
      <c r="AT58" s="3"/>
      <c r="AU58" s="3"/>
      <c r="AV58" s="3"/>
      <c r="AW58" s="3"/>
      <c r="AX58" s="3"/>
    </row>
    <row r="59" spans="2:55" x14ac:dyDescent="0.2">
      <c r="B59" s="197"/>
      <c r="C59" s="552">
        <v>18</v>
      </c>
      <c r="D59" s="654"/>
      <c r="E59" s="35">
        <v>16</v>
      </c>
      <c r="F59" s="10">
        <f t="shared" ref="F59:F64" si="8">(PI()*E59^2)/(4*1000)</f>
        <v>0.20106192982974677</v>
      </c>
      <c r="G59" s="713">
        <f t="shared" ref="G59:G64" si="9">D59*F59</f>
        <v>0</v>
      </c>
      <c r="J59" s="375"/>
      <c r="AT59" s="3"/>
      <c r="AU59" s="3"/>
      <c r="AV59" s="3"/>
      <c r="AW59" s="3"/>
      <c r="AX59" s="3"/>
    </row>
    <row r="60" spans="2:55" x14ac:dyDescent="0.2">
      <c r="B60" s="197"/>
      <c r="C60" s="552">
        <v>22</v>
      </c>
      <c r="D60" s="654"/>
      <c r="E60" s="35">
        <v>20</v>
      </c>
      <c r="F60" s="10">
        <f t="shared" si="8"/>
        <v>0.31415926535897931</v>
      </c>
      <c r="G60" s="713">
        <f t="shared" si="9"/>
        <v>0</v>
      </c>
      <c r="J60" s="490" t="s">
        <v>478</v>
      </c>
      <c r="AT60" s="3"/>
      <c r="AU60" s="3"/>
      <c r="AV60" s="3"/>
      <c r="AW60" s="3"/>
      <c r="AX60" s="3"/>
    </row>
    <row r="61" spans="2:55" x14ac:dyDescent="0.2">
      <c r="B61" s="197"/>
      <c r="C61" s="552">
        <v>28</v>
      </c>
      <c r="D61" s="654"/>
      <c r="E61" s="35">
        <v>26</v>
      </c>
      <c r="F61" s="10">
        <f t="shared" si="8"/>
        <v>0.5309291584566751</v>
      </c>
      <c r="G61" s="713">
        <f t="shared" si="9"/>
        <v>0</v>
      </c>
      <c r="J61" s="347"/>
      <c r="AT61" s="3"/>
      <c r="AU61" s="3"/>
      <c r="AV61" s="3"/>
      <c r="AW61" s="3"/>
      <c r="AX61" s="3"/>
    </row>
    <row r="62" spans="2:55" x14ac:dyDescent="0.2">
      <c r="B62" s="197"/>
      <c r="C62" s="552">
        <v>35</v>
      </c>
      <c r="D62" s="654"/>
      <c r="E62" s="35">
        <v>33</v>
      </c>
      <c r="F62" s="10">
        <f t="shared" si="8"/>
        <v>0.85529859993982116</v>
      </c>
      <c r="G62" s="713">
        <f t="shared" si="9"/>
        <v>0</v>
      </c>
      <c r="J62" s="347"/>
      <c r="AT62" s="3"/>
      <c r="AU62" s="3"/>
      <c r="AV62" s="3"/>
      <c r="AW62" s="3"/>
      <c r="AX62" s="3"/>
    </row>
    <row r="63" spans="2:55" x14ac:dyDescent="0.2">
      <c r="B63" s="197"/>
      <c r="C63" s="552">
        <v>42</v>
      </c>
      <c r="D63" s="654"/>
      <c r="E63" s="35">
        <v>40</v>
      </c>
      <c r="F63" s="10">
        <f t="shared" si="8"/>
        <v>1.2566370614359172</v>
      </c>
      <c r="G63" s="713">
        <f t="shared" si="9"/>
        <v>0</v>
      </c>
      <c r="J63" s="347"/>
      <c r="AT63" s="3"/>
      <c r="AU63" s="3"/>
      <c r="AV63" s="3"/>
      <c r="AW63" s="3"/>
      <c r="AX63" s="3"/>
    </row>
    <row r="64" spans="2:55" ht="13.5" thickBot="1" x14ac:dyDescent="0.25">
      <c r="B64" s="197"/>
      <c r="C64" s="586">
        <v>54</v>
      </c>
      <c r="D64" s="655"/>
      <c r="E64" s="714">
        <v>51.6</v>
      </c>
      <c r="F64" s="715">
        <f t="shared" si="8"/>
        <v>2.09116973393551</v>
      </c>
      <c r="G64" s="716">
        <f t="shared" si="9"/>
        <v>0</v>
      </c>
      <c r="J64" s="347"/>
      <c r="AT64" s="3"/>
      <c r="AU64" s="3"/>
      <c r="AV64" s="3"/>
      <c r="AW64" s="3"/>
      <c r="AX64" s="3"/>
    </row>
    <row r="65" spans="1:50" x14ac:dyDescent="0.2">
      <c r="B65" s="197"/>
      <c r="C65" s="196"/>
      <c r="D65" s="3"/>
      <c r="E65" s="197"/>
      <c r="F65" s="587" t="s">
        <v>409</v>
      </c>
      <c r="G65" s="588">
        <f>SUM(G59:G64)</f>
        <v>0</v>
      </c>
      <c r="J65" s="347"/>
      <c r="AT65" s="3"/>
      <c r="AU65" s="3"/>
      <c r="AV65" s="3"/>
      <c r="AW65" s="3"/>
      <c r="AX65" s="3"/>
    </row>
    <row r="66" spans="1:50" x14ac:dyDescent="0.2">
      <c r="B66" s="197"/>
      <c r="J66" s="347"/>
      <c r="AT66" s="3"/>
      <c r="AU66" s="3"/>
      <c r="AV66" s="3"/>
      <c r="AW66" s="3"/>
      <c r="AX66" s="3"/>
    </row>
    <row r="67" spans="1:50" ht="15" x14ac:dyDescent="0.2">
      <c r="A67" s="5"/>
      <c r="B67" s="197"/>
      <c r="C67" s="481" t="s">
        <v>463</v>
      </c>
      <c r="D67" s="556"/>
      <c r="E67" s="556"/>
      <c r="F67" s="556"/>
      <c r="G67" s="565" t="s">
        <v>408</v>
      </c>
      <c r="H67" s="590"/>
      <c r="J67" s="490" t="s">
        <v>464</v>
      </c>
      <c r="AT67" s="3"/>
      <c r="AU67" s="3"/>
      <c r="AV67" s="3"/>
      <c r="AW67" s="3"/>
      <c r="AX67" s="3"/>
    </row>
    <row r="68" spans="1:50" ht="15" x14ac:dyDescent="0.2">
      <c r="B68" s="197"/>
      <c r="C68" s="438"/>
      <c r="D68" s="438"/>
      <c r="E68" s="438"/>
      <c r="F68" s="438"/>
      <c r="G68" s="448" t="s">
        <v>373</v>
      </c>
      <c r="H68" s="591">
        <f>H67*H5</f>
        <v>0</v>
      </c>
      <c r="J68" s="347"/>
    </row>
    <row r="69" spans="1:50" ht="15" x14ac:dyDescent="0.2">
      <c r="B69" s="197"/>
      <c r="D69" s="294"/>
      <c r="E69" s="294"/>
      <c r="F69" s="294"/>
      <c r="G69" s="290"/>
      <c r="H69" s="379"/>
      <c r="J69" s="347"/>
    </row>
    <row r="70" spans="1:50" ht="15" x14ac:dyDescent="0.2">
      <c r="B70" s="197"/>
      <c r="C70" s="441" t="s">
        <v>669</v>
      </c>
      <c r="D70" s="443"/>
      <c r="E70" s="443"/>
      <c r="F70" s="443"/>
      <c r="G70" s="444" t="s">
        <v>373</v>
      </c>
      <c r="H70" s="592"/>
      <c r="J70" s="347" t="s">
        <v>667</v>
      </c>
    </row>
    <row r="71" spans="1:50" ht="15" x14ac:dyDescent="0.2">
      <c r="B71" s="197"/>
      <c r="C71" s="294"/>
      <c r="D71" s="294"/>
      <c r="E71" s="294"/>
      <c r="F71" s="294"/>
      <c r="G71" s="290"/>
      <c r="H71" s="379"/>
      <c r="J71" s="347"/>
    </row>
    <row r="72" spans="1:50" ht="17.25" customHeight="1" x14ac:dyDescent="0.35">
      <c r="B72" s="197"/>
      <c r="C72" s="481" t="s">
        <v>668</v>
      </c>
      <c r="D72" s="556"/>
      <c r="E72" s="556"/>
      <c r="F72" s="556"/>
      <c r="G72" s="556"/>
      <c r="H72" s="593"/>
      <c r="J72" s="347"/>
    </row>
    <row r="73" spans="1:50" ht="15" x14ac:dyDescent="0.2">
      <c r="B73" s="197"/>
      <c r="C73" s="292" t="s">
        <v>467</v>
      </c>
      <c r="D73" s="294"/>
      <c r="E73" s="294"/>
      <c r="F73" s="294"/>
      <c r="G73" s="290" t="s">
        <v>373</v>
      </c>
      <c r="H73" s="553">
        <f>$H$68+$G$65+H70</f>
        <v>0</v>
      </c>
      <c r="J73" s="347"/>
    </row>
    <row r="74" spans="1:50" x14ac:dyDescent="0.2">
      <c r="B74" s="196"/>
      <c r="C74" s="294"/>
      <c r="D74" s="294"/>
      <c r="E74" s="294"/>
      <c r="F74" s="294"/>
      <c r="G74" s="294"/>
      <c r="H74" s="105"/>
      <c r="J74" s="347"/>
    </row>
    <row r="75" spans="1:50" ht="15" x14ac:dyDescent="0.2">
      <c r="C75" s="481" t="s">
        <v>526</v>
      </c>
      <c r="D75" s="556"/>
      <c r="E75" s="556"/>
      <c r="F75" s="556"/>
      <c r="G75" s="565" t="s">
        <v>469</v>
      </c>
      <c r="H75" s="590"/>
      <c r="J75" s="347" t="s">
        <v>684</v>
      </c>
    </row>
    <row r="76" spans="1:50" ht="15" x14ac:dyDescent="0.2">
      <c r="C76" s="292" t="s">
        <v>527</v>
      </c>
      <c r="D76" s="294"/>
      <c r="E76" s="294"/>
      <c r="F76" s="294"/>
      <c r="G76" s="290" t="s">
        <v>469</v>
      </c>
      <c r="H76" s="579"/>
      <c r="J76" s="490" t="s">
        <v>470</v>
      </c>
      <c r="K76" s="110"/>
      <c r="L76" s="217"/>
      <c r="M76" s="5"/>
    </row>
    <row r="77" spans="1:50" ht="15" x14ac:dyDescent="0.2">
      <c r="C77" s="292" t="s">
        <v>525</v>
      </c>
      <c r="D77" s="294"/>
      <c r="E77" s="294"/>
      <c r="F77" s="294"/>
      <c r="G77" s="290"/>
      <c r="H77" s="553" t="e">
        <f>H76/(H76-H75)</f>
        <v>#DIV/0!</v>
      </c>
      <c r="J77" s="490"/>
      <c r="K77" s="110"/>
      <c r="L77" s="217"/>
      <c r="M77" s="5"/>
    </row>
    <row r="78" spans="1:50" ht="16.5" thickBot="1" x14ac:dyDescent="0.25">
      <c r="C78" s="428" t="s">
        <v>471</v>
      </c>
      <c r="D78" s="427"/>
      <c r="E78" s="427"/>
      <c r="F78" s="427"/>
      <c r="G78" s="558" t="s">
        <v>373</v>
      </c>
      <c r="H78" s="594" t="e">
        <f>(($H$70+$G$65)+$H$68)*INDEX(AK52:AK53,AR35,1)*($H$76/($H$76-$H$75))</f>
        <v>#DIV/0!</v>
      </c>
      <c r="J78" s="490" t="s">
        <v>569</v>
      </c>
    </row>
    <row r="79" spans="1:50" ht="15.75" x14ac:dyDescent="0.25">
      <c r="B79" s="5"/>
      <c r="C79" s="97"/>
      <c r="E79" s="381"/>
      <c r="G79" s="3"/>
      <c r="H79" s="554"/>
      <c r="J79" s="237"/>
      <c r="AJ79" s="246"/>
      <c r="AK79" s="213"/>
      <c r="AL79" s="246"/>
      <c r="AM79" s="213"/>
    </row>
    <row r="80" spans="1:50" ht="13.5" thickBot="1" x14ac:dyDescent="0.25">
      <c r="B80" s="422"/>
      <c r="C80" s="422"/>
      <c r="D80" s="422"/>
      <c r="E80" s="422"/>
      <c r="F80" s="422"/>
      <c r="G80" s="422"/>
      <c r="H80" s="422"/>
      <c r="I80" s="596"/>
      <c r="J80" s="422"/>
      <c r="K80" s="422"/>
      <c r="L80" s="422"/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AJ80" s="105"/>
      <c r="AK80" s="197"/>
      <c r="AL80" s="105"/>
      <c r="AM80" s="197"/>
    </row>
    <row r="81" spans="1:39" ht="14.25" customHeight="1" thickTop="1" x14ac:dyDescent="0.2">
      <c r="B81" s="546" t="s">
        <v>722</v>
      </c>
      <c r="H81" s="6"/>
      <c r="I81" s="6"/>
      <c r="AJ81" s="105"/>
      <c r="AK81" s="197"/>
      <c r="AL81" s="105"/>
      <c r="AM81" s="197"/>
    </row>
    <row r="82" spans="1:39" ht="15.75" customHeight="1" x14ac:dyDescent="0.2">
      <c r="AJ82" s="105"/>
      <c r="AK82" s="197"/>
      <c r="AL82" s="105"/>
      <c r="AM82" s="197"/>
    </row>
    <row r="83" spans="1:39" ht="15" customHeight="1" x14ac:dyDescent="0.2">
      <c r="AJ83" s="105"/>
      <c r="AK83" s="197"/>
      <c r="AL83" s="105"/>
      <c r="AM83" s="197"/>
    </row>
    <row r="84" spans="1:39" x14ac:dyDescent="0.2">
      <c r="AJ84" s="105"/>
      <c r="AK84" s="197"/>
      <c r="AL84" s="105"/>
      <c r="AM84" s="197"/>
    </row>
    <row r="85" spans="1:39" x14ac:dyDescent="0.2">
      <c r="H85" s="6"/>
      <c r="I85" s="195"/>
      <c r="AJ85" s="105"/>
      <c r="AK85" s="197"/>
      <c r="AL85" s="105"/>
      <c r="AM85" s="197"/>
    </row>
    <row r="86" spans="1:39" x14ac:dyDescent="0.2">
      <c r="AJ86" s="105"/>
      <c r="AK86" s="197"/>
      <c r="AL86" s="105"/>
      <c r="AM86" s="197"/>
    </row>
    <row r="87" spans="1:39" x14ac:dyDescent="0.2">
      <c r="AJ87" s="105"/>
      <c r="AK87" s="197"/>
      <c r="AL87" s="105"/>
      <c r="AM87" s="197"/>
    </row>
    <row r="88" spans="1:39" x14ac:dyDescent="0.2">
      <c r="B88" s="196"/>
      <c r="C88" s="3"/>
      <c r="D88" s="197"/>
      <c r="E88" s="11"/>
      <c r="F88" s="11"/>
      <c r="H88" s="6"/>
      <c r="I88" s="216"/>
      <c r="AJ88" s="105"/>
      <c r="AK88" s="197"/>
      <c r="AL88" s="105"/>
      <c r="AM88" s="197"/>
    </row>
    <row r="89" spans="1:39" x14ac:dyDescent="0.2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">
      <c r="B90" s="196"/>
      <c r="C90" s="3"/>
      <c r="D90" s="197"/>
      <c r="E90" s="11"/>
      <c r="F90" s="11"/>
      <c r="AJ90" s="105"/>
      <c r="AK90" s="197"/>
      <c r="AL90" s="105"/>
      <c r="AM90" s="197"/>
    </row>
    <row r="91" spans="1:39" x14ac:dyDescent="0.2">
      <c r="AJ91" s="105"/>
      <c r="AK91" s="197"/>
      <c r="AL91" s="105"/>
      <c r="AM91" s="197"/>
    </row>
    <row r="92" spans="1:39" x14ac:dyDescent="0.2">
      <c r="H92" s="172"/>
      <c r="I92" s="192"/>
      <c r="J92" s="5"/>
      <c r="AJ92" s="105"/>
      <c r="AK92" s="197"/>
      <c r="AL92" s="105"/>
      <c r="AM92" s="197"/>
    </row>
    <row r="93" spans="1:39" x14ac:dyDescent="0.2">
      <c r="AJ93" s="105"/>
      <c r="AK93" s="197"/>
      <c r="AL93" s="105"/>
      <c r="AM93" s="197"/>
    </row>
    <row r="94" spans="1:39" x14ac:dyDescent="0.2">
      <c r="AJ94" s="105"/>
      <c r="AK94" s="197"/>
      <c r="AL94" s="105"/>
      <c r="AM94" s="197"/>
    </row>
    <row r="95" spans="1:39" x14ac:dyDescent="0.2">
      <c r="A95" s="5"/>
      <c r="AJ95" s="105"/>
      <c r="AK95" s="197"/>
      <c r="AL95" s="105"/>
      <c r="AM95" s="197"/>
    </row>
    <row r="99" spans="3:9" x14ac:dyDescent="0.2">
      <c r="C99" s="6"/>
      <c r="D99" s="6"/>
      <c r="E99" s="7"/>
    </row>
    <row r="100" spans="3:9" x14ac:dyDescent="0.2">
      <c r="D100" s="6"/>
      <c r="G100" s="6"/>
      <c r="H100" s="192"/>
      <c r="I100" s="5"/>
    </row>
    <row r="101" spans="3:9" x14ac:dyDescent="0.2">
      <c r="D101" s="6"/>
      <c r="E101" s="7"/>
      <c r="G101" s="6"/>
      <c r="H101" s="5"/>
      <c r="I101" s="5"/>
    </row>
    <row r="103" spans="3:9" x14ac:dyDescent="0.2">
      <c r="C103" s="6"/>
      <c r="D103" s="6"/>
      <c r="E103" s="19"/>
    </row>
    <row r="104" spans="3:9" x14ac:dyDescent="0.2">
      <c r="D104" s="6"/>
      <c r="E104" s="19"/>
      <c r="G104" s="6"/>
      <c r="H104" s="192"/>
      <c r="I104" s="5"/>
    </row>
    <row r="105" spans="3:9" x14ac:dyDescent="0.2">
      <c r="D105" s="6"/>
      <c r="E105" s="7"/>
      <c r="G105" s="6"/>
      <c r="H105" s="5"/>
      <c r="I105" s="5"/>
    </row>
    <row r="114" spans="2:4" x14ac:dyDescent="0.2">
      <c r="C114" s="7"/>
    </row>
    <row r="115" spans="2:4" x14ac:dyDescent="0.2">
      <c r="B115" s="5"/>
    </row>
    <row r="117" spans="2:4" x14ac:dyDescent="0.2">
      <c r="B117" s="5"/>
    </row>
    <row r="119" spans="2:4" x14ac:dyDescent="0.2">
      <c r="C119" s="6"/>
      <c r="D119" s="219"/>
    </row>
  </sheetData>
  <sheetProtection algorithmName="SHA-512" hashValue="uaDlzUYW5kC+nD9f7X7/sPn5QICN+9BQuQgqj8ZNeejgR49mYdKrhk83M+I30jkCqc9Z4fLU6mVsNA0nFTtUUw==" saltValue="IpW5OqMjvPQzjlG6w4Uqpg==" spinCount="100000" sheet="1" objects="1" scenarios="1"/>
  <mergeCells count="5">
    <mergeCell ref="B1:Y1"/>
    <mergeCell ref="AV24:BB24"/>
    <mergeCell ref="AK22:AP22"/>
    <mergeCell ref="AI20:AN20"/>
    <mergeCell ref="L22:U22"/>
  </mergeCells>
  <phoneticPr fontId="56" type="noConversion"/>
  <conditionalFormatting sqref="I24:I39">
    <cfRule type="cellIs" dxfId="15" priority="1" stopIfTrue="1" operator="greaterThan">
      <formula>40</formula>
    </cfRule>
  </conditionalFormatting>
  <conditionalFormatting sqref="H24:H39">
    <cfRule type="cellIs" dxfId="14" priority="2" stopIfTrue="1" operator="between">
      <formula>$AR$29</formula>
      <formula>$AR$30</formula>
    </cfRule>
    <cfRule type="cellIs" dxfId="13" priority="3" stopIfTrue="1" operator="greaterThanOrEqual">
      <formula>$AR$30</formula>
    </cfRule>
  </conditionalFormatting>
  <pageMargins left="0.75" right="0.75" top="1" bottom="1" header="0" footer="0"/>
  <pageSetup paperSize="9" scale="37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4" name="Drop Down 2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47625</xdr:rowOff>
                  </from>
                  <to>
                    <xdr:col>8</xdr:col>
                    <xdr:colOff>66675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Drop Down 3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Drop Down 4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7" name="Drop Down 5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8" name="Drop Down 6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9" name="Drop Down 7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0" name="Drop Down 8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1" name="Drop Down 9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2" name="Drop Down 10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3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4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5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6" name="Drop Down 14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7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8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9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0" name="Drop Down 18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1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2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3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4" name="Drop Down 22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5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6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7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8" name="Drop Down 26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29" name="Drop Down 35">
              <controlPr defaultSize="0" autoLine="0" autoPict="0">
                <anchor moveWithCells="1">
                  <from>
                    <xdr:col>6</xdr:col>
                    <xdr:colOff>676275</xdr:colOff>
                    <xdr:row>8</xdr:row>
                    <xdr:rowOff>47625</xdr:rowOff>
                  </from>
                  <to>
                    <xdr:col>8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5" r:id="rId30" name="Drop Down 39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31" name="Drop Down 40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32" name="Drop Down 41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8" r:id="rId33" name="Drop Down 42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9" r:id="rId34" name="Drop Down 43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0" r:id="rId35" name="Drop Down 44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3" r:id="rId36" name="Drop Down 47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4" r:id="rId37" name="Drop Down 48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5" r:id="rId38" name="Drop Down 49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6" r:id="rId39" name="Drop Down 50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7" r:id="rId40" name="Drop Down 51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8" r:id="rId41" name="Drop Down 52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1" r:id="rId42" name="Drop Down 55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2" r:id="rId43" name="Drop Down 56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3" r:id="rId44" name="Drop Down 57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4" r:id="rId45" name="Drop Down 58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5" r:id="rId46" name="Drop Down 59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6" r:id="rId47" name="Drop Down 60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7" r:id="rId48" name="Drop Down 61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8" r:id="rId49" name="Drop Down 62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9" r:id="rId50" name="Drop Down 63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0" r:id="rId51" name="Drop Down 64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1" r:id="rId52" name="Drop Down 65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2" r:id="rId53" name="Drop Down 66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3" r:id="rId54" name="Drop Down 67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4" r:id="rId55" name="Drop Down 68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5" r:id="rId56" name="Drop Down 69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6" r:id="rId57" name="Drop Down 70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7" r:id="rId58" name="Drop Down 71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8" r:id="rId59" name="Drop Down 72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9" r:id="rId60" name="Drop Down 73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0" r:id="rId61" name="Drop Down 74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1" r:id="rId62" name="Drop Down 75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2" r:id="rId63" name="Drop Down 76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3" r:id="rId64" name="Drop Down 77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4" r:id="rId65" name="Drop Down 78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3" r:id="rId66" name="Drop Down 87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4" r:id="rId67" name="Drop Down 88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5" r:id="rId68" name="Drop Down 89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6" r:id="rId69" name="Drop Down 90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7" r:id="rId70" name="Drop Down 91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8" r:id="rId71" name="Drop Down 92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1" r:id="rId72" name="Drop Down 95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2" r:id="rId73" name="Drop Down 96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3" r:id="rId74" name="Drop Down 97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4" r:id="rId75" name="Drop Down 98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5" r:id="rId76" name="Drop Down 99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6" r:id="rId77" name="Drop Down 100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9" r:id="rId78" name="Drop Down 103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0" r:id="rId79" name="Drop Down 104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1" r:id="rId80" name="Drop Down 105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2" r:id="rId81" name="Drop Down 106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3" r:id="rId82" name="Drop Down 107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4" r:id="rId83" name="Drop Down 108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7" r:id="rId84" name="Drop Down 111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8" r:id="rId85" name="Drop Down 112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9" r:id="rId86" name="Drop Down 113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0" r:id="rId87" name="Drop Down 114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1" r:id="rId88" name="Drop Down 115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2" r:id="rId89" name="Drop Down 116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5" r:id="rId90" name="Drop Down 119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6" r:id="rId91" name="Drop Down 120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7" r:id="rId92" name="Drop Down 121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8" r:id="rId93" name="Drop Down 122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9" r:id="rId94" name="Drop Down 123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0" r:id="rId95" name="Drop Down 124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3" r:id="rId96" name="Drop Down 127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4" r:id="rId97" name="Drop Down 128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5" r:id="rId98" name="Drop Down 129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6" r:id="rId99" name="Drop Down 130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7" r:id="rId100" name="Drop Down 131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8" r:id="rId101" name="Drop Down 132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1" r:id="rId102" name="Drop Down 135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2" r:id="rId103" name="Drop Down 136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3" r:id="rId104" name="Drop Down 137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4" r:id="rId105" name="Drop Down 138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5" r:id="rId106" name="Drop Down 139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6" r:id="rId107" name="Drop Down 140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5" r:id="rId108" name="Check Box 239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6" r:id="rId109" name="Check Box 24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7" r:id="rId110" name="Check Box 24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742950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8" r:id="rId111" name="Check Box 24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9" r:id="rId112" name="Check Box 24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742950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0" r:id="rId113" name="Check Box 244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1" r:id="rId114" name="Check Box 245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742950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2" r:id="rId115" name="Check Box 246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742950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3" r:id="rId116" name="Check Box 24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742950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4" r:id="rId117" name="Check Box 24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742950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5" r:id="rId118" name="Check Box 24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742950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6" r:id="rId119" name="Check Box 25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7" r:id="rId120" name="Check Box 25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742950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8" r:id="rId121" name="Check Box 25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742950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9" r:id="rId122" name="Check Box 25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742950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0" r:id="rId123" name="Check Box 254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742950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1" r:id="rId124" name="Check Box 255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2" r:id="rId125" name="Check Box 256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3" r:id="rId126" name="Check Box 257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4" r:id="rId127" name="Check Box 258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200025</xdr:rowOff>
                  </from>
                  <to>
                    <xdr:col>3</xdr:col>
                    <xdr:colOff>742950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5" r:id="rId128" name="Check Box 259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6" r:id="rId129" name="Check Box 260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200025</xdr:rowOff>
                  </from>
                  <to>
                    <xdr:col>3</xdr:col>
                    <xdr:colOff>742950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7" r:id="rId130" name="Check Box 261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200025</xdr:rowOff>
                  </from>
                  <to>
                    <xdr:col>3</xdr:col>
                    <xdr:colOff>742950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8" r:id="rId131" name="Check Box 262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9" r:id="rId132" name="Check Box 263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200025</xdr:rowOff>
                  </from>
                  <to>
                    <xdr:col>3</xdr:col>
                    <xdr:colOff>742950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0" r:id="rId133" name="Check Box 264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200025</xdr:rowOff>
                  </from>
                  <to>
                    <xdr:col>3</xdr:col>
                    <xdr:colOff>742950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1" r:id="rId134" name="Check Box 265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" r:id="rId135" name="Check Box 266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200025</xdr:rowOff>
                  </from>
                  <to>
                    <xdr:col>3</xdr:col>
                    <xdr:colOff>742950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3" r:id="rId136" name="Check Box 267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200025</xdr:rowOff>
                  </from>
                  <to>
                    <xdr:col>3</xdr:col>
                    <xdr:colOff>742950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4" r:id="rId137" name="Check Box 268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200025</xdr:rowOff>
                  </from>
                  <to>
                    <xdr:col>3</xdr:col>
                    <xdr:colOff>742950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5" r:id="rId138" name="Button 269">
              <controlPr defaultSize="0" print="0" autoFill="0" autoPict="0" macro="[0]!CalculaPdctotalPrimario">
                <anchor moveWithCells="1" sizeWithCells="1">
                  <from>
                    <xdr:col>8</xdr:col>
                    <xdr:colOff>285750</xdr:colOff>
                    <xdr:row>39</xdr:row>
                    <xdr:rowOff>219075</xdr:rowOff>
                  </from>
                  <to>
                    <xdr:col>10</xdr:col>
                    <xdr:colOff>142875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2C289-4397-447A-9844-E8B302648477}">
  <sheetPr codeName="Hoja2">
    <pageSetUpPr fitToPage="1"/>
  </sheetPr>
  <dimension ref="A1:BD81"/>
  <sheetViews>
    <sheetView showGridLines="0" topLeftCell="A26" zoomScaleNormal="100" workbookViewId="0">
      <selection activeCell="H61" sqref="H61"/>
    </sheetView>
  </sheetViews>
  <sheetFormatPr baseColWidth="10" defaultRowHeight="12.75" x14ac:dyDescent="0.2"/>
  <cols>
    <col min="1" max="1" width="4.7109375" customWidth="1"/>
    <col min="2" max="2" width="5.28515625" customWidth="1"/>
    <col min="6" max="6" width="16.42578125" customWidth="1"/>
    <col min="7" max="7" width="14.42578125" customWidth="1"/>
    <col min="8" max="8" width="15.7109375" customWidth="1"/>
    <col min="9" max="9" width="17.42578125" customWidth="1"/>
    <col min="13" max="13" width="9.140625" customWidth="1"/>
    <col min="23" max="23" width="11.140625" customWidth="1"/>
    <col min="24" max="24" width="5" customWidth="1"/>
    <col min="34" max="35" width="11.42578125" hidden="1" customWidth="1"/>
    <col min="36" max="36" width="20" hidden="1" customWidth="1"/>
    <col min="37" max="56" width="11.42578125" hidden="1" customWidth="1"/>
  </cols>
  <sheetData>
    <row r="1" spans="1:23" x14ac:dyDescent="0.2">
      <c r="C1" s="238"/>
      <c r="N1" s="238"/>
    </row>
    <row r="2" spans="1:23" x14ac:dyDescent="0.2">
      <c r="A2" s="5"/>
      <c r="B2" s="5"/>
    </row>
    <row r="3" spans="1:23" ht="15.75" x14ac:dyDescent="0.25">
      <c r="B3" s="758" t="s">
        <v>725</v>
      </c>
      <c r="C3" s="758"/>
      <c r="D3" s="758"/>
      <c r="E3" s="758"/>
      <c r="F3" s="758"/>
      <c r="G3" s="758"/>
      <c r="H3" s="758"/>
      <c r="I3" s="758"/>
      <c r="J3" s="758"/>
      <c r="K3" s="758"/>
      <c r="L3" s="758"/>
      <c r="M3" s="758"/>
      <c r="N3" s="758"/>
      <c r="O3" s="758"/>
      <c r="P3" s="758"/>
      <c r="Q3" s="758"/>
      <c r="R3" s="758"/>
      <c r="S3" s="758"/>
      <c r="T3" s="758"/>
      <c r="U3" s="758"/>
      <c r="V3" s="758"/>
      <c r="W3" s="758"/>
    </row>
    <row r="4" spans="1:23" ht="15.75" x14ac:dyDescent="0.25">
      <c r="C4" s="580" t="s">
        <v>474</v>
      </c>
      <c r="D4" s="438"/>
      <c r="E4" s="438"/>
      <c r="F4" s="438"/>
      <c r="G4" s="438"/>
      <c r="H4" s="244"/>
    </row>
    <row r="5" spans="1:23" ht="15" x14ac:dyDescent="0.2">
      <c r="C5" s="292" t="s">
        <v>411</v>
      </c>
      <c r="D5" s="294"/>
      <c r="E5" s="294"/>
      <c r="F5" s="294"/>
      <c r="G5" s="294"/>
      <c r="H5" s="315">
        <f>Principal!G63</f>
        <v>12</v>
      </c>
      <c r="J5" s="237"/>
    </row>
    <row r="6" spans="1:23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3" ht="15" x14ac:dyDescent="0.2">
      <c r="C7" s="292" t="s">
        <v>485</v>
      </c>
      <c r="D7" s="294"/>
      <c r="E7" s="294"/>
      <c r="F7" s="294"/>
      <c r="G7" s="290" t="s">
        <v>416</v>
      </c>
      <c r="H7" s="721">
        <v>50</v>
      </c>
      <c r="J7" s="408" t="s">
        <v>475</v>
      </c>
    </row>
    <row r="8" spans="1:23" ht="15.75" x14ac:dyDescent="0.25">
      <c r="C8" s="696"/>
      <c r="D8" s="438"/>
      <c r="E8" s="438"/>
      <c r="F8" s="438"/>
      <c r="G8" s="455" t="s">
        <v>414</v>
      </c>
      <c r="H8" s="697">
        <f>H5*H6*H7</f>
        <v>1398</v>
      </c>
      <c r="I8" s="19"/>
    </row>
    <row r="9" spans="1:23" ht="18.75" customHeight="1" x14ac:dyDescent="0.2">
      <c r="C9" s="481" t="s">
        <v>476</v>
      </c>
      <c r="D9" s="556"/>
      <c r="E9" s="556"/>
      <c r="F9" s="556"/>
      <c r="G9" s="556"/>
      <c r="H9" s="557" t="s">
        <v>384</v>
      </c>
    </row>
    <row r="10" spans="1:23" ht="18.75" customHeight="1" x14ac:dyDescent="0.2">
      <c r="C10" s="292" t="s">
        <v>422</v>
      </c>
      <c r="D10" s="294"/>
      <c r="E10" s="294"/>
      <c r="F10" s="294"/>
      <c r="G10" s="294"/>
    </row>
    <row r="11" spans="1:23" ht="15.75" customHeight="1" thickBot="1" x14ac:dyDescent="0.25">
      <c r="C11" s="292" t="s">
        <v>426</v>
      </c>
      <c r="D11" s="294"/>
      <c r="E11" s="294"/>
      <c r="F11" s="294"/>
      <c r="G11" s="290" t="s">
        <v>425</v>
      </c>
      <c r="H11" s="290" t="str">
        <f>IF(AR25=1, "1,5 - 2", IF(OR(AR25=2,AR25=3), "2,5 - 3"))</f>
        <v>1,5 - 2</v>
      </c>
      <c r="J11" s="597" t="s">
        <v>432</v>
      </c>
      <c r="K11" s="598"/>
      <c r="L11" s="598"/>
    </row>
    <row r="12" spans="1:23" x14ac:dyDescent="0.2">
      <c r="C12" s="438"/>
      <c r="D12" s="438"/>
      <c r="E12" s="438"/>
      <c r="F12" s="438"/>
      <c r="G12" s="438"/>
      <c r="H12" s="244"/>
      <c r="J12" s="601" t="s">
        <v>380</v>
      </c>
      <c r="K12" s="601" t="s">
        <v>381</v>
      </c>
      <c r="L12" s="601" t="s">
        <v>382</v>
      </c>
    </row>
    <row r="13" spans="1:23" x14ac:dyDescent="0.2">
      <c r="D13" s="290"/>
      <c r="E13" s="290"/>
      <c r="F13" s="294"/>
      <c r="G13" s="294"/>
      <c r="I13" s="33"/>
      <c r="J13" s="548" t="s">
        <v>385</v>
      </c>
      <c r="K13" s="294"/>
      <c r="L13" s="294"/>
    </row>
    <row r="14" spans="1:23" x14ac:dyDescent="0.2">
      <c r="D14" s="290"/>
      <c r="E14" s="290"/>
      <c r="F14" s="294"/>
      <c r="G14" s="294"/>
      <c r="J14" s="293">
        <v>18</v>
      </c>
      <c r="K14" s="293">
        <v>1</v>
      </c>
      <c r="L14" s="290">
        <v>16</v>
      </c>
    </row>
    <row r="15" spans="1:23" ht="15.75" x14ac:dyDescent="0.25">
      <c r="C15" s="319" t="s">
        <v>429</v>
      </c>
      <c r="D15" s="293"/>
      <c r="E15" s="293"/>
      <c r="F15" s="294"/>
      <c r="G15" s="294"/>
      <c r="I15" s="33"/>
      <c r="J15" s="293">
        <v>22</v>
      </c>
      <c r="K15" s="293">
        <v>1</v>
      </c>
      <c r="L15" s="290">
        <v>20</v>
      </c>
    </row>
    <row r="16" spans="1:23" x14ac:dyDescent="0.2">
      <c r="C16" s="408" t="s">
        <v>430</v>
      </c>
      <c r="D16" s="407"/>
      <c r="H16" s="19"/>
      <c r="I16" s="33"/>
      <c r="J16" s="293">
        <v>28</v>
      </c>
      <c r="K16" s="293">
        <v>1</v>
      </c>
      <c r="L16" s="290">
        <v>26</v>
      </c>
    </row>
    <row r="17" spans="2:55" x14ac:dyDescent="0.2">
      <c r="C17" s="409" t="s">
        <v>609</v>
      </c>
      <c r="D17" s="407"/>
      <c r="H17" s="19"/>
      <c r="I17" s="6"/>
      <c r="J17" s="293">
        <v>35</v>
      </c>
      <c r="K17" s="293">
        <v>1</v>
      </c>
      <c r="L17" s="290">
        <v>33</v>
      </c>
    </row>
    <row r="18" spans="2:55" x14ac:dyDescent="0.2">
      <c r="B18" s="6"/>
      <c r="H18" s="19"/>
      <c r="I18" s="222"/>
      <c r="J18" s="293">
        <v>42</v>
      </c>
      <c r="K18" s="293">
        <v>1</v>
      </c>
      <c r="L18" s="290">
        <v>40</v>
      </c>
    </row>
    <row r="19" spans="2:55" ht="13.5" thickBot="1" x14ac:dyDescent="0.25">
      <c r="B19" s="6"/>
      <c r="H19" s="19"/>
      <c r="I19" s="33"/>
      <c r="J19" s="576">
        <v>54</v>
      </c>
      <c r="K19" s="576">
        <v>1.2</v>
      </c>
      <c r="L19" s="558">
        <v>51.6</v>
      </c>
    </row>
    <row r="20" spans="2:55" x14ac:dyDescent="0.2">
      <c r="AI20" s="785" t="s">
        <v>421</v>
      </c>
      <c r="AJ20" s="786"/>
      <c r="AK20" s="786"/>
      <c r="AL20" s="786"/>
      <c r="AM20" s="786"/>
      <c r="AN20" s="786"/>
      <c r="AO20" s="786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AI21" s="221"/>
      <c r="BC21" s="220"/>
    </row>
    <row r="22" spans="2:55" x14ac:dyDescent="0.2">
      <c r="C22" s="556"/>
      <c r="D22" s="565" t="s">
        <v>438</v>
      </c>
      <c r="E22" s="565" t="s">
        <v>380</v>
      </c>
      <c r="F22" s="565" t="s">
        <v>434</v>
      </c>
      <c r="G22" s="565" t="s">
        <v>435</v>
      </c>
      <c r="H22" s="565" t="s">
        <v>477</v>
      </c>
      <c r="I22" s="565" t="s">
        <v>440</v>
      </c>
      <c r="J22" s="565" t="s">
        <v>442</v>
      </c>
      <c r="K22" s="787" t="s">
        <v>443</v>
      </c>
      <c r="L22" s="787"/>
      <c r="M22" s="787"/>
      <c r="N22" s="787"/>
      <c r="O22" s="787"/>
      <c r="P22" s="787"/>
      <c r="Q22" s="787"/>
      <c r="R22" s="787"/>
      <c r="S22" s="787"/>
      <c r="T22" s="787"/>
      <c r="U22" s="565" t="s">
        <v>446</v>
      </c>
      <c r="V22" s="565" t="s">
        <v>447</v>
      </c>
      <c r="W22" s="565" t="s">
        <v>608</v>
      </c>
      <c r="AI22" s="221"/>
      <c r="AK22" s="788" t="s">
        <v>420</v>
      </c>
      <c r="AL22" s="788"/>
      <c r="AM22" s="788"/>
      <c r="AN22" s="788"/>
      <c r="AO22" s="788"/>
      <c r="AP22" s="789"/>
      <c r="AQ22" s="2"/>
      <c r="BC22" s="220"/>
    </row>
    <row r="23" spans="2:55" ht="16.5" customHeight="1" thickBot="1" x14ac:dyDescent="0.25">
      <c r="B23" s="6"/>
      <c r="C23" s="558" t="s">
        <v>390</v>
      </c>
      <c r="D23" s="558" t="s">
        <v>437</v>
      </c>
      <c r="E23" s="567" t="s">
        <v>433</v>
      </c>
      <c r="F23" s="567" t="s">
        <v>433</v>
      </c>
      <c r="G23" s="558" t="s">
        <v>436</v>
      </c>
      <c r="H23" s="567" t="s">
        <v>606</v>
      </c>
      <c r="I23" s="567" t="s">
        <v>439</v>
      </c>
      <c r="J23" s="567" t="s">
        <v>441</v>
      </c>
      <c r="K23" s="568"/>
      <c r="L23" s="569" t="s">
        <v>444</v>
      </c>
      <c r="M23" s="568"/>
      <c r="N23" s="569" t="s">
        <v>444</v>
      </c>
      <c r="O23" s="568"/>
      <c r="P23" s="569" t="s">
        <v>444</v>
      </c>
      <c r="Q23" s="568"/>
      <c r="R23" s="569" t="s">
        <v>444</v>
      </c>
      <c r="S23" s="568"/>
      <c r="T23" s="569" t="s">
        <v>444</v>
      </c>
      <c r="U23" s="567" t="s">
        <v>445</v>
      </c>
      <c r="V23" s="567" t="s">
        <v>448</v>
      </c>
      <c r="W23" s="567" t="s">
        <v>607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/>
      <c r="D24" s="595"/>
      <c r="E24" s="563"/>
      <c r="F24" s="704">
        <f t="shared" ref="F24:F39" si="0">IF(AU25=1,0,INDEX($AJ$42:$AJ$48,$AU25,1)-2*INDEX($AK$42:$AK$48,$AU25,1))</f>
        <v>0</v>
      </c>
      <c r="G24" s="703">
        <f t="shared" ref="G24:G39" si="1">IF(AU25=1,0,0.354*D24/(F24^2))</f>
        <v>0</v>
      </c>
      <c r="H24" s="704">
        <f>IF(AU25=1,0,378*(D24^1.75)/(F24^4.75))</f>
        <v>0</v>
      </c>
      <c r="I24" s="364">
        <f t="shared" ref="I24:I39" si="2">IF(AU25=1,0,INDEX($AM$42:$AM$48,$AU25,1))</f>
        <v>0</v>
      </c>
      <c r="J24" s="595"/>
      <c r="K24" s="719"/>
      <c r="L24" s="595"/>
      <c r="M24" s="719"/>
      <c r="N24" s="595"/>
      <c r="O24" s="719"/>
      <c r="P24" s="595"/>
      <c r="Q24" s="719"/>
      <c r="R24" s="595"/>
      <c r="S24" s="719"/>
      <c r="T24" s="595"/>
      <c r="U24" s="364">
        <f t="shared" ref="U24:U39" si="3">IF(AU25=1,0, INDEX($AK$25:$AP$33,$AV25,$AU25-1)*L24+INDEX($AK$25:$AP$33,$AW25,$AU25-1)*N24+INDEX($AK$25:$AP$33,$AX25,$AU25-1)*P24+INDEX($AK$25:$AP$33,$AY25,$AU25-1)*R24+INDEX($AK$25:$AP$33,$AZ25,$AU25-1)*T24+INDEX($AK$25:$AP$33,$BA25,$AU25-1)*AK66+INDEX($AK$25:$AP$33,$BB25,$AU25-1)*AM66)</f>
        <v>0</v>
      </c>
      <c r="V24" s="364">
        <f t="shared" ref="V24:V39" si="4">J24+U24</f>
        <v>0</v>
      </c>
      <c r="W24" s="704">
        <f t="shared" ref="W24:W39" si="5">H24*V24</f>
        <v>0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83" t="s">
        <v>418</v>
      </c>
      <c r="AW24" s="783"/>
      <c r="AX24" s="783"/>
      <c r="AY24" s="783"/>
      <c r="AZ24" s="783"/>
      <c r="BA24" s="783"/>
      <c r="BB24" s="784"/>
      <c r="BC24" s="220"/>
    </row>
    <row r="25" spans="2:55" ht="18" customHeight="1" x14ac:dyDescent="0.2">
      <c r="C25" s="561"/>
      <c r="D25" s="561"/>
      <c r="E25" s="563"/>
      <c r="F25" s="364">
        <f t="shared" si="0"/>
        <v>0</v>
      </c>
      <c r="G25" s="703">
        <f t="shared" si="1"/>
        <v>0</v>
      </c>
      <c r="H25" s="704">
        <f t="shared" ref="H25:H39" si="6">IF(AU26=1,0,378*(D25^1.75)/(F25^4.75))</f>
        <v>0</v>
      </c>
      <c r="I25" s="364">
        <f t="shared" si="2"/>
        <v>0</v>
      </c>
      <c r="J25" s="595"/>
      <c r="K25" s="719"/>
      <c r="L25" s="595"/>
      <c r="M25" s="719"/>
      <c r="N25" s="595"/>
      <c r="O25" s="719"/>
      <c r="P25" s="595"/>
      <c r="Q25" s="719"/>
      <c r="R25" s="595"/>
      <c r="S25" s="719"/>
      <c r="T25" s="595"/>
      <c r="U25" s="364">
        <f t="shared" si="3"/>
        <v>0</v>
      </c>
      <c r="V25" s="364">
        <f t="shared" si="4"/>
        <v>0</v>
      </c>
      <c r="W25" s="704">
        <f t="shared" si="5"/>
        <v>0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1</v>
      </c>
      <c r="AT25" s="299">
        <f t="shared" ref="AT25:AT40" si="7">C24</f>
        <v>0</v>
      </c>
      <c r="AU25" s="299">
        <v>1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220"/>
    </row>
    <row r="26" spans="2:55" ht="18" customHeight="1" x14ac:dyDescent="0.2">
      <c r="C26" s="561"/>
      <c r="D26" s="561"/>
      <c r="E26" s="563"/>
      <c r="F26" s="364">
        <f t="shared" si="0"/>
        <v>0</v>
      </c>
      <c r="G26" s="703">
        <f t="shared" si="1"/>
        <v>0</v>
      </c>
      <c r="H26" s="704">
        <f t="shared" si="6"/>
        <v>0</v>
      </c>
      <c r="I26" s="364">
        <f t="shared" si="2"/>
        <v>0</v>
      </c>
      <c r="J26" s="595"/>
      <c r="K26" s="719"/>
      <c r="L26" s="595"/>
      <c r="M26" s="719"/>
      <c r="N26" s="595"/>
      <c r="O26" s="719"/>
      <c r="P26" s="595"/>
      <c r="Q26" s="719"/>
      <c r="R26" s="595"/>
      <c r="S26" s="719"/>
      <c r="T26" s="595"/>
      <c r="U26" s="364">
        <f t="shared" si="3"/>
        <v>0</v>
      </c>
      <c r="V26" s="364">
        <f t="shared" si="4"/>
        <v>0</v>
      </c>
      <c r="W26" s="704">
        <f t="shared" si="5"/>
        <v>0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220"/>
    </row>
    <row r="27" spans="2:55" ht="18" customHeight="1" x14ac:dyDescent="0.2">
      <c r="C27" s="561"/>
      <c r="D27" s="561"/>
      <c r="E27" s="563"/>
      <c r="F27" s="364">
        <f t="shared" si="0"/>
        <v>0</v>
      </c>
      <c r="G27" s="703">
        <f t="shared" si="1"/>
        <v>0</v>
      </c>
      <c r="H27" s="704">
        <f t="shared" si="6"/>
        <v>0</v>
      </c>
      <c r="I27" s="364">
        <f t="shared" si="2"/>
        <v>0</v>
      </c>
      <c r="J27" s="595"/>
      <c r="K27" s="719"/>
      <c r="L27" s="595"/>
      <c r="M27" s="719"/>
      <c r="N27" s="595"/>
      <c r="O27" s="719"/>
      <c r="P27" s="595"/>
      <c r="Q27" s="719"/>
      <c r="R27" s="595"/>
      <c r="S27" s="719"/>
      <c r="T27" s="595"/>
      <c r="U27" s="364">
        <f t="shared" si="3"/>
        <v>0</v>
      </c>
      <c r="V27" s="364">
        <f t="shared" si="4"/>
        <v>0</v>
      </c>
      <c r="W27" s="704">
        <f t="shared" si="5"/>
        <v>0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220"/>
    </row>
    <row r="28" spans="2:55" ht="18" customHeight="1" x14ac:dyDescent="0.2">
      <c r="C28" s="561"/>
      <c r="D28" s="561"/>
      <c r="E28" s="563"/>
      <c r="F28" s="364">
        <f t="shared" si="0"/>
        <v>0</v>
      </c>
      <c r="G28" s="703">
        <f t="shared" si="1"/>
        <v>0</v>
      </c>
      <c r="H28" s="704">
        <f t="shared" si="6"/>
        <v>0</v>
      </c>
      <c r="I28" s="364">
        <f t="shared" si="2"/>
        <v>0</v>
      </c>
      <c r="J28" s="595"/>
      <c r="K28" s="719"/>
      <c r="L28" s="595"/>
      <c r="M28" s="719"/>
      <c r="N28" s="595"/>
      <c r="O28" s="719"/>
      <c r="P28" s="595"/>
      <c r="Q28" s="719"/>
      <c r="R28" s="595"/>
      <c r="S28" s="719"/>
      <c r="T28" s="595"/>
      <c r="U28" s="364">
        <f t="shared" si="3"/>
        <v>0</v>
      </c>
      <c r="V28" s="364">
        <f t="shared" si="4"/>
        <v>0</v>
      </c>
      <c r="W28" s="704">
        <f t="shared" si="5"/>
        <v>0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220"/>
    </row>
    <row r="29" spans="2:55" s="105" customFormat="1" ht="18" customHeight="1" x14ac:dyDescent="0.2">
      <c r="C29" s="561"/>
      <c r="D29" s="561"/>
      <c r="E29" s="563"/>
      <c r="F29" s="364">
        <f t="shared" si="0"/>
        <v>0</v>
      </c>
      <c r="G29" s="703">
        <f t="shared" si="1"/>
        <v>0</v>
      </c>
      <c r="H29" s="704">
        <f t="shared" si="6"/>
        <v>0</v>
      </c>
      <c r="I29" s="364">
        <f t="shared" si="2"/>
        <v>0</v>
      </c>
      <c r="J29" s="595"/>
      <c r="K29" s="719"/>
      <c r="L29" s="595"/>
      <c r="M29" s="719"/>
      <c r="N29" s="595"/>
      <c r="O29" s="719"/>
      <c r="P29" s="595"/>
      <c r="Q29" s="719"/>
      <c r="R29" s="595"/>
      <c r="S29" s="719"/>
      <c r="T29" s="595"/>
      <c r="U29" s="364">
        <f t="shared" si="3"/>
        <v>0</v>
      </c>
      <c r="V29" s="364">
        <f t="shared" si="4"/>
        <v>0</v>
      </c>
      <c r="W29" s="704">
        <f t="shared" si="5"/>
        <v>0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6">
        <f>IF(AR25=1,1.5,IF(OR(AR25=2,AR25=3),2.5))</f>
        <v>1.5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228"/>
    </row>
    <row r="30" spans="2:55" s="105" customFormat="1" ht="18" customHeight="1" x14ac:dyDescent="0.2">
      <c r="C30" s="561"/>
      <c r="D30" s="561"/>
      <c r="E30" s="563"/>
      <c r="F30" s="364">
        <f t="shared" si="0"/>
        <v>0</v>
      </c>
      <c r="G30" s="703">
        <f t="shared" si="1"/>
        <v>0</v>
      </c>
      <c r="H30" s="704">
        <f t="shared" si="6"/>
        <v>0</v>
      </c>
      <c r="I30" s="364">
        <f t="shared" si="2"/>
        <v>0</v>
      </c>
      <c r="J30" s="595"/>
      <c r="K30" s="719"/>
      <c r="L30" s="595"/>
      <c r="M30" s="719"/>
      <c r="N30" s="595"/>
      <c r="O30" s="719"/>
      <c r="P30" s="595"/>
      <c r="Q30" s="719"/>
      <c r="R30" s="595"/>
      <c r="S30" s="719"/>
      <c r="T30" s="595"/>
      <c r="U30" s="364">
        <f t="shared" si="3"/>
        <v>0</v>
      </c>
      <c r="V30" s="364">
        <f t="shared" si="4"/>
        <v>0</v>
      </c>
      <c r="W30" s="704">
        <f t="shared" si="5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6">
        <f>IF(AR25=1,2,IF(OR(AR25=2,AR25=3),3))</f>
        <v>2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228"/>
    </row>
    <row r="31" spans="2:55" s="105" customFormat="1" ht="18" customHeight="1" x14ac:dyDescent="0.2">
      <c r="C31" s="561"/>
      <c r="D31" s="561"/>
      <c r="E31" s="563"/>
      <c r="F31" s="364">
        <f t="shared" si="0"/>
        <v>0</v>
      </c>
      <c r="G31" s="703">
        <f t="shared" si="1"/>
        <v>0</v>
      </c>
      <c r="H31" s="704">
        <f t="shared" si="6"/>
        <v>0</v>
      </c>
      <c r="I31" s="364">
        <f t="shared" si="2"/>
        <v>0</v>
      </c>
      <c r="J31" s="595"/>
      <c r="K31" s="719"/>
      <c r="L31" s="595"/>
      <c r="M31" s="719"/>
      <c r="N31" s="595"/>
      <c r="O31" s="719"/>
      <c r="P31" s="595"/>
      <c r="Q31" s="719"/>
      <c r="R31" s="595"/>
      <c r="S31" s="719"/>
      <c r="T31" s="595"/>
      <c r="U31" s="364">
        <f t="shared" si="3"/>
        <v>0</v>
      </c>
      <c r="V31" s="364">
        <f t="shared" si="4"/>
        <v>0</v>
      </c>
      <c r="W31" s="704">
        <f t="shared" si="5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228"/>
    </row>
    <row r="32" spans="2:55" s="105" customFormat="1" ht="18" customHeight="1" x14ac:dyDescent="0.2">
      <c r="C32" s="561"/>
      <c r="D32" s="561"/>
      <c r="E32" s="563"/>
      <c r="F32" s="364">
        <f t="shared" si="0"/>
        <v>0</v>
      </c>
      <c r="G32" s="703">
        <f t="shared" si="1"/>
        <v>0</v>
      </c>
      <c r="H32" s="704">
        <f t="shared" si="6"/>
        <v>0</v>
      </c>
      <c r="I32" s="364">
        <f t="shared" si="2"/>
        <v>0</v>
      </c>
      <c r="J32" s="595"/>
      <c r="K32" s="719"/>
      <c r="L32" s="595"/>
      <c r="M32" s="719"/>
      <c r="N32" s="595"/>
      <c r="O32" s="719"/>
      <c r="P32" s="595"/>
      <c r="Q32" s="719"/>
      <c r="R32" s="595"/>
      <c r="S32" s="719"/>
      <c r="T32" s="595"/>
      <c r="U32" s="364">
        <f t="shared" si="3"/>
        <v>0</v>
      </c>
      <c r="V32" s="364">
        <f t="shared" si="4"/>
        <v>0</v>
      </c>
      <c r="W32" s="704">
        <f t="shared" si="5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228"/>
    </row>
    <row r="33" spans="2:55" ht="18" customHeight="1" x14ac:dyDescent="0.2">
      <c r="C33" s="561"/>
      <c r="D33" s="561"/>
      <c r="E33" s="563"/>
      <c r="F33" s="364">
        <f t="shared" si="0"/>
        <v>0</v>
      </c>
      <c r="G33" s="703">
        <f t="shared" si="1"/>
        <v>0</v>
      </c>
      <c r="H33" s="704">
        <f t="shared" si="6"/>
        <v>0</v>
      </c>
      <c r="I33" s="364">
        <f t="shared" si="2"/>
        <v>0</v>
      </c>
      <c r="J33" s="595"/>
      <c r="K33" s="719"/>
      <c r="L33" s="595"/>
      <c r="M33" s="719"/>
      <c r="N33" s="595"/>
      <c r="O33" s="719"/>
      <c r="P33" s="595"/>
      <c r="Q33" s="719"/>
      <c r="R33" s="595"/>
      <c r="S33" s="719"/>
      <c r="T33" s="595"/>
      <c r="U33" s="364">
        <f t="shared" si="3"/>
        <v>0</v>
      </c>
      <c r="V33" s="364">
        <f t="shared" si="4"/>
        <v>0</v>
      </c>
      <c r="W33" s="704">
        <f t="shared" si="5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220"/>
    </row>
    <row r="34" spans="2:55" ht="18" customHeight="1" x14ac:dyDescent="0.2">
      <c r="C34" s="561"/>
      <c r="D34" s="561"/>
      <c r="E34" s="563"/>
      <c r="F34" s="364">
        <f t="shared" si="0"/>
        <v>0</v>
      </c>
      <c r="G34" s="703">
        <f t="shared" si="1"/>
        <v>0</v>
      </c>
      <c r="H34" s="704">
        <f t="shared" si="6"/>
        <v>0</v>
      </c>
      <c r="I34" s="364">
        <f t="shared" si="2"/>
        <v>0</v>
      </c>
      <c r="J34" s="595"/>
      <c r="K34" s="719"/>
      <c r="L34" s="595"/>
      <c r="M34" s="719"/>
      <c r="N34" s="595"/>
      <c r="O34" s="719"/>
      <c r="P34" s="595"/>
      <c r="Q34" s="719"/>
      <c r="R34" s="595"/>
      <c r="S34" s="719"/>
      <c r="T34" s="595"/>
      <c r="U34" s="364">
        <f t="shared" si="3"/>
        <v>0</v>
      </c>
      <c r="V34" s="364">
        <f t="shared" si="4"/>
        <v>0</v>
      </c>
      <c r="W34" s="704">
        <f t="shared" si="5"/>
        <v>0</v>
      </c>
      <c r="AI34" s="221"/>
      <c r="AR34" s="239"/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220"/>
    </row>
    <row r="35" spans="2:55" ht="18" customHeight="1" x14ac:dyDescent="0.2">
      <c r="C35" s="561"/>
      <c r="D35" s="561"/>
      <c r="E35" s="563"/>
      <c r="F35" s="364">
        <f t="shared" si="0"/>
        <v>0</v>
      </c>
      <c r="G35" s="703">
        <f t="shared" si="1"/>
        <v>0</v>
      </c>
      <c r="H35" s="704">
        <f t="shared" si="6"/>
        <v>0</v>
      </c>
      <c r="I35" s="364">
        <f t="shared" si="2"/>
        <v>0</v>
      </c>
      <c r="J35" s="595"/>
      <c r="K35" s="719"/>
      <c r="L35" s="595"/>
      <c r="M35" s="719"/>
      <c r="N35" s="595"/>
      <c r="O35" s="719"/>
      <c r="P35" s="595"/>
      <c r="Q35" s="719"/>
      <c r="R35" s="595"/>
      <c r="S35" s="719"/>
      <c r="T35" s="595"/>
      <c r="U35" s="364">
        <f t="shared" si="3"/>
        <v>0</v>
      </c>
      <c r="V35" s="364">
        <f t="shared" si="4"/>
        <v>0</v>
      </c>
      <c r="W35" s="704">
        <f t="shared" si="5"/>
        <v>0</v>
      </c>
      <c r="AI35" s="221"/>
      <c r="AJ35" s="5"/>
      <c r="AR35" s="108"/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220"/>
    </row>
    <row r="36" spans="2:55" ht="18" customHeight="1" x14ac:dyDescent="0.2">
      <c r="C36" s="561"/>
      <c r="D36" s="561"/>
      <c r="E36" s="563"/>
      <c r="F36" s="364">
        <f t="shared" si="0"/>
        <v>0</v>
      </c>
      <c r="G36" s="703">
        <f t="shared" si="1"/>
        <v>0</v>
      </c>
      <c r="H36" s="704">
        <f t="shared" si="6"/>
        <v>0</v>
      </c>
      <c r="I36" s="364">
        <f t="shared" si="2"/>
        <v>0</v>
      </c>
      <c r="J36" s="595"/>
      <c r="K36" s="719"/>
      <c r="L36" s="595"/>
      <c r="M36" s="719"/>
      <c r="N36" s="595"/>
      <c r="O36" s="719"/>
      <c r="P36" s="595"/>
      <c r="Q36" s="719"/>
      <c r="R36" s="595"/>
      <c r="S36" s="719"/>
      <c r="T36" s="595"/>
      <c r="U36" s="364">
        <f t="shared" si="3"/>
        <v>0</v>
      </c>
      <c r="V36" s="364">
        <f t="shared" si="4"/>
        <v>0</v>
      </c>
      <c r="W36" s="704">
        <f t="shared" si="5"/>
        <v>0</v>
      </c>
      <c r="AI36" s="221"/>
      <c r="AJ36" s="3"/>
      <c r="AK36" s="3"/>
      <c r="AR36" s="240"/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220"/>
    </row>
    <row r="37" spans="2:55" ht="18" customHeight="1" x14ac:dyDescent="0.2">
      <c r="C37" s="561"/>
      <c r="D37" s="561"/>
      <c r="E37" s="563"/>
      <c r="F37" s="364">
        <f t="shared" si="0"/>
        <v>0</v>
      </c>
      <c r="G37" s="703">
        <f t="shared" si="1"/>
        <v>0</v>
      </c>
      <c r="H37" s="704">
        <f t="shared" si="6"/>
        <v>0</v>
      </c>
      <c r="I37" s="364">
        <f t="shared" si="2"/>
        <v>0</v>
      </c>
      <c r="J37" s="595"/>
      <c r="K37" s="719"/>
      <c r="L37" s="595"/>
      <c r="M37" s="719"/>
      <c r="N37" s="595"/>
      <c r="O37" s="719"/>
      <c r="P37" s="595"/>
      <c r="Q37" s="719"/>
      <c r="R37" s="595"/>
      <c r="S37" s="719"/>
      <c r="T37" s="595"/>
      <c r="U37" s="364">
        <f t="shared" si="3"/>
        <v>0</v>
      </c>
      <c r="V37" s="364">
        <f t="shared" si="4"/>
        <v>0</v>
      </c>
      <c r="W37" s="704">
        <f t="shared" si="5"/>
        <v>0</v>
      </c>
      <c r="AI37" s="221"/>
      <c r="AJ37" s="3"/>
      <c r="AK37" s="35"/>
      <c r="AR37" s="240"/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220"/>
    </row>
    <row r="38" spans="2:55" ht="18" customHeight="1" x14ac:dyDescent="0.2">
      <c r="C38" s="561"/>
      <c r="D38" s="561"/>
      <c r="E38" s="563"/>
      <c r="F38" s="364">
        <f t="shared" si="0"/>
        <v>0</v>
      </c>
      <c r="G38" s="703">
        <f t="shared" si="1"/>
        <v>0</v>
      </c>
      <c r="H38" s="704">
        <f t="shared" si="6"/>
        <v>0</v>
      </c>
      <c r="I38" s="364">
        <f t="shared" si="2"/>
        <v>0</v>
      </c>
      <c r="J38" s="595"/>
      <c r="K38" s="719"/>
      <c r="L38" s="595"/>
      <c r="M38" s="719"/>
      <c r="N38" s="595"/>
      <c r="O38" s="719"/>
      <c r="P38" s="595"/>
      <c r="Q38" s="719"/>
      <c r="R38" s="595"/>
      <c r="S38" s="719"/>
      <c r="T38" s="595"/>
      <c r="U38" s="364">
        <f t="shared" si="3"/>
        <v>0</v>
      </c>
      <c r="V38" s="364">
        <f t="shared" si="4"/>
        <v>0</v>
      </c>
      <c r="W38" s="704">
        <f t="shared" si="5"/>
        <v>0</v>
      </c>
      <c r="AI38" s="221"/>
      <c r="AJ38" s="3"/>
      <c r="AK38" s="35"/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220"/>
    </row>
    <row r="39" spans="2:55" ht="18" customHeight="1" x14ac:dyDescent="0.2">
      <c r="C39" s="570"/>
      <c r="D39" s="570"/>
      <c r="E39" s="572"/>
      <c r="F39" s="709">
        <f t="shared" si="0"/>
        <v>0</v>
      </c>
      <c r="G39" s="710">
        <f t="shared" si="1"/>
        <v>0</v>
      </c>
      <c r="H39" s="711">
        <f t="shared" si="6"/>
        <v>0</v>
      </c>
      <c r="I39" s="709">
        <f t="shared" si="2"/>
        <v>0</v>
      </c>
      <c r="J39" s="613"/>
      <c r="K39" s="722"/>
      <c r="L39" s="613"/>
      <c r="M39" s="722"/>
      <c r="N39" s="613"/>
      <c r="O39" s="722"/>
      <c r="P39" s="613"/>
      <c r="Q39" s="722"/>
      <c r="R39" s="613"/>
      <c r="S39" s="722"/>
      <c r="T39" s="613"/>
      <c r="U39" s="709">
        <f t="shared" si="3"/>
        <v>0</v>
      </c>
      <c r="V39" s="709">
        <f t="shared" si="4"/>
        <v>0</v>
      </c>
      <c r="W39" s="711">
        <f t="shared" si="5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220"/>
    </row>
    <row r="40" spans="2:55" ht="18" customHeight="1" x14ac:dyDescent="0.2">
      <c r="K40" s="347" t="s">
        <v>499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220"/>
    </row>
    <row r="41" spans="2:55" ht="18" customHeight="1" x14ac:dyDescent="0.2">
      <c r="C41" s="441" t="s">
        <v>455</v>
      </c>
      <c r="D41" s="443"/>
      <c r="E41" s="443"/>
      <c r="F41" s="443"/>
      <c r="G41" s="444" t="s">
        <v>605</v>
      </c>
      <c r="H41" s="578">
        <v>0.30573991949513935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H42" s="40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498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580" t="s">
        <v>479</v>
      </c>
      <c r="D43" s="438"/>
      <c r="E43" s="438"/>
      <c r="F43" s="438"/>
      <c r="G43" s="438"/>
      <c r="H43" s="24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56" t="s">
        <v>383</v>
      </c>
      <c r="AR43" s="2"/>
      <c r="AT43" s="169" t="s">
        <v>565</v>
      </c>
      <c r="AU43" s="3"/>
      <c r="AV43" s="3"/>
      <c r="AW43" s="3"/>
      <c r="AX43" s="3"/>
      <c r="BC43" s="220"/>
    </row>
    <row r="44" spans="2:55" ht="18" customHeight="1" x14ac:dyDescent="0.2">
      <c r="C44" s="292" t="s">
        <v>480</v>
      </c>
      <c r="D44" s="294"/>
      <c r="E44" s="294"/>
      <c r="F44" s="294"/>
      <c r="G44" s="294"/>
      <c r="J44" s="33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185">
        <v>20</v>
      </c>
      <c r="AT44" s="169" t="s">
        <v>567</v>
      </c>
      <c r="AU44" s="3"/>
      <c r="AV44" s="3"/>
      <c r="AW44" s="3"/>
      <c r="AX44" s="3"/>
      <c r="BC44" s="220"/>
    </row>
    <row r="45" spans="2:55" ht="15" x14ac:dyDescent="0.2">
      <c r="C45" s="436" t="s">
        <v>450</v>
      </c>
      <c r="D45" s="438"/>
      <c r="E45" s="438"/>
      <c r="F45" s="438"/>
      <c r="G45" s="448" t="s">
        <v>605</v>
      </c>
      <c r="H45" s="581"/>
      <c r="J45" s="347" t="s">
        <v>604</v>
      </c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183">
        <v>20</v>
      </c>
      <c r="AT45" s="169" t="s">
        <v>566</v>
      </c>
      <c r="AU45" s="3"/>
      <c r="AV45" s="3"/>
      <c r="AW45" s="3"/>
      <c r="AX45" s="3"/>
      <c r="BC45" s="220"/>
    </row>
    <row r="46" spans="2:55" ht="19.5" x14ac:dyDescent="0.35">
      <c r="C46" s="292" t="s">
        <v>481</v>
      </c>
      <c r="D46" s="294"/>
      <c r="E46" s="294"/>
      <c r="F46" s="294"/>
      <c r="G46" s="290"/>
      <c r="H46" s="214"/>
      <c r="J46" s="33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183">
        <v>30</v>
      </c>
      <c r="AT46" s="297">
        <v>1</v>
      </c>
      <c r="AU46" s="3"/>
      <c r="AV46" s="3"/>
      <c r="AW46" s="3"/>
      <c r="AX46" s="3"/>
      <c r="BC46" s="220"/>
    </row>
    <row r="47" spans="2:55" ht="15.75" thickBot="1" x14ac:dyDescent="0.25">
      <c r="B47" s="197"/>
      <c r="C47" s="428" t="s">
        <v>482</v>
      </c>
      <c r="D47" s="427"/>
      <c r="E47" s="427"/>
      <c r="F47" s="427"/>
      <c r="G47" s="558" t="s">
        <v>605</v>
      </c>
      <c r="H47" s="602">
        <f>$H$41+$H$45</f>
        <v>0.30573991949513935</v>
      </c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88">
        <v>30</v>
      </c>
      <c r="AT47" s="3"/>
      <c r="AU47" s="3"/>
      <c r="AV47" s="3"/>
      <c r="AW47" s="3"/>
      <c r="AX47" s="3"/>
      <c r="BC47" s="220"/>
    </row>
    <row r="48" spans="2:55" x14ac:dyDescent="0.2">
      <c r="B48" s="197"/>
      <c r="C48" s="294"/>
      <c r="D48" s="294"/>
      <c r="E48" s="294"/>
      <c r="F48" s="294"/>
      <c r="G48" s="294"/>
      <c r="H48" s="10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x14ac:dyDescent="0.25">
      <c r="B49" s="197"/>
      <c r="C49" s="580" t="s">
        <v>483</v>
      </c>
      <c r="D49" s="438"/>
      <c r="E49" s="438"/>
      <c r="F49" s="438"/>
      <c r="G49" s="438"/>
      <c r="H49" s="583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ht="15.75" x14ac:dyDescent="0.2">
      <c r="B50" s="197"/>
      <c r="C50" s="292" t="s">
        <v>438</v>
      </c>
      <c r="D50" s="294"/>
      <c r="E50" s="294"/>
      <c r="F50" s="294"/>
      <c r="G50" s="290" t="s">
        <v>414</v>
      </c>
      <c r="H50" s="550">
        <f>H8</f>
        <v>1398</v>
      </c>
      <c r="AI50" s="221"/>
      <c r="AJ50" s="5"/>
      <c r="AK50" s="5"/>
      <c r="AL50" s="3"/>
      <c r="AM50" s="3"/>
      <c r="AT50" s="3"/>
      <c r="AU50" s="3"/>
      <c r="AV50" s="3"/>
      <c r="AW50" s="3"/>
      <c r="AX50" s="3"/>
      <c r="BC50" s="220"/>
    </row>
    <row r="51" spans="2:55" ht="16.5" thickBot="1" x14ac:dyDescent="0.25">
      <c r="B51" s="197"/>
      <c r="C51" s="428" t="s">
        <v>472</v>
      </c>
      <c r="D51" s="427"/>
      <c r="E51" s="427"/>
      <c r="F51" s="427"/>
      <c r="G51" s="558" t="s">
        <v>605</v>
      </c>
      <c r="H51" s="584">
        <f>H47</f>
        <v>0.30573991949513935</v>
      </c>
      <c r="AI51" s="224"/>
      <c r="AJ51" s="242"/>
      <c r="AK51" s="242"/>
      <c r="AL51" s="242"/>
      <c r="AM51" s="242"/>
      <c r="AN51" s="225"/>
      <c r="AO51" s="225"/>
      <c r="AP51" s="225"/>
      <c r="AQ51" s="225"/>
      <c r="AR51" s="225"/>
      <c r="AS51" s="225"/>
      <c r="AT51" s="242"/>
      <c r="AU51" s="242"/>
      <c r="AV51" s="242"/>
      <c r="AW51" s="242"/>
      <c r="AX51" s="242"/>
      <c r="AY51" s="225"/>
      <c r="AZ51" s="225"/>
      <c r="BA51" s="225"/>
      <c r="BB51" s="225"/>
      <c r="BC51" s="226"/>
    </row>
    <row r="52" spans="2:55" x14ac:dyDescent="0.2">
      <c r="B52" s="197"/>
      <c r="C52" s="294"/>
      <c r="D52" s="294"/>
      <c r="E52" s="294"/>
      <c r="F52" s="294"/>
      <c r="G52" s="294"/>
      <c r="AI52" s="229"/>
      <c r="AJ52" s="261"/>
      <c r="AK52" s="262"/>
      <c r="AL52" s="261"/>
      <c r="AM52" s="261"/>
      <c r="AN52" s="229"/>
      <c r="AO52" s="229"/>
      <c r="AP52" s="229"/>
      <c r="AT52" s="3"/>
      <c r="AU52" s="3"/>
      <c r="AV52" s="3"/>
      <c r="AW52" s="3"/>
      <c r="AX52" s="3"/>
    </row>
    <row r="53" spans="2:55" ht="15.75" x14ac:dyDescent="0.25">
      <c r="B53" s="197"/>
      <c r="C53" s="580" t="s">
        <v>670</v>
      </c>
      <c r="D53" s="438"/>
      <c r="E53" s="438"/>
      <c r="F53" s="438"/>
      <c r="G53" s="438"/>
      <c r="H53" s="244"/>
      <c r="AJ53" s="3"/>
      <c r="AK53" s="35"/>
      <c r="AT53" s="3"/>
      <c r="AU53" s="3"/>
      <c r="AV53" s="3"/>
      <c r="AW53" s="3"/>
      <c r="AX53" s="3"/>
    </row>
    <row r="54" spans="2:55" ht="15" x14ac:dyDescent="0.2">
      <c r="B54" s="197"/>
      <c r="C54" s="292" t="s">
        <v>565</v>
      </c>
      <c r="D54" s="294"/>
      <c r="E54" s="294"/>
      <c r="F54" s="294"/>
      <c r="G54" s="294"/>
      <c r="J54" s="347" t="s">
        <v>568</v>
      </c>
      <c r="AJ54" s="3"/>
      <c r="AK54" s="35"/>
      <c r="AT54" s="3"/>
      <c r="AU54" s="3"/>
      <c r="AV54" s="3"/>
      <c r="AW54" s="3"/>
      <c r="AX54" s="3"/>
    </row>
    <row r="55" spans="2:55" ht="18" customHeight="1" x14ac:dyDescent="0.2">
      <c r="B55" s="197"/>
      <c r="C55" s="292" t="str">
        <f>IF(AT46=1,"Potencia mínima de intercambio deseada","Superficie útil de intercambio")</f>
        <v>Potencia mínima de intercambio deseada</v>
      </c>
      <c r="D55" s="294"/>
      <c r="E55" s="294"/>
      <c r="F55" s="294"/>
      <c r="G55" s="290" t="str">
        <f>IF(AT46=1,"W/m2","m2/m2 capt")</f>
        <v>W/m2</v>
      </c>
      <c r="H55" s="579"/>
      <c r="J55" s="347" t="str">
        <f>IF(AT46=1,"Mínimo 600 W/m2","Mínimo 0,2 m2/m2 captadores")</f>
        <v>Mínimo 600 W/m2</v>
      </c>
      <c r="AJ55" s="3"/>
      <c r="AK55" s="35"/>
      <c r="AT55" s="3"/>
      <c r="AU55" s="3"/>
      <c r="AV55" s="3"/>
      <c r="AW55" s="3"/>
      <c r="AX55" s="3"/>
    </row>
    <row r="56" spans="2:55" ht="15.75" x14ac:dyDescent="0.2">
      <c r="B56" s="197"/>
      <c r="C56" s="436"/>
      <c r="D56" s="438"/>
      <c r="E56" s="438"/>
      <c r="F56" s="438"/>
      <c r="G56" s="448" t="str">
        <f>IF(AT46=1,"kW","m2")</f>
        <v>kW</v>
      </c>
      <c r="H56" s="738">
        <f>IF(AT46=1,H55*Principal!G66/1000,H55*Principal!G66)</f>
        <v>0</v>
      </c>
      <c r="AJ56" s="3"/>
      <c r="AK56" s="35"/>
      <c r="AT56" s="3"/>
      <c r="AU56" s="3"/>
      <c r="AV56" s="3"/>
      <c r="AW56" s="3"/>
      <c r="AX56" s="3"/>
    </row>
    <row r="57" spans="2:55" ht="15.75" x14ac:dyDescent="0.2">
      <c r="B57" s="197"/>
      <c r="C57" s="292" t="str">
        <f>IF(AT46=1,"Caudal lado primario","Caudal fluido caloportador")</f>
        <v>Caudal lado primario</v>
      </c>
      <c r="D57" s="294"/>
      <c r="E57" s="294"/>
      <c r="F57" s="294"/>
      <c r="G57" s="290" t="s">
        <v>414</v>
      </c>
      <c r="H57" s="550">
        <f>CH_Prim!H8</f>
        <v>1398</v>
      </c>
      <c r="J57" s="33"/>
      <c r="AT57" s="3"/>
      <c r="AU57" s="3"/>
      <c r="AV57" s="3"/>
      <c r="AW57" s="3"/>
      <c r="AX57" s="3"/>
    </row>
    <row r="58" spans="2:55" ht="15" x14ac:dyDescent="0.2">
      <c r="B58" s="197"/>
      <c r="C58" s="332" t="str">
        <f>IF(AT46=1,"Temp de entrada a intercamb lado primario","Temp. de entrada a intercambiador")</f>
        <v>Temp de entrada a intercamb lado primario</v>
      </c>
      <c r="D58" s="333"/>
      <c r="E58" s="333"/>
      <c r="F58" s="290"/>
      <c r="G58" s="290" t="s">
        <v>12</v>
      </c>
      <c r="H58" s="579"/>
      <c r="J58" s="33"/>
      <c r="AT58" s="3"/>
      <c r="AU58" s="3"/>
      <c r="AV58" s="3"/>
      <c r="AW58" s="3"/>
      <c r="AX58" s="3"/>
    </row>
    <row r="59" spans="2:55" ht="15" x14ac:dyDescent="0.2">
      <c r="B59" s="197"/>
      <c r="C59" s="436" t="s">
        <v>417</v>
      </c>
      <c r="D59" s="438"/>
      <c r="E59" s="438"/>
      <c r="F59" s="438"/>
      <c r="G59" s="448"/>
      <c r="H59" s="739" t="str">
        <f>IF(CH_Prim!AR35=1,"agua sin aditivos","agua con anticongelante")</f>
        <v>agua con anticongelante</v>
      </c>
      <c r="J59" s="33"/>
      <c r="AT59" s="3"/>
      <c r="AU59" s="3"/>
      <c r="AV59" s="3"/>
      <c r="AW59" s="3"/>
      <c r="AX59" s="3"/>
    </row>
    <row r="60" spans="2:55" ht="15.75" x14ac:dyDescent="0.2">
      <c r="B60" s="197"/>
      <c r="C60" s="292" t="str">
        <f>IF(AT46=1,"Caudal lado secundario","")</f>
        <v>Caudal lado secundario</v>
      </c>
      <c r="D60" s="294"/>
      <c r="E60" s="294"/>
      <c r="F60" s="294"/>
      <c r="G60" s="290" t="str">
        <f>IF(AT46=1,"litros/h","")</f>
        <v>litros/h</v>
      </c>
      <c r="H60" s="550">
        <f>IF(AT46=1,H8,"")</f>
        <v>1398</v>
      </c>
      <c r="J60" s="33"/>
      <c r="AT60" s="3"/>
      <c r="AU60" s="3"/>
      <c r="AV60" s="3"/>
      <c r="AW60" s="3"/>
      <c r="AX60" s="3"/>
    </row>
    <row r="61" spans="2:55" ht="15" x14ac:dyDescent="0.2">
      <c r="B61" s="197"/>
      <c r="C61" s="332" t="str">
        <f>IF(AT46=1,"Temp de entrada a intercamb lado secundario","")</f>
        <v>Temp de entrada a intercamb lado secundario</v>
      </c>
      <c r="D61" s="333"/>
      <c r="E61" s="333"/>
      <c r="F61" s="290"/>
      <c r="G61" s="290" t="str">
        <f>IF(AT46=1,"ºC","")</f>
        <v>ºC</v>
      </c>
      <c r="H61" s="579"/>
      <c r="AT61" s="3"/>
      <c r="AU61" s="3"/>
      <c r="AV61" s="3"/>
      <c r="AW61" s="3"/>
      <c r="AX61" s="3"/>
    </row>
    <row r="62" spans="2:55" ht="15.75" thickBot="1" x14ac:dyDescent="0.25">
      <c r="B62" s="197"/>
      <c r="C62" s="428" t="str">
        <f>IF(AT46=1,"Fluido del circuito secundario","")</f>
        <v>Fluido del circuito secundario</v>
      </c>
      <c r="D62" s="427"/>
      <c r="E62" s="427"/>
      <c r="F62" s="427"/>
      <c r="G62" s="558"/>
      <c r="H62" s="604" t="str">
        <f>IF(AT46=1,"agua","")</f>
        <v>agua</v>
      </c>
      <c r="AT62" s="3"/>
      <c r="AU62" s="3"/>
      <c r="AV62" s="3"/>
      <c r="AW62" s="3"/>
      <c r="AX62" s="3"/>
    </row>
    <row r="63" spans="2:55" x14ac:dyDescent="0.2">
      <c r="B63" s="197"/>
      <c r="J63" s="6"/>
      <c r="K63" s="5"/>
      <c r="L63" s="5"/>
    </row>
    <row r="64" spans="2:55" ht="15.75" thickBot="1" x14ac:dyDescent="0.25">
      <c r="B64" s="422"/>
      <c r="C64" s="605"/>
      <c r="D64" s="422"/>
      <c r="E64" s="422"/>
      <c r="F64" s="422"/>
      <c r="G64" s="606"/>
      <c r="H64" s="607"/>
      <c r="I64" s="422"/>
      <c r="J64" s="422"/>
      <c r="K64" s="422"/>
      <c r="L64" s="422"/>
      <c r="M64" s="422"/>
      <c r="N64" s="422"/>
      <c r="O64" s="422"/>
      <c r="P64" s="422"/>
      <c r="Q64" s="422"/>
      <c r="R64" s="422"/>
      <c r="S64" s="422"/>
      <c r="T64" s="422"/>
      <c r="U64" s="422"/>
      <c r="V64" s="422"/>
      <c r="W64" s="422"/>
    </row>
    <row r="65" spans="2:39" ht="13.5" thickTop="1" x14ac:dyDescent="0.2">
      <c r="B65" s="546" t="s">
        <v>722</v>
      </c>
      <c r="H65" s="6"/>
      <c r="I65" s="6"/>
    </row>
    <row r="67" spans="2:39" ht="15" customHeight="1" x14ac:dyDescent="0.2">
      <c r="AJ67" s="105"/>
      <c r="AK67" s="197"/>
      <c r="AL67" s="105"/>
      <c r="AM67" s="197"/>
    </row>
    <row r="68" spans="2:39" ht="15.75" customHeight="1" x14ac:dyDescent="0.2">
      <c r="AJ68" s="105"/>
      <c r="AK68" s="197"/>
      <c r="AL68" s="105"/>
      <c r="AM68" s="197"/>
    </row>
    <row r="69" spans="2:39" ht="15" customHeight="1" x14ac:dyDescent="0.2">
      <c r="AJ69" s="105"/>
      <c r="AK69" s="197"/>
      <c r="AL69" s="105"/>
      <c r="AM69" s="197"/>
    </row>
    <row r="70" spans="2:39" x14ac:dyDescent="0.2">
      <c r="AJ70" s="105"/>
      <c r="AK70" s="197"/>
      <c r="AL70" s="105"/>
      <c r="AM70" s="197"/>
    </row>
    <row r="71" spans="2:39" x14ac:dyDescent="0.2">
      <c r="H71" s="6"/>
      <c r="I71" s="195"/>
      <c r="AJ71" s="105"/>
      <c r="AK71" s="197"/>
      <c r="AL71" s="105"/>
      <c r="AM71" s="197"/>
    </row>
    <row r="72" spans="2:39" x14ac:dyDescent="0.2">
      <c r="AJ72" s="105"/>
      <c r="AK72" s="197"/>
      <c r="AL72" s="105"/>
      <c r="AM72" s="197"/>
    </row>
    <row r="73" spans="2:39" x14ac:dyDescent="0.2">
      <c r="AJ73" s="105"/>
      <c r="AK73" s="197"/>
      <c r="AL73" s="105"/>
      <c r="AM73" s="197"/>
    </row>
    <row r="74" spans="2:39" x14ac:dyDescent="0.2">
      <c r="B74" s="196"/>
      <c r="C74" s="3"/>
      <c r="D74" s="197"/>
      <c r="E74" s="11"/>
      <c r="F74" s="11"/>
      <c r="H74" s="6"/>
      <c r="I74" s="216"/>
      <c r="AJ74" s="105"/>
      <c r="AK74" s="197"/>
      <c r="AL74" s="105"/>
      <c r="AM74" s="197"/>
    </row>
    <row r="75" spans="2:39" x14ac:dyDescent="0.2">
      <c r="B75" s="196"/>
      <c r="C75" s="3"/>
      <c r="D75" s="197"/>
      <c r="E75" s="11"/>
      <c r="F75" s="11"/>
      <c r="H75" s="6"/>
      <c r="I75" s="216"/>
      <c r="AJ75" s="105"/>
      <c r="AK75" s="197"/>
      <c r="AL75" s="105"/>
      <c r="AM75" s="197"/>
    </row>
    <row r="76" spans="2:39" x14ac:dyDescent="0.2">
      <c r="B76" s="196"/>
      <c r="C76" s="3"/>
      <c r="D76" s="197"/>
      <c r="E76" s="11"/>
      <c r="F76" s="11"/>
      <c r="AJ76" s="105"/>
      <c r="AK76" s="197"/>
      <c r="AL76" s="105"/>
      <c r="AM76" s="197"/>
    </row>
    <row r="77" spans="2:39" x14ac:dyDescent="0.2">
      <c r="AJ77" s="105"/>
      <c r="AK77" s="197"/>
      <c r="AL77" s="105"/>
      <c r="AM77" s="197"/>
    </row>
    <row r="78" spans="2:39" x14ac:dyDescent="0.2">
      <c r="H78" s="172"/>
      <c r="I78" s="192"/>
      <c r="J78" s="5"/>
      <c r="AJ78" s="105"/>
      <c r="AK78" s="197"/>
      <c r="AL78" s="105"/>
      <c r="AM78" s="197"/>
    </row>
    <row r="79" spans="2:39" x14ac:dyDescent="0.2">
      <c r="AJ79" s="105"/>
      <c r="AK79" s="197"/>
      <c r="AL79" s="105"/>
      <c r="AM79" s="197"/>
    </row>
    <row r="80" spans="2:39" x14ac:dyDescent="0.2">
      <c r="AJ80" s="105"/>
      <c r="AK80" s="197"/>
      <c r="AL80" s="105"/>
      <c r="AM80" s="197"/>
    </row>
    <row r="81" spans="36:39" x14ac:dyDescent="0.2">
      <c r="AJ81" s="105"/>
      <c r="AK81" s="197"/>
      <c r="AL81" s="105"/>
      <c r="AM81" s="197"/>
    </row>
  </sheetData>
  <mergeCells count="5">
    <mergeCell ref="B3:W3"/>
    <mergeCell ref="AV24:BB24"/>
    <mergeCell ref="K22:T22"/>
    <mergeCell ref="AK22:AP22"/>
    <mergeCell ref="AI20:AO20"/>
  </mergeCells>
  <phoneticPr fontId="56" type="noConversion"/>
  <conditionalFormatting sqref="H24:H39">
    <cfRule type="cellIs" dxfId="12" priority="1" stopIfTrue="1" operator="greaterThan">
      <formula>40</formula>
    </cfRule>
  </conditionalFormatting>
  <conditionalFormatting sqref="G24:G39">
    <cfRule type="cellIs" dxfId="11" priority="2" stopIfTrue="1" operator="between">
      <formula>$AR$29</formula>
      <formula>$AR$30</formula>
    </cfRule>
    <cfRule type="cellIs" dxfId="10" priority="3" stopIfTrue="1" operator="greaterThanOrEqual">
      <formula>$AR$30</formula>
    </cfRule>
  </conditionalFormatting>
  <pageMargins left="0.75" right="0.75" top="1" bottom="1" header="0" footer="0"/>
  <pageSetup paperSize="9" scale="4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4" r:id="rId4" name="Drop Down 144">
              <controlPr defaultSize="0" autoLine="0" autoPict="0" macro="[0]!CambioTopologiaIntercambiador">
                <anchor moveWithCells="1">
                  <from>
                    <xdr:col>6</xdr:col>
                    <xdr:colOff>952500</xdr:colOff>
                    <xdr:row>53</xdr:row>
                    <xdr:rowOff>9525</xdr:rowOff>
                  </from>
                  <to>
                    <xdr:col>8</xdr:col>
                    <xdr:colOff>209550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1" r:id="rId5" name="Drop Down 1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47625</xdr:rowOff>
                  </from>
                  <to>
                    <xdr:col>8</xdr:col>
                    <xdr:colOff>95250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Drop Down 2">
              <controlPr defaultSize="0" autoLine="0" autoPict="0">
                <anchor moveWithCells="1">
                  <from>
                    <xdr:col>3</xdr:col>
                    <xdr:colOff>1695450</xdr:colOff>
                    <xdr:row>23</xdr:row>
                    <xdr:rowOff>9525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Drop Down 3">
              <controlPr defaultSize="0" autoLine="0" autoPict="0">
                <anchor moveWithCells="1">
                  <from>
                    <xdr:col>9</xdr:col>
                    <xdr:colOff>895350</xdr:colOff>
                    <xdr:row>23</xdr:row>
                    <xdr:rowOff>0</xdr:rowOff>
                  </from>
                  <to>
                    <xdr:col>11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8" name="Drop Down 4">
              <controlPr defaultSize="0" autoLine="0" autoPict="0">
                <anchor moveWithCells="1">
                  <from>
                    <xdr:col>3</xdr:col>
                    <xdr:colOff>1695450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9" name="Drop Down 5">
              <controlPr defaultSize="0" autoLine="0" autoPict="0">
                <anchor moveWithCells="1">
                  <from>
                    <xdr:col>9</xdr:col>
                    <xdr:colOff>895350</xdr:colOff>
                    <xdr:row>24</xdr:row>
                    <xdr:rowOff>0</xdr:rowOff>
                  </from>
                  <to>
                    <xdr:col>11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10" name="Drop Down 6">
              <controlPr defaultSize="0" autoLine="0" autoPict="0">
                <anchor moveWithCells="1">
                  <from>
                    <xdr:col>3</xdr:col>
                    <xdr:colOff>1695450</xdr:colOff>
                    <xdr:row>25</xdr:row>
                    <xdr:rowOff>9525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1" name="Drop Down 7">
              <controlPr defaultSize="0" autoLine="0" autoPict="0">
                <anchor moveWithCells="1">
                  <from>
                    <xdr:col>9</xdr:col>
                    <xdr:colOff>895350</xdr:colOff>
                    <xdr:row>25</xdr:row>
                    <xdr:rowOff>0</xdr:rowOff>
                  </from>
                  <to>
                    <xdr:col>11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2" name="Drop Down 8">
              <controlPr defaultSize="0" autoLine="0" autoPict="0">
                <anchor moveWithCells="1">
                  <from>
                    <xdr:col>3</xdr:col>
                    <xdr:colOff>1695450</xdr:colOff>
                    <xdr:row>26</xdr:row>
                    <xdr:rowOff>9525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3" name="Drop Down 9">
              <controlPr defaultSize="0" autoLine="0" autoPict="0">
                <anchor moveWithCells="1">
                  <from>
                    <xdr:col>9</xdr:col>
                    <xdr:colOff>895350</xdr:colOff>
                    <xdr:row>26</xdr:row>
                    <xdr:rowOff>0</xdr:rowOff>
                  </from>
                  <to>
                    <xdr:col>11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4" name="Drop Down 10">
              <controlPr defaultSize="0" autoLine="0" autoPict="0">
                <anchor moveWithCells="1">
                  <from>
                    <xdr:col>11</xdr:col>
                    <xdr:colOff>895350</xdr:colOff>
                    <xdr:row>23</xdr:row>
                    <xdr:rowOff>0</xdr:rowOff>
                  </from>
                  <to>
                    <xdr:col>13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5" name="Drop Down 11">
              <controlPr defaultSize="0" autoLine="0" autoPict="0">
                <anchor moveWithCells="1">
                  <from>
                    <xdr:col>11</xdr:col>
                    <xdr:colOff>895350</xdr:colOff>
                    <xdr:row>24</xdr:row>
                    <xdr:rowOff>0</xdr:rowOff>
                  </from>
                  <to>
                    <xdr:col>13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6" name="Drop Down 12">
              <controlPr defaultSize="0" autoLine="0" autoPict="0">
                <anchor moveWithCells="1">
                  <from>
                    <xdr:col>11</xdr:col>
                    <xdr:colOff>895350</xdr:colOff>
                    <xdr:row>25</xdr:row>
                    <xdr:rowOff>0</xdr:rowOff>
                  </from>
                  <to>
                    <xdr:col>13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7" name="Drop Down 13">
              <controlPr defaultSize="0" autoLine="0" autoPict="0">
                <anchor moveWithCells="1">
                  <from>
                    <xdr:col>11</xdr:col>
                    <xdr:colOff>895350</xdr:colOff>
                    <xdr:row>26</xdr:row>
                    <xdr:rowOff>0</xdr:rowOff>
                  </from>
                  <to>
                    <xdr:col>13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8" name="Drop Down 14">
              <controlPr defaultSize="0" autoLine="0" autoPict="0">
                <anchor moveWithCells="1">
                  <from>
                    <xdr:col>13</xdr:col>
                    <xdr:colOff>895350</xdr:colOff>
                    <xdr:row>23</xdr:row>
                    <xdr:rowOff>0</xdr:rowOff>
                  </from>
                  <to>
                    <xdr:col>15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9" name="Drop Down 15">
              <controlPr defaultSize="0" autoLine="0" autoPict="0">
                <anchor moveWithCells="1">
                  <from>
                    <xdr:col>13</xdr:col>
                    <xdr:colOff>895350</xdr:colOff>
                    <xdr:row>24</xdr:row>
                    <xdr:rowOff>0</xdr:rowOff>
                  </from>
                  <to>
                    <xdr:col>15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20" name="Drop Down 16">
              <controlPr defaultSize="0" autoLine="0" autoPict="0">
                <anchor moveWithCells="1">
                  <from>
                    <xdr:col>13</xdr:col>
                    <xdr:colOff>895350</xdr:colOff>
                    <xdr:row>25</xdr:row>
                    <xdr:rowOff>0</xdr:rowOff>
                  </from>
                  <to>
                    <xdr:col>15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21" name="Drop Down 17">
              <controlPr defaultSize="0" autoLine="0" autoPict="0">
                <anchor moveWithCells="1">
                  <from>
                    <xdr:col>13</xdr:col>
                    <xdr:colOff>895350</xdr:colOff>
                    <xdr:row>26</xdr:row>
                    <xdr:rowOff>0</xdr:rowOff>
                  </from>
                  <to>
                    <xdr:col>15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2" name="Drop Down 18">
              <controlPr defaultSize="0" autoLine="0" autoPict="0">
                <anchor moveWithCells="1">
                  <from>
                    <xdr:col>15</xdr:col>
                    <xdr:colOff>895350</xdr:colOff>
                    <xdr:row>23</xdr:row>
                    <xdr:rowOff>0</xdr:rowOff>
                  </from>
                  <to>
                    <xdr:col>17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3" name="Drop Down 19">
              <controlPr defaultSize="0" autoLine="0" autoPict="0">
                <anchor moveWithCells="1">
                  <from>
                    <xdr:col>15</xdr:col>
                    <xdr:colOff>895350</xdr:colOff>
                    <xdr:row>24</xdr:row>
                    <xdr:rowOff>0</xdr:rowOff>
                  </from>
                  <to>
                    <xdr:col>17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4" name="Drop Down 20">
              <controlPr defaultSize="0" autoLine="0" autoPict="0">
                <anchor moveWithCells="1">
                  <from>
                    <xdr:col>15</xdr:col>
                    <xdr:colOff>895350</xdr:colOff>
                    <xdr:row>25</xdr:row>
                    <xdr:rowOff>0</xdr:rowOff>
                  </from>
                  <to>
                    <xdr:col>17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5" name="Drop Down 21">
              <controlPr defaultSize="0" autoLine="0" autoPict="0">
                <anchor moveWithCells="1">
                  <from>
                    <xdr:col>15</xdr:col>
                    <xdr:colOff>895350</xdr:colOff>
                    <xdr:row>26</xdr:row>
                    <xdr:rowOff>0</xdr:rowOff>
                  </from>
                  <to>
                    <xdr:col>17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6" name="Drop Down 22">
              <controlPr defaultSize="0" autoLine="0" autoPict="0">
                <anchor moveWithCells="1">
                  <from>
                    <xdr:col>17</xdr:col>
                    <xdr:colOff>895350</xdr:colOff>
                    <xdr:row>23</xdr:row>
                    <xdr:rowOff>0</xdr:rowOff>
                  </from>
                  <to>
                    <xdr:col>19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7" name="Drop Down 23">
              <controlPr defaultSize="0" autoLine="0" autoPict="0">
                <anchor moveWithCells="1">
                  <from>
                    <xdr:col>17</xdr:col>
                    <xdr:colOff>895350</xdr:colOff>
                    <xdr:row>24</xdr:row>
                    <xdr:rowOff>0</xdr:rowOff>
                  </from>
                  <to>
                    <xdr:col>19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8" name="Drop Down 24">
              <controlPr defaultSize="0" autoLine="0" autoPict="0">
                <anchor moveWithCells="1">
                  <from>
                    <xdr:col>17</xdr:col>
                    <xdr:colOff>895350</xdr:colOff>
                    <xdr:row>25</xdr:row>
                    <xdr:rowOff>0</xdr:rowOff>
                  </from>
                  <to>
                    <xdr:col>19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9" name="Drop Down 25">
              <controlPr defaultSize="0" autoLine="0" autoPict="0">
                <anchor moveWithCells="1">
                  <from>
                    <xdr:col>17</xdr:col>
                    <xdr:colOff>895350</xdr:colOff>
                    <xdr:row>26</xdr:row>
                    <xdr:rowOff>0</xdr:rowOff>
                  </from>
                  <to>
                    <xdr:col>19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30" name="Drop Down 38">
              <controlPr defaultSize="0" autoLine="0" autoPict="0">
                <anchor moveWithCells="1">
                  <from>
                    <xdr:col>3</xdr:col>
                    <xdr:colOff>1695450</xdr:colOff>
                    <xdr:row>27</xdr:row>
                    <xdr:rowOff>9525</xdr:rowOff>
                  </from>
                  <to>
                    <xdr:col>5</xdr:col>
                    <xdr:colOff>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31" name="Drop Down 39">
              <controlPr defaultSize="0" autoLine="0" autoPict="0">
                <anchor moveWithCells="1">
                  <from>
                    <xdr:col>9</xdr:col>
                    <xdr:colOff>895350</xdr:colOff>
                    <xdr:row>27</xdr:row>
                    <xdr:rowOff>0</xdr:rowOff>
                  </from>
                  <to>
                    <xdr:col>11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32" name="Drop Down 40">
              <controlPr defaultSize="0" autoLine="0" autoPict="0">
                <anchor moveWithCells="1">
                  <from>
                    <xdr:col>11</xdr:col>
                    <xdr:colOff>895350</xdr:colOff>
                    <xdr:row>27</xdr:row>
                    <xdr:rowOff>0</xdr:rowOff>
                  </from>
                  <to>
                    <xdr:col>13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33" name="Drop Down 41">
              <controlPr defaultSize="0" autoLine="0" autoPict="0">
                <anchor moveWithCells="1">
                  <from>
                    <xdr:col>13</xdr:col>
                    <xdr:colOff>895350</xdr:colOff>
                    <xdr:row>27</xdr:row>
                    <xdr:rowOff>0</xdr:rowOff>
                  </from>
                  <to>
                    <xdr:col>15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34" name="Drop Down 42">
              <controlPr defaultSize="0" autoLine="0" autoPict="0">
                <anchor moveWithCells="1">
                  <from>
                    <xdr:col>15</xdr:col>
                    <xdr:colOff>895350</xdr:colOff>
                    <xdr:row>27</xdr:row>
                    <xdr:rowOff>0</xdr:rowOff>
                  </from>
                  <to>
                    <xdr:col>17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35" name="Drop Down 43">
              <controlPr defaultSize="0" autoLine="0" autoPict="0">
                <anchor moveWithCells="1">
                  <from>
                    <xdr:col>17</xdr:col>
                    <xdr:colOff>895350</xdr:colOff>
                    <xdr:row>27</xdr:row>
                    <xdr:rowOff>0</xdr:rowOff>
                  </from>
                  <to>
                    <xdr:col>19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36" name="Drop Down 46">
              <controlPr defaultSize="0" autoLine="0" autoPict="0">
                <anchor moveWithCells="1">
                  <from>
                    <xdr:col>3</xdr:col>
                    <xdr:colOff>1695450</xdr:colOff>
                    <xdr:row>28</xdr:row>
                    <xdr:rowOff>9525</xdr:rowOff>
                  </from>
                  <to>
                    <xdr:col>5</xdr:col>
                    <xdr:colOff>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37" name="Drop Down 47">
              <controlPr defaultSize="0" autoLine="0" autoPict="0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38" name="Drop Down 48">
              <controlPr defaultSize="0" autoLine="0" autoPict="0">
                <anchor moveWithCells="1">
                  <from>
                    <xdr:col>11</xdr:col>
                    <xdr:colOff>895350</xdr:colOff>
                    <xdr:row>28</xdr:row>
                    <xdr:rowOff>0</xdr:rowOff>
                  </from>
                  <to>
                    <xdr:col>13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39" name="Drop Down 49">
              <controlPr defaultSize="0" autoLine="0" autoPict="0">
                <anchor moveWithCells="1">
                  <from>
                    <xdr:col>13</xdr:col>
                    <xdr:colOff>895350</xdr:colOff>
                    <xdr:row>28</xdr:row>
                    <xdr:rowOff>0</xdr:rowOff>
                  </from>
                  <to>
                    <xdr:col>15</xdr:col>
                    <xdr:colOff>200025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40" name="Drop Down 50">
              <controlPr defaultSize="0" autoLine="0" autoPict="0">
                <anchor moveWithCells="1">
                  <from>
                    <xdr:col>15</xdr:col>
                    <xdr:colOff>895350</xdr:colOff>
                    <xdr:row>28</xdr:row>
                    <xdr:rowOff>0</xdr:rowOff>
                  </from>
                  <to>
                    <xdr:col>17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41" name="Drop Down 51">
              <controlPr defaultSize="0" autoLine="0" autoPict="0">
                <anchor moveWithCells="1">
                  <from>
                    <xdr:col>17</xdr:col>
                    <xdr:colOff>895350</xdr:colOff>
                    <xdr:row>28</xdr:row>
                    <xdr:rowOff>0</xdr:rowOff>
                  </from>
                  <to>
                    <xdr:col>19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42" name="Drop Down 54">
              <controlPr defaultSize="0" autoLine="0" autoPict="0">
                <anchor moveWithCells="1">
                  <from>
                    <xdr:col>3</xdr:col>
                    <xdr:colOff>1695450</xdr:colOff>
                    <xdr:row>29</xdr:row>
                    <xdr:rowOff>9525</xdr:rowOff>
                  </from>
                  <to>
                    <xdr:col>5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43" name="Drop Down 55">
              <controlPr defaultSize="0" autoLine="0" autoPict="0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44" name="Drop Down 56">
              <controlPr defaultSize="0" autoLine="0" autoPict="0">
                <anchor moveWithCells="1">
                  <from>
                    <xdr:col>3</xdr:col>
                    <xdr:colOff>1695450</xdr:colOff>
                    <xdr:row>30</xdr:row>
                    <xdr:rowOff>9525</xdr:rowOff>
                  </from>
                  <to>
                    <xdr:col>5</xdr:col>
                    <xdr:colOff>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45" name="Drop Down 57">
              <controlPr defaultSize="0" autoLine="0" autoPict="0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46" name="Drop Down 58">
              <controlPr defaultSize="0" autoLine="0" autoPict="0">
                <anchor moveWithCells="1">
                  <from>
                    <xdr:col>3</xdr:col>
                    <xdr:colOff>1695450</xdr:colOff>
                    <xdr:row>31</xdr:row>
                    <xdr:rowOff>9525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47" name="Drop Down 59">
              <controlPr defaultSize="0" autoLine="0" autoPict="0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48" name="Drop Down 60">
              <controlPr defaultSize="0" autoLine="0" autoPict="0">
                <anchor moveWithCells="1">
                  <from>
                    <xdr:col>3</xdr:col>
                    <xdr:colOff>1695450</xdr:colOff>
                    <xdr:row>32</xdr:row>
                    <xdr:rowOff>9525</xdr:rowOff>
                  </from>
                  <to>
                    <xdr:col>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49" name="Drop Down 61">
              <controlPr defaultSize="0" autoLine="0" autoPict="0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50" name="Drop Down 62">
              <controlPr defaultSize="0" autoLine="0" autoPict="0">
                <anchor moveWithCells="1">
                  <from>
                    <xdr:col>11</xdr:col>
                    <xdr:colOff>895350</xdr:colOff>
                    <xdr:row>29</xdr:row>
                    <xdr:rowOff>0</xdr:rowOff>
                  </from>
                  <to>
                    <xdr:col>13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51" name="Drop Down 63">
              <controlPr defaultSize="0" autoLine="0" autoPict="0">
                <anchor moveWithCells="1">
                  <from>
                    <xdr:col>11</xdr:col>
                    <xdr:colOff>895350</xdr:colOff>
                    <xdr:row>30</xdr:row>
                    <xdr:rowOff>0</xdr:rowOff>
                  </from>
                  <to>
                    <xdr:col>13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52" name="Drop Down 64">
              <controlPr defaultSize="0" autoLine="0" autoPict="0">
                <anchor moveWithCells="1">
                  <from>
                    <xdr:col>11</xdr:col>
                    <xdr:colOff>895350</xdr:colOff>
                    <xdr:row>31</xdr:row>
                    <xdr:rowOff>0</xdr:rowOff>
                  </from>
                  <to>
                    <xdr:col>13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53" name="Drop Down 65">
              <controlPr defaultSize="0" autoLine="0" autoPict="0">
                <anchor moveWithCells="1">
                  <from>
                    <xdr:col>11</xdr:col>
                    <xdr:colOff>895350</xdr:colOff>
                    <xdr:row>32</xdr:row>
                    <xdr:rowOff>0</xdr:rowOff>
                  </from>
                  <to>
                    <xdr:col>13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54" name="Drop Down 66">
              <controlPr defaultSize="0" autoLine="0" autoPict="0">
                <anchor moveWithCells="1">
                  <from>
                    <xdr:col>13</xdr:col>
                    <xdr:colOff>895350</xdr:colOff>
                    <xdr:row>29</xdr:row>
                    <xdr:rowOff>0</xdr:rowOff>
                  </from>
                  <to>
                    <xdr:col>15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55" name="Drop Down 67">
              <controlPr defaultSize="0" autoLine="0" autoPict="0">
                <anchor moveWithCells="1">
                  <from>
                    <xdr:col>13</xdr:col>
                    <xdr:colOff>895350</xdr:colOff>
                    <xdr:row>30</xdr:row>
                    <xdr:rowOff>0</xdr:rowOff>
                  </from>
                  <to>
                    <xdr:col>15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56" name="Drop Down 68">
              <controlPr defaultSize="0" autoLine="0" autoPict="0">
                <anchor moveWithCells="1">
                  <from>
                    <xdr:col>13</xdr:col>
                    <xdr:colOff>895350</xdr:colOff>
                    <xdr:row>31</xdr:row>
                    <xdr:rowOff>0</xdr:rowOff>
                  </from>
                  <to>
                    <xdr:col>15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57" name="Drop Down 69">
              <controlPr defaultSize="0" autoLine="0" autoPict="0">
                <anchor moveWithCells="1">
                  <from>
                    <xdr:col>13</xdr:col>
                    <xdr:colOff>895350</xdr:colOff>
                    <xdr:row>32</xdr:row>
                    <xdr:rowOff>0</xdr:rowOff>
                  </from>
                  <to>
                    <xdr:col>15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58" name="Drop Down 70">
              <controlPr defaultSize="0" autoLine="0" autoPict="0">
                <anchor moveWithCells="1">
                  <from>
                    <xdr:col>15</xdr:col>
                    <xdr:colOff>895350</xdr:colOff>
                    <xdr:row>29</xdr:row>
                    <xdr:rowOff>0</xdr:rowOff>
                  </from>
                  <to>
                    <xdr:col>17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59" name="Drop Down 71">
              <controlPr defaultSize="0" autoLine="0" autoPict="0">
                <anchor moveWithCells="1">
                  <from>
                    <xdr:col>15</xdr:col>
                    <xdr:colOff>895350</xdr:colOff>
                    <xdr:row>30</xdr:row>
                    <xdr:rowOff>0</xdr:rowOff>
                  </from>
                  <to>
                    <xdr:col>17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60" name="Drop Down 72">
              <controlPr defaultSize="0" autoLine="0" autoPict="0">
                <anchor moveWithCells="1">
                  <from>
                    <xdr:col>15</xdr:col>
                    <xdr:colOff>895350</xdr:colOff>
                    <xdr:row>31</xdr:row>
                    <xdr:rowOff>0</xdr:rowOff>
                  </from>
                  <to>
                    <xdr:col>17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3" r:id="rId61" name="Drop Down 73">
              <controlPr defaultSize="0" autoLine="0" autoPict="0">
                <anchor moveWithCells="1">
                  <from>
                    <xdr:col>15</xdr:col>
                    <xdr:colOff>895350</xdr:colOff>
                    <xdr:row>32</xdr:row>
                    <xdr:rowOff>0</xdr:rowOff>
                  </from>
                  <to>
                    <xdr:col>17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4" r:id="rId62" name="Drop Down 74">
              <controlPr defaultSize="0" autoLine="0" autoPict="0">
                <anchor moveWithCells="1">
                  <from>
                    <xdr:col>17</xdr:col>
                    <xdr:colOff>895350</xdr:colOff>
                    <xdr:row>29</xdr:row>
                    <xdr:rowOff>0</xdr:rowOff>
                  </from>
                  <to>
                    <xdr:col>19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5" r:id="rId63" name="Drop Down 75">
              <controlPr defaultSize="0" autoLine="0" autoPict="0">
                <anchor moveWithCells="1">
                  <from>
                    <xdr:col>17</xdr:col>
                    <xdr:colOff>895350</xdr:colOff>
                    <xdr:row>30</xdr:row>
                    <xdr:rowOff>0</xdr:rowOff>
                  </from>
                  <to>
                    <xdr:col>19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6" r:id="rId64" name="Drop Down 76">
              <controlPr defaultSize="0" autoLine="0" autoPict="0">
                <anchor moveWithCells="1">
                  <from>
                    <xdr:col>17</xdr:col>
                    <xdr:colOff>895350</xdr:colOff>
                    <xdr:row>31</xdr:row>
                    <xdr:rowOff>0</xdr:rowOff>
                  </from>
                  <to>
                    <xdr:col>19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7" r:id="rId65" name="Drop Down 77">
              <controlPr defaultSize="0" autoLine="0" autoPict="0">
                <anchor moveWithCells="1">
                  <from>
                    <xdr:col>17</xdr:col>
                    <xdr:colOff>895350</xdr:colOff>
                    <xdr:row>32</xdr:row>
                    <xdr:rowOff>0</xdr:rowOff>
                  </from>
                  <to>
                    <xdr:col>19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6" r:id="rId66" name="Drop Down 86">
              <controlPr defaultSize="0" autoLine="0" autoPict="0">
                <anchor moveWithCells="1">
                  <from>
                    <xdr:col>3</xdr:col>
                    <xdr:colOff>1695450</xdr:colOff>
                    <xdr:row>33</xdr:row>
                    <xdr:rowOff>9525</xdr:rowOff>
                  </from>
                  <to>
                    <xdr:col>5</xdr:col>
                    <xdr:colOff>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7" r:id="rId67" name="Drop Down 87">
              <controlPr defaultSize="0" autoLine="0" autoPict="0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8" r:id="rId68" name="Drop Down 88">
              <controlPr defaultSize="0" autoLine="0" autoPict="0">
                <anchor moveWithCells="1">
                  <from>
                    <xdr:col>11</xdr:col>
                    <xdr:colOff>895350</xdr:colOff>
                    <xdr:row>33</xdr:row>
                    <xdr:rowOff>0</xdr:rowOff>
                  </from>
                  <to>
                    <xdr:col>13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9" r:id="rId69" name="Drop Down 89">
              <controlPr defaultSize="0" autoLine="0" autoPict="0">
                <anchor moveWithCells="1">
                  <from>
                    <xdr:col>13</xdr:col>
                    <xdr:colOff>895350</xdr:colOff>
                    <xdr:row>33</xdr:row>
                    <xdr:rowOff>0</xdr:rowOff>
                  </from>
                  <to>
                    <xdr:col>15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0" r:id="rId70" name="Drop Down 90">
              <controlPr defaultSize="0" autoLine="0" autoPict="0">
                <anchor moveWithCells="1">
                  <from>
                    <xdr:col>15</xdr:col>
                    <xdr:colOff>895350</xdr:colOff>
                    <xdr:row>33</xdr:row>
                    <xdr:rowOff>0</xdr:rowOff>
                  </from>
                  <to>
                    <xdr:col>17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1" r:id="rId71" name="Drop Down 91">
              <controlPr defaultSize="0" autoLine="0" autoPict="0">
                <anchor moveWithCells="1">
                  <from>
                    <xdr:col>17</xdr:col>
                    <xdr:colOff>895350</xdr:colOff>
                    <xdr:row>33</xdr:row>
                    <xdr:rowOff>0</xdr:rowOff>
                  </from>
                  <to>
                    <xdr:col>19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4" r:id="rId72" name="Drop Down 94">
              <controlPr defaultSize="0" autoLine="0" autoPict="0">
                <anchor moveWithCells="1">
                  <from>
                    <xdr:col>3</xdr:col>
                    <xdr:colOff>1695450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5" r:id="rId73" name="Drop Down 95">
              <controlPr defaultSize="0" autoLine="0" autoPict="0">
                <anchor moveWithCells="1">
                  <from>
                    <xdr:col>9</xdr:col>
                    <xdr:colOff>895350</xdr:colOff>
                    <xdr:row>34</xdr:row>
                    <xdr:rowOff>0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6" r:id="rId74" name="Drop Down 96">
              <controlPr defaultSize="0" autoLine="0" autoPict="0">
                <anchor moveWithCells="1">
                  <from>
                    <xdr:col>11</xdr:col>
                    <xdr:colOff>895350</xdr:colOff>
                    <xdr:row>34</xdr:row>
                    <xdr:rowOff>0</xdr:rowOff>
                  </from>
                  <to>
                    <xdr:col>13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7" r:id="rId75" name="Drop Down 97">
              <controlPr defaultSize="0" autoLine="0" autoPict="0">
                <anchor moveWithCells="1">
                  <from>
                    <xdr:col>13</xdr:col>
                    <xdr:colOff>895350</xdr:colOff>
                    <xdr:row>34</xdr:row>
                    <xdr:rowOff>0</xdr:rowOff>
                  </from>
                  <to>
                    <xdr:col>15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8" r:id="rId76" name="Drop Down 98">
              <controlPr defaultSize="0" autoLine="0" autoPict="0">
                <anchor moveWithCells="1">
                  <from>
                    <xdr:col>15</xdr:col>
                    <xdr:colOff>895350</xdr:colOff>
                    <xdr:row>34</xdr:row>
                    <xdr:rowOff>0</xdr:rowOff>
                  </from>
                  <to>
                    <xdr:col>17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9" r:id="rId77" name="Drop Down 99">
              <controlPr defaultSize="0" autoLine="0" autoPict="0">
                <anchor moveWithCells="1">
                  <from>
                    <xdr:col>17</xdr:col>
                    <xdr:colOff>895350</xdr:colOff>
                    <xdr:row>34</xdr:row>
                    <xdr:rowOff>0</xdr:rowOff>
                  </from>
                  <to>
                    <xdr:col>19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" r:id="rId78" name="Drop Down 102">
              <controlPr defaultSize="0" autoLine="0" autoPict="0">
                <anchor moveWithCells="1">
                  <from>
                    <xdr:col>3</xdr:col>
                    <xdr:colOff>1695450</xdr:colOff>
                    <xdr:row>35</xdr:row>
                    <xdr:rowOff>9525</xdr:rowOff>
                  </from>
                  <to>
                    <xdr:col>5</xdr:col>
                    <xdr:colOff>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" r:id="rId79" name="Drop Down 103">
              <controlPr defaultSize="0" autoLine="0" autoPict="0">
                <anchor moveWithCells="1">
                  <from>
                    <xdr:col>9</xdr:col>
                    <xdr:colOff>895350</xdr:colOff>
                    <xdr:row>35</xdr:row>
                    <xdr:rowOff>0</xdr:rowOff>
                  </from>
                  <to>
                    <xdr:col>11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4" r:id="rId80" name="Drop Down 104">
              <controlPr defaultSize="0" autoLine="0" autoPict="0">
                <anchor moveWithCells="1">
                  <from>
                    <xdr:col>11</xdr:col>
                    <xdr:colOff>895350</xdr:colOff>
                    <xdr:row>35</xdr:row>
                    <xdr:rowOff>0</xdr:rowOff>
                  </from>
                  <to>
                    <xdr:col>13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5" r:id="rId81" name="Drop Down 105">
              <controlPr defaultSize="0" autoLine="0" autoPict="0">
                <anchor moveWithCells="1">
                  <from>
                    <xdr:col>13</xdr:col>
                    <xdr:colOff>895350</xdr:colOff>
                    <xdr:row>35</xdr:row>
                    <xdr:rowOff>0</xdr:rowOff>
                  </from>
                  <to>
                    <xdr:col>15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6" r:id="rId82" name="Drop Down 106">
              <controlPr defaultSize="0" autoLine="0" autoPict="0">
                <anchor moveWithCells="1">
                  <from>
                    <xdr:col>15</xdr:col>
                    <xdr:colOff>895350</xdr:colOff>
                    <xdr:row>35</xdr:row>
                    <xdr:rowOff>0</xdr:rowOff>
                  </from>
                  <to>
                    <xdr:col>17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7" r:id="rId83" name="Drop Down 107">
              <controlPr defaultSize="0" autoLine="0" autoPict="0">
                <anchor moveWithCells="1">
                  <from>
                    <xdr:col>17</xdr:col>
                    <xdr:colOff>895350</xdr:colOff>
                    <xdr:row>35</xdr:row>
                    <xdr:rowOff>0</xdr:rowOff>
                  </from>
                  <to>
                    <xdr:col>19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0" r:id="rId84" name="Drop Down 110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1" r:id="rId85" name="Drop Down 111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2" r:id="rId86" name="Drop Down 112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3" r:id="rId87" name="Drop Down 113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4" r:id="rId88" name="Drop Down 114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5" r:id="rId89" name="Drop Down 115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8" r:id="rId90" name="Drop Down 118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9" r:id="rId91" name="Drop Down 119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0" r:id="rId92" name="Drop Down 120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1" r:id="rId93" name="Drop Down 121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2" r:id="rId94" name="Drop Down 122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3" r:id="rId95" name="Drop Down 123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6" r:id="rId96" name="Drop Down 126">
              <controlPr defaultSize="0" autoLine="0" autoPict="0">
                <anchor moveWithCells="1">
                  <from>
                    <xdr:col>3</xdr:col>
                    <xdr:colOff>1695450</xdr:colOff>
                    <xdr:row>37</xdr:row>
                    <xdr:rowOff>9525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7" r:id="rId97" name="Drop Down 127">
              <controlPr defaultSize="0" autoLine="0" autoPict="0">
                <anchor moveWithCells="1">
                  <from>
                    <xdr:col>9</xdr:col>
                    <xdr:colOff>895350</xdr:colOff>
                    <xdr:row>37</xdr:row>
                    <xdr:rowOff>0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8" r:id="rId98" name="Drop Down 128">
              <controlPr defaultSize="0" autoLine="0" autoPict="0">
                <anchor moveWithCells="1">
                  <from>
                    <xdr:col>11</xdr:col>
                    <xdr:colOff>895350</xdr:colOff>
                    <xdr:row>37</xdr:row>
                    <xdr:rowOff>0</xdr:rowOff>
                  </from>
                  <to>
                    <xdr:col>13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9" r:id="rId99" name="Drop Down 129">
              <controlPr defaultSize="0" autoLine="0" autoPict="0">
                <anchor moveWithCells="1">
                  <from>
                    <xdr:col>13</xdr:col>
                    <xdr:colOff>895350</xdr:colOff>
                    <xdr:row>37</xdr:row>
                    <xdr:rowOff>0</xdr:rowOff>
                  </from>
                  <to>
                    <xdr:col>15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0" r:id="rId100" name="Drop Down 130">
              <controlPr defaultSize="0" autoLine="0" autoPict="0">
                <anchor moveWithCells="1">
                  <from>
                    <xdr:col>15</xdr:col>
                    <xdr:colOff>895350</xdr:colOff>
                    <xdr:row>37</xdr:row>
                    <xdr:rowOff>0</xdr:rowOff>
                  </from>
                  <to>
                    <xdr:col>17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1" r:id="rId101" name="Drop Down 131">
              <controlPr defaultSize="0" autoLine="0" autoPict="0">
                <anchor moveWithCells="1">
                  <from>
                    <xdr:col>17</xdr:col>
                    <xdr:colOff>895350</xdr:colOff>
                    <xdr:row>37</xdr:row>
                    <xdr:rowOff>0</xdr:rowOff>
                  </from>
                  <to>
                    <xdr:col>19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4" r:id="rId102" name="Drop Down 134">
              <controlPr defaultSize="0" autoLine="0" autoPict="0">
                <anchor moveWithCells="1">
                  <from>
                    <xdr:col>3</xdr:col>
                    <xdr:colOff>1695450</xdr:colOff>
                    <xdr:row>38</xdr:row>
                    <xdr:rowOff>9525</xdr:rowOff>
                  </from>
                  <to>
                    <xdr:col>5</xdr:col>
                    <xdr:colOff>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5" r:id="rId103" name="Drop Down 135">
              <controlPr defaultSize="0" autoLine="0" autoPict="0">
                <anchor moveWithCells="1">
                  <from>
                    <xdr:col>9</xdr:col>
                    <xdr:colOff>895350</xdr:colOff>
                    <xdr:row>38</xdr:row>
                    <xdr:rowOff>0</xdr:rowOff>
                  </from>
                  <to>
                    <xdr:col>11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6" r:id="rId104" name="Drop Down 136">
              <controlPr defaultSize="0" autoLine="0" autoPict="0">
                <anchor moveWithCells="1">
                  <from>
                    <xdr:col>11</xdr:col>
                    <xdr:colOff>895350</xdr:colOff>
                    <xdr:row>38</xdr:row>
                    <xdr:rowOff>0</xdr:rowOff>
                  </from>
                  <to>
                    <xdr:col>13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7" r:id="rId105" name="Drop Down 137">
              <controlPr defaultSize="0" autoLine="0" autoPict="0">
                <anchor moveWithCells="1">
                  <from>
                    <xdr:col>13</xdr:col>
                    <xdr:colOff>895350</xdr:colOff>
                    <xdr:row>38</xdr:row>
                    <xdr:rowOff>0</xdr:rowOff>
                  </from>
                  <to>
                    <xdr:col>15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8" r:id="rId106" name="Drop Down 138">
              <controlPr defaultSize="0" autoLine="0" autoPict="0">
                <anchor moveWithCells="1">
                  <from>
                    <xdr:col>15</xdr:col>
                    <xdr:colOff>895350</xdr:colOff>
                    <xdr:row>38</xdr:row>
                    <xdr:rowOff>0</xdr:rowOff>
                  </from>
                  <to>
                    <xdr:col>17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9" r:id="rId107" name="Drop Down 139">
              <controlPr defaultSize="0" autoLine="0" autoPict="0">
                <anchor moveWithCells="1">
                  <from>
                    <xdr:col>17</xdr:col>
                    <xdr:colOff>895350</xdr:colOff>
                    <xdr:row>38</xdr:row>
                    <xdr:rowOff>0</xdr:rowOff>
                  </from>
                  <to>
                    <xdr:col>19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6" r:id="rId108" name="Button 146">
              <controlPr defaultSize="0" print="0" autoFill="0" autoPict="0" macro="[0]!CalculaPdctotalSecundario">
                <anchor moveWithCells="1" sizeWithCells="1">
                  <from>
                    <xdr:col>8</xdr:col>
                    <xdr:colOff>66675</xdr:colOff>
                    <xdr:row>39</xdr:row>
                    <xdr:rowOff>200025</xdr:rowOff>
                  </from>
                  <to>
                    <xdr:col>9</xdr:col>
                    <xdr:colOff>704850</xdr:colOff>
                    <xdr:row>41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2CF76-80D4-4AC9-8403-D3B1D5D10B93}">
  <sheetPr codeName="Hoja13"/>
  <dimension ref="A1:BQ97"/>
  <sheetViews>
    <sheetView showGridLines="0" zoomScale="70" zoomScaleNormal="70" workbookViewId="0">
      <selection activeCell="T35" sqref="T35"/>
    </sheetView>
  </sheetViews>
  <sheetFormatPr baseColWidth="10" defaultRowHeight="12.75" x14ac:dyDescent="0.2"/>
  <cols>
    <col min="1" max="1" width="4.28515625" customWidth="1"/>
    <col min="2" max="2" width="4" customWidth="1"/>
    <col min="3" max="7" width="12.42578125" customWidth="1"/>
    <col min="9" max="10" width="11.7109375" customWidth="1"/>
    <col min="12" max="12" width="11.7109375" customWidth="1"/>
    <col min="13" max="13" width="10.28515625" customWidth="1"/>
    <col min="14" max="14" width="9" customWidth="1"/>
    <col min="15" max="15" width="7.5703125" customWidth="1"/>
    <col min="16" max="16" width="9.5703125" customWidth="1"/>
    <col min="17" max="17" width="4.140625" customWidth="1"/>
    <col min="19" max="19" width="8.7109375" customWidth="1"/>
    <col min="26" max="26" width="4.42578125" customWidth="1"/>
    <col min="39" max="40" width="11.42578125" hidden="1" customWidth="1"/>
    <col min="41" max="41" width="16.7109375" hidden="1" customWidth="1"/>
    <col min="42" max="50" width="11.42578125" hidden="1" customWidth="1"/>
    <col min="51" max="51" width="14.7109375" hidden="1" customWidth="1"/>
    <col min="52" max="52" width="17" hidden="1" customWidth="1"/>
    <col min="53" max="59" width="11.42578125" hidden="1" customWidth="1"/>
    <col min="60" max="60" width="15.28515625" hidden="1" customWidth="1"/>
    <col min="61" max="69" width="11.42578125" hidden="1" customWidth="1"/>
  </cols>
  <sheetData>
    <row r="1" spans="2:51" x14ac:dyDescent="0.2">
      <c r="C1" s="238"/>
      <c r="D1" s="238"/>
      <c r="E1" s="238"/>
      <c r="F1" s="238"/>
      <c r="G1" s="238"/>
    </row>
    <row r="2" spans="2:51" x14ac:dyDescent="0.2">
      <c r="C2" s="238"/>
      <c r="D2" s="238"/>
      <c r="E2" s="238"/>
      <c r="F2" s="238"/>
      <c r="G2" s="238"/>
    </row>
    <row r="3" spans="2:51" ht="15.75" x14ac:dyDescent="0.25">
      <c r="B3" s="460" t="s">
        <v>726</v>
      </c>
      <c r="C3" s="460"/>
      <c r="D3" s="460"/>
      <c r="E3" s="460"/>
      <c r="F3" s="460"/>
      <c r="G3" s="460"/>
      <c r="H3" s="460"/>
      <c r="I3" s="460"/>
      <c r="J3" s="460"/>
      <c r="K3" s="460"/>
      <c r="L3" s="460"/>
      <c r="M3" s="460"/>
      <c r="N3" s="460"/>
      <c r="O3" s="460"/>
      <c r="P3" s="460"/>
      <c r="Q3" s="460"/>
      <c r="R3" s="460"/>
      <c r="S3" s="460"/>
      <c r="T3" s="460"/>
      <c r="U3" s="415"/>
      <c r="V3" s="415"/>
      <c r="W3" s="415"/>
      <c r="X3" s="415"/>
      <c r="AX3" s="105"/>
      <c r="AY3" s="108"/>
    </row>
    <row r="4" spans="2:51" x14ac:dyDescent="0.2">
      <c r="AX4" s="105"/>
    </row>
    <row r="5" spans="2:51" ht="15" x14ac:dyDescent="0.2">
      <c r="C5" s="481" t="s">
        <v>476</v>
      </c>
      <c r="D5" s="556"/>
      <c r="E5" s="556"/>
      <c r="F5" s="556"/>
      <c r="G5" s="556"/>
      <c r="H5" s="609" t="s">
        <v>384</v>
      </c>
      <c r="O5" s="237"/>
      <c r="AX5" s="282"/>
      <c r="AY5" s="3"/>
    </row>
    <row r="6" spans="2:51" ht="18" customHeight="1" x14ac:dyDescent="0.2">
      <c r="C6" s="292" t="s">
        <v>422</v>
      </c>
      <c r="D6" s="294"/>
      <c r="E6" s="294"/>
      <c r="F6" s="294"/>
      <c r="G6" s="294"/>
      <c r="O6" s="237"/>
      <c r="AX6" s="282"/>
      <c r="AY6" s="3"/>
    </row>
    <row r="7" spans="2:51" ht="15.75" thickBot="1" x14ac:dyDescent="0.25">
      <c r="C7" s="428" t="s">
        <v>426</v>
      </c>
      <c r="D7" s="427"/>
      <c r="E7" s="427"/>
      <c r="F7" s="427"/>
      <c r="G7" s="558" t="s">
        <v>425</v>
      </c>
      <c r="H7" s="558" t="str">
        <f>IF(AW22=1, "2", IF(AW22=2, "3"))</f>
        <v>2</v>
      </c>
      <c r="O7" s="237"/>
      <c r="AX7" s="282"/>
      <c r="AY7" s="3"/>
    </row>
    <row r="8" spans="2:51" ht="18" customHeight="1" thickBot="1" x14ac:dyDescent="0.25">
      <c r="C8" s="197"/>
      <c r="D8" s="363"/>
      <c r="E8" s="363"/>
      <c r="F8" s="363"/>
      <c r="G8" s="363"/>
      <c r="H8" s="364"/>
      <c r="I8" s="364"/>
      <c r="M8" s="197"/>
      <c r="N8" s="197"/>
      <c r="O8" s="249"/>
      <c r="AX8" s="3"/>
      <c r="AY8" s="3"/>
    </row>
    <row r="9" spans="2:51" x14ac:dyDescent="0.2">
      <c r="H9" s="33"/>
      <c r="I9" s="33"/>
      <c r="M9" s="601" t="s">
        <v>380</v>
      </c>
      <c r="N9" s="601" t="s">
        <v>381</v>
      </c>
      <c r="O9" s="601" t="s">
        <v>382</v>
      </c>
    </row>
    <row r="10" spans="2:51" ht="15.75" x14ac:dyDescent="0.25">
      <c r="G10" s="25"/>
      <c r="M10" s="548" t="s">
        <v>385</v>
      </c>
      <c r="N10" s="294"/>
      <c r="O10" s="294"/>
    </row>
    <row r="11" spans="2:51" ht="15.75" x14ac:dyDescent="0.25">
      <c r="C11" s="319" t="s">
        <v>657</v>
      </c>
      <c r="G11" s="33"/>
      <c r="H11" s="33"/>
      <c r="I11" s="33"/>
      <c r="M11" s="293">
        <v>18</v>
      </c>
      <c r="N11" s="293">
        <v>1</v>
      </c>
      <c r="O11" s="290">
        <v>16</v>
      </c>
    </row>
    <row r="12" spans="2:51" x14ac:dyDescent="0.2">
      <c r="C12" s="408" t="s">
        <v>430</v>
      </c>
      <c r="G12" s="222"/>
      <c r="H12" s="33"/>
      <c r="I12" s="33"/>
      <c r="J12" s="7"/>
      <c r="M12" s="293">
        <v>22</v>
      </c>
      <c r="N12" s="293">
        <v>1</v>
      </c>
      <c r="O12" s="290">
        <v>20</v>
      </c>
    </row>
    <row r="13" spans="2:51" x14ac:dyDescent="0.2">
      <c r="C13" s="409" t="s">
        <v>431</v>
      </c>
      <c r="H13" s="6"/>
      <c r="I13" s="6"/>
      <c r="J13" s="7"/>
      <c r="M13" s="293">
        <v>28</v>
      </c>
      <c r="N13" s="293">
        <v>1</v>
      </c>
      <c r="O13" s="290">
        <v>26</v>
      </c>
    </row>
    <row r="14" spans="2:51" ht="15.75" x14ac:dyDescent="0.25">
      <c r="D14" s="319"/>
      <c r="E14" s="319"/>
      <c r="F14" s="319"/>
      <c r="I14" s="222"/>
      <c r="J14" s="7"/>
      <c r="M14" s="293">
        <v>35</v>
      </c>
      <c r="N14" s="293">
        <v>1</v>
      </c>
      <c r="O14" s="290">
        <v>33</v>
      </c>
    </row>
    <row r="15" spans="2:51" x14ac:dyDescent="0.2">
      <c r="B15" s="6"/>
      <c r="D15" s="316"/>
      <c r="E15" s="316"/>
      <c r="F15" s="316"/>
      <c r="H15" s="222"/>
      <c r="I15" s="33"/>
      <c r="J15" s="7"/>
      <c r="M15" s="293">
        <v>42</v>
      </c>
      <c r="N15" s="293">
        <v>1</v>
      </c>
      <c r="O15" s="290">
        <v>40</v>
      </c>
    </row>
    <row r="16" spans="2:51" ht="13.5" thickBot="1" x14ac:dyDescent="0.25">
      <c r="B16" s="6"/>
      <c r="D16" s="329"/>
      <c r="E16" s="329"/>
      <c r="F16" s="329"/>
      <c r="H16" s="33"/>
      <c r="M16" s="576">
        <v>54</v>
      </c>
      <c r="N16" s="576">
        <v>1.2</v>
      </c>
      <c r="O16" s="558">
        <v>51.6</v>
      </c>
    </row>
    <row r="17" spans="2:67" x14ac:dyDescent="0.2">
      <c r="D17" s="294"/>
      <c r="E17" s="294"/>
      <c r="F17" s="294"/>
      <c r="AN17" s="785" t="s">
        <v>421</v>
      </c>
      <c r="AO17" s="786"/>
      <c r="AP17" s="786"/>
      <c r="AQ17" s="786"/>
      <c r="AR17" s="786"/>
      <c r="AS17" s="786"/>
      <c r="AT17" s="229"/>
      <c r="AU17" s="230"/>
      <c r="BJ17" t="s">
        <v>544</v>
      </c>
    </row>
    <row r="18" spans="2:67" x14ac:dyDescent="0.2">
      <c r="C18" s="331" t="s">
        <v>658</v>
      </c>
      <c r="D18" s="294"/>
      <c r="E18" s="350"/>
      <c r="F18" s="294"/>
      <c r="AN18" s="221"/>
      <c r="AU18" s="220"/>
      <c r="BI18" t="s">
        <v>543</v>
      </c>
      <c r="BN18" s="247" t="s">
        <v>528</v>
      </c>
      <c r="BO18" s="215" t="s">
        <v>532</v>
      </c>
    </row>
    <row r="19" spans="2:67" x14ac:dyDescent="0.2">
      <c r="C19" s="556"/>
      <c r="D19" s="565" t="s">
        <v>652</v>
      </c>
      <c r="E19" s="565" t="s">
        <v>528</v>
      </c>
      <c r="F19" s="565" t="s">
        <v>530</v>
      </c>
      <c r="G19" s="795" t="s">
        <v>438</v>
      </c>
      <c r="H19" s="795"/>
      <c r="I19" s="565" t="s">
        <v>380</v>
      </c>
      <c r="J19" s="565" t="s">
        <v>434</v>
      </c>
      <c r="K19" s="565" t="s">
        <v>435</v>
      </c>
      <c r="L19" s="565" t="s">
        <v>440</v>
      </c>
      <c r="M19" s="565" t="s">
        <v>550</v>
      </c>
      <c r="N19" s="565" t="s">
        <v>442</v>
      </c>
      <c r="O19" s="556" t="s">
        <v>550</v>
      </c>
      <c r="P19" s="796"/>
      <c r="Q19" s="796"/>
      <c r="R19" s="796"/>
      <c r="S19" s="796"/>
      <c r="T19" s="796"/>
      <c r="U19" s="796"/>
      <c r="V19" s="796"/>
      <c r="W19" s="796"/>
      <c r="X19" s="796"/>
      <c r="Y19" s="796"/>
      <c r="Z19" s="3"/>
      <c r="AA19" s="3"/>
      <c r="AN19" s="221"/>
      <c r="AP19" s="788" t="s">
        <v>420</v>
      </c>
      <c r="AQ19" s="788"/>
      <c r="AR19" s="788"/>
      <c r="AS19" s="788"/>
      <c r="AT19" s="788"/>
      <c r="AU19" s="797"/>
      <c r="BI19" t="s">
        <v>539</v>
      </c>
      <c r="BJ19" t="s">
        <v>538</v>
      </c>
      <c r="BK19" t="s">
        <v>541</v>
      </c>
      <c r="BL19" t="s">
        <v>540</v>
      </c>
      <c r="BM19" t="s">
        <v>542</v>
      </c>
      <c r="BN19" s="248" t="s">
        <v>529</v>
      </c>
      <c r="BO19" s="276" t="s">
        <v>531</v>
      </c>
    </row>
    <row r="20" spans="2:67" ht="11.25" customHeight="1" thickBot="1" x14ac:dyDescent="0.25">
      <c r="B20" s="6"/>
      <c r="C20" s="558" t="s">
        <v>390</v>
      </c>
      <c r="D20" s="558" t="s">
        <v>651</v>
      </c>
      <c r="E20" s="558" t="s">
        <v>529</v>
      </c>
      <c r="F20" s="558" t="s">
        <v>531</v>
      </c>
      <c r="G20" s="558" t="s">
        <v>484</v>
      </c>
      <c r="H20" s="558" t="s">
        <v>437</v>
      </c>
      <c r="I20" s="567" t="s">
        <v>433</v>
      </c>
      <c r="J20" s="567" t="s">
        <v>433</v>
      </c>
      <c r="K20" s="558" t="s">
        <v>436</v>
      </c>
      <c r="L20" s="567" t="s">
        <v>570</v>
      </c>
      <c r="M20" s="567" t="s">
        <v>551</v>
      </c>
      <c r="N20" s="567" t="s">
        <v>441</v>
      </c>
      <c r="O20" s="558" t="s">
        <v>579</v>
      </c>
      <c r="P20" s="283"/>
      <c r="Q20" s="284"/>
      <c r="R20" s="283"/>
      <c r="S20" s="284"/>
      <c r="T20" s="283"/>
      <c r="U20" s="284"/>
      <c r="V20" s="283"/>
      <c r="W20" s="284"/>
      <c r="X20" s="283"/>
      <c r="Y20" s="284"/>
      <c r="Z20" s="213"/>
      <c r="AA20" s="213"/>
      <c r="AB20" s="213"/>
      <c r="AN20" s="221"/>
      <c r="AP20" s="201" t="s">
        <v>419</v>
      </c>
      <c r="AQ20" s="184"/>
      <c r="AR20" s="184"/>
      <c r="AS20" s="184"/>
      <c r="AT20" s="184"/>
      <c r="AU20" s="231"/>
      <c r="BI20" s="3" t="s">
        <v>533</v>
      </c>
      <c r="BJ20" t="s">
        <v>536</v>
      </c>
      <c r="BK20" s="3" t="s">
        <v>534</v>
      </c>
      <c r="BL20" t="s">
        <v>537</v>
      </c>
      <c r="BM20" t="s">
        <v>535</v>
      </c>
      <c r="BN20" s="99">
        <v>1</v>
      </c>
      <c r="BO20" s="123">
        <v>1</v>
      </c>
    </row>
    <row r="21" spans="2:67" ht="18" customHeight="1" x14ac:dyDescent="0.2">
      <c r="C21" s="610"/>
      <c r="D21" s="562"/>
      <c r="E21" s="595"/>
      <c r="F21" s="723" t="e">
        <f>BM21</f>
        <v>#N/A</v>
      </c>
      <c r="G21" s="611"/>
      <c r="H21" s="725">
        <f>G21*3600</f>
        <v>0</v>
      </c>
      <c r="I21" s="563"/>
      <c r="J21" s="364">
        <f t="shared" ref="J21:J36" si="0">IF(AZ22=1,0,INDEX($M$10:$M$16,$AZ22,1)-2*INDEX($N$10:$N$16,$AZ22,1))</f>
        <v>0</v>
      </c>
      <c r="K21" s="703">
        <f>IF(AZ22=1,0,0.354*H21/(J21^2))</f>
        <v>0</v>
      </c>
      <c r="L21" s="364">
        <f t="shared" ref="L21:L36" si="1">IF(AZ22=1,0,INDEX($AR$38:$AR$44,$AZ22,1))</f>
        <v>0</v>
      </c>
      <c r="M21" s="364">
        <f t="shared" ref="M21:M36" si="2">IF(AZ22=1,0,INDEX($AP$51:$AP$57,$AZ22,1))</f>
        <v>0</v>
      </c>
      <c r="N21" s="595"/>
      <c r="O21" s="364">
        <f>M21*N21</f>
        <v>0</v>
      </c>
      <c r="P21" s="105"/>
      <c r="Q21" s="197"/>
      <c r="R21" s="105"/>
      <c r="S21" s="197"/>
      <c r="T21" s="105"/>
      <c r="U21" s="197"/>
      <c r="V21" s="105"/>
      <c r="W21" s="197"/>
      <c r="X21" s="105"/>
      <c r="Y21" s="197"/>
      <c r="Z21" s="108"/>
      <c r="AA21" s="108"/>
      <c r="AB21" s="285"/>
      <c r="AN21" s="221"/>
      <c r="AO21" s="105"/>
      <c r="AP21" s="190">
        <v>18</v>
      </c>
      <c r="AQ21" s="191">
        <v>22</v>
      </c>
      <c r="AR21" s="191">
        <v>28</v>
      </c>
      <c r="AS21" s="191">
        <v>35</v>
      </c>
      <c r="AT21" s="191">
        <v>42</v>
      </c>
      <c r="AU21" s="232">
        <v>54</v>
      </c>
      <c r="AW21" s="200" t="s">
        <v>389</v>
      </c>
      <c r="AY21" s="202" t="s">
        <v>390</v>
      </c>
      <c r="AZ21" s="202" t="s">
        <v>391</v>
      </c>
      <c r="BA21" s="783" t="s">
        <v>418</v>
      </c>
      <c r="BB21" s="783"/>
      <c r="BC21" s="783"/>
      <c r="BD21" s="783"/>
      <c r="BE21" s="783"/>
      <c r="BF21" s="783"/>
      <c r="BG21" s="784"/>
      <c r="BI21" s="300" t="e">
        <f t="shared" ref="BI21:BI27" si="3">CHOOSE(MATCH(E21,$BN$20:$BN$45,1),$BO$20,$BO$21,$BO$22,$BO$23,$BO$24,$BO$25,$BO$26,$BO$27,$BO$28,$BO$29,$BO$30,$BO$31,$BO$32,$BO$33,$BO$34,$BO$35,$BO$36,$BO$37,$BO$38,$BO$45)</f>
        <v>#N/A</v>
      </c>
      <c r="BJ21" s="310" t="e">
        <f t="shared" ref="BJ21:BJ27" si="4">CHOOSE(MATCH(E21,$BN$20:$BN$45,1),$BN$20,$BN$21,$BN$22,$BN$23,$BN$24,$BN$25,$BN$26,$BN$27,$BN$28,$BN$29,$BN$30,$BN$31,$BN$32,$BN$33,$BN$34,$BN$35,$BN$36,$BO$37,$BN$38,$BN$45)</f>
        <v>#N/A</v>
      </c>
      <c r="BK21" s="310" t="e">
        <f t="shared" ref="BK21:BK27" si="5">CHOOSE(MATCH(E21,$BN$20:$BN$45,1)+1,$BO$20,$BO$21,$BO$22,$BO$23,$BO$24,$BO$25,$BO$26,$BO$27,$BO$28,$BO$29,$BO$30,$BO$31,$BO$32,$BO$33,$BO$34,$BO$35,$BO$36,$BO$37,$BO$38,$BO$45)</f>
        <v>#N/A</v>
      </c>
      <c r="BL21" s="310" t="e">
        <f t="shared" ref="BL21:BL27" si="6">CHOOSE(MATCH(E21,$BN$20:$BN$45,1)+1,$BN$20,$BN$21,$BN$22,$BN$23,$BN$24,$BN$25,$BN$26,$BN$27,$BN$28,$BN$29,$BN$30,$BN$31,$BN$32,$BN$33,$BN$34,$BN$35,$BN$36,$BO$37,$BN$38,$BN$45)</f>
        <v>#N/A</v>
      </c>
      <c r="BM21" s="311" t="e">
        <f t="shared" ref="BM21:BM27" si="7">BI21+((BK21-BI21)/(BL21-BJ21))*(E21-BJ21)</f>
        <v>#N/A</v>
      </c>
      <c r="BN21" s="99">
        <v>2</v>
      </c>
      <c r="BO21" s="183">
        <v>0.75</v>
      </c>
    </row>
    <row r="22" spans="2:67" ht="18" customHeight="1" x14ac:dyDescent="0.2">
      <c r="C22" s="610"/>
      <c r="D22" s="562"/>
      <c r="E22" s="595"/>
      <c r="F22" s="723" t="e">
        <f t="shared" ref="F22:F36" si="8">BM22</f>
        <v>#N/A</v>
      </c>
      <c r="G22" s="611"/>
      <c r="H22" s="725">
        <f t="shared" ref="H22:H36" si="9">G22*3600</f>
        <v>0</v>
      </c>
      <c r="I22" s="563"/>
      <c r="J22" s="364">
        <f t="shared" si="0"/>
        <v>0</v>
      </c>
      <c r="K22" s="703">
        <f t="shared" ref="K22:K36" si="10">IF(AZ23=1,0,0.354*H22/(J22^2))</f>
        <v>0</v>
      </c>
      <c r="L22" s="364">
        <f t="shared" si="1"/>
        <v>0</v>
      </c>
      <c r="M22" s="364">
        <f t="shared" si="2"/>
        <v>0</v>
      </c>
      <c r="N22" s="595"/>
      <c r="O22" s="364">
        <f t="shared" ref="O22:O27" si="11">M22*N22</f>
        <v>0</v>
      </c>
      <c r="P22" s="105"/>
      <c r="Q22" s="197"/>
      <c r="R22" s="105"/>
      <c r="S22" s="197"/>
      <c r="T22" s="105"/>
      <c r="U22" s="197"/>
      <c r="V22" s="105"/>
      <c r="W22" s="197"/>
      <c r="X22" s="105"/>
      <c r="Y22" s="197"/>
      <c r="Z22" s="108"/>
      <c r="AA22" s="108"/>
      <c r="AB22" s="285"/>
      <c r="AN22" s="221"/>
      <c r="AO22" s="193" t="s">
        <v>385</v>
      </c>
      <c r="AP22" s="184">
        <v>0</v>
      </c>
      <c r="AQ22" s="184">
        <v>0</v>
      </c>
      <c r="AR22" s="184">
        <v>0</v>
      </c>
      <c r="AS22" s="184">
        <v>0</v>
      </c>
      <c r="AT22" s="184">
        <v>0</v>
      </c>
      <c r="AU22" s="231">
        <v>0</v>
      </c>
      <c r="AW22" s="297">
        <v>1</v>
      </c>
      <c r="AY22" s="99">
        <f t="shared" ref="AY22:AY37" si="12">C21</f>
        <v>0</v>
      </c>
      <c r="AZ22" s="299">
        <v>1</v>
      </c>
      <c r="BA22" s="3">
        <v>4</v>
      </c>
      <c r="BB22" s="3">
        <v>1</v>
      </c>
      <c r="BC22" s="3">
        <v>1</v>
      </c>
      <c r="BD22">
        <v>1</v>
      </c>
      <c r="BE22">
        <v>1</v>
      </c>
      <c r="BF22">
        <v>1</v>
      </c>
      <c r="BG22" s="203">
        <v>1</v>
      </c>
      <c r="BH22" s="301" t="b">
        <v>0</v>
      </c>
      <c r="BI22" s="300" t="e">
        <f t="shared" si="3"/>
        <v>#N/A</v>
      </c>
      <c r="BJ22" s="310" t="e">
        <f t="shared" si="4"/>
        <v>#N/A</v>
      </c>
      <c r="BK22" s="310" t="e">
        <f t="shared" si="5"/>
        <v>#N/A</v>
      </c>
      <c r="BL22" s="310" t="e">
        <f t="shared" si="6"/>
        <v>#N/A</v>
      </c>
      <c r="BM22" s="311" t="e">
        <f t="shared" si="7"/>
        <v>#N/A</v>
      </c>
      <c r="BN22" s="99">
        <v>3</v>
      </c>
      <c r="BO22" s="275">
        <v>0.6</v>
      </c>
    </row>
    <row r="23" spans="2:67" ht="18" customHeight="1" x14ac:dyDescent="0.2">
      <c r="C23" s="610"/>
      <c r="D23" s="562"/>
      <c r="E23" s="595"/>
      <c r="F23" s="723" t="e">
        <f t="shared" si="8"/>
        <v>#N/A</v>
      </c>
      <c r="G23" s="611"/>
      <c r="H23" s="725">
        <f t="shared" si="9"/>
        <v>0</v>
      </c>
      <c r="I23" s="563"/>
      <c r="J23" s="364">
        <f t="shared" si="0"/>
        <v>0</v>
      </c>
      <c r="K23" s="703">
        <f t="shared" si="10"/>
        <v>0</v>
      </c>
      <c r="L23" s="364">
        <f t="shared" si="1"/>
        <v>0</v>
      </c>
      <c r="M23" s="364">
        <f t="shared" si="2"/>
        <v>0</v>
      </c>
      <c r="N23" s="595"/>
      <c r="O23" s="364">
        <f t="shared" si="11"/>
        <v>0</v>
      </c>
      <c r="P23" s="105"/>
      <c r="Q23" s="197"/>
      <c r="R23" s="105"/>
      <c r="S23" s="197"/>
      <c r="T23" s="105"/>
      <c r="U23" s="197"/>
      <c r="V23" s="105"/>
      <c r="W23" s="197"/>
      <c r="X23" s="105"/>
      <c r="Y23" s="197"/>
      <c r="Z23" s="108"/>
      <c r="AA23" s="108"/>
      <c r="AB23" s="285"/>
      <c r="AN23" s="221"/>
      <c r="AO23" s="194" t="s">
        <v>698</v>
      </c>
      <c r="AP23" s="108">
        <v>0.34</v>
      </c>
      <c r="AQ23" s="108">
        <v>0.43</v>
      </c>
      <c r="AR23" s="108">
        <v>0.47</v>
      </c>
      <c r="AS23" s="108">
        <v>0.56000000000000005</v>
      </c>
      <c r="AT23" s="108">
        <v>0.7</v>
      </c>
      <c r="AU23" s="233">
        <v>0.85</v>
      </c>
      <c r="AW23" s="176" t="s">
        <v>393</v>
      </c>
      <c r="AY23" s="99">
        <f t="shared" si="12"/>
        <v>0</v>
      </c>
      <c r="AZ23" s="299">
        <v>1</v>
      </c>
      <c r="BA23" s="3">
        <v>4</v>
      </c>
      <c r="BB23" s="3">
        <v>1</v>
      </c>
      <c r="BC23" s="3">
        <v>1</v>
      </c>
      <c r="BD23">
        <v>1</v>
      </c>
      <c r="BE23">
        <v>1</v>
      </c>
      <c r="BF23">
        <v>1</v>
      </c>
      <c r="BG23" s="203">
        <v>1</v>
      </c>
      <c r="BH23" s="301" t="b">
        <v>0</v>
      </c>
      <c r="BI23" s="300" t="e">
        <f t="shared" si="3"/>
        <v>#N/A</v>
      </c>
      <c r="BJ23" s="310" t="e">
        <f t="shared" si="4"/>
        <v>#N/A</v>
      </c>
      <c r="BK23" s="310" t="e">
        <f t="shared" si="5"/>
        <v>#N/A</v>
      </c>
      <c r="BL23" s="310" t="e">
        <f t="shared" si="6"/>
        <v>#N/A</v>
      </c>
      <c r="BM23" s="311" t="e">
        <f t="shared" si="7"/>
        <v>#N/A</v>
      </c>
      <c r="BN23" s="99">
        <v>4</v>
      </c>
      <c r="BO23" s="183">
        <v>0.55000000000000004</v>
      </c>
    </row>
    <row r="24" spans="2:67" ht="18" customHeight="1" x14ac:dyDescent="0.2">
      <c r="C24" s="610"/>
      <c r="D24" s="562"/>
      <c r="E24" s="595"/>
      <c r="F24" s="723" t="e">
        <f t="shared" si="8"/>
        <v>#N/A</v>
      </c>
      <c r="G24" s="611"/>
      <c r="H24" s="725">
        <f t="shared" si="9"/>
        <v>0</v>
      </c>
      <c r="I24" s="563"/>
      <c r="J24" s="364">
        <f t="shared" si="0"/>
        <v>0</v>
      </c>
      <c r="K24" s="703">
        <f t="shared" si="10"/>
        <v>0</v>
      </c>
      <c r="L24" s="364">
        <f t="shared" si="1"/>
        <v>0</v>
      </c>
      <c r="M24" s="364">
        <f t="shared" si="2"/>
        <v>0</v>
      </c>
      <c r="N24" s="595"/>
      <c r="O24" s="364">
        <f t="shared" si="11"/>
        <v>0</v>
      </c>
      <c r="P24" s="105"/>
      <c r="Q24" s="197"/>
      <c r="R24" s="105"/>
      <c r="S24" s="197"/>
      <c r="T24" s="105"/>
      <c r="U24" s="197"/>
      <c r="V24" s="105"/>
      <c r="W24" s="197"/>
      <c r="X24" s="105"/>
      <c r="Y24" s="197"/>
      <c r="Z24" s="108"/>
      <c r="AA24" s="108"/>
      <c r="AB24" s="285"/>
      <c r="AN24" s="221"/>
      <c r="AO24" s="194" t="s">
        <v>394</v>
      </c>
      <c r="AP24" s="108">
        <v>0.5</v>
      </c>
      <c r="AQ24" s="108">
        <v>0.63</v>
      </c>
      <c r="AR24" s="108">
        <v>0.76</v>
      </c>
      <c r="AS24" s="108">
        <v>1.01</v>
      </c>
      <c r="AT24" s="108">
        <v>1.32</v>
      </c>
      <c r="AU24" s="233">
        <v>1.71</v>
      </c>
      <c r="AW24" s="176" t="s">
        <v>424</v>
      </c>
      <c r="AY24" s="99">
        <f t="shared" si="12"/>
        <v>0</v>
      </c>
      <c r="AZ24" s="299">
        <v>1</v>
      </c>
      <c r="BA24" s="3">
        <v>4</v>
      </c>
      <c r="BB24" s="3">
        <v>1</v>
      </c>
      <c r="BC24" s="3">
        <v>1</v>
      </c>
      <c r="BD24">
        <v>1</v>
      </c>
      <c r="BE24">
        <v>1</v>
      </c>
      <c r="BF24">
        <v>1</v>
      </c>
      <c r="BG24" s="203">
        <v>1</v>
      </c>
      <c r="BH24" s="301" t="b">
        <v>0</v>
      </c>
      <c r="BI24" s="300" t="e">
        <f t="shared" si="3"/>
        <v>#N/A</v>
      </c>
      <c r="BJ24" s="310" t="e">
        <f t="shared" si="4"/>
        <v>#N/A</v>
      </c>
      <c r="BK24" s="310" t="e">
        <f t="shared" si="5"/>
        <v>#N/A</v>
      </c>
      <c r="BL24" s="310" t="e">
        <f t="shared" si="6"/>
        <v>#N/A</v>
      </c>
      <c r="BM24" s="311" t="e">
        <f t="shared" si="7"/>
        <v>#N/A</v>
      </c>
      <c r="BN24" s="99">
        <v>5</v>
      </c>
      <c r="BO24" s="183">
        <v>0.53</v>
      </c>
    </row>
    <row r="25" spans="2:67" ht="18" customHeight="1" x14ac:dyDescent="0.2">
      <c r="C25" s="610"/>
      <c r="D25" s="562"/>
      <c r="E25" s="595"/>
      <c r="F25" s="723" t="e">
        <f t="shared" si="8"/>
        <v>#N/A</v>
      </c>
      <c r="G25" s="611"/>
      <c r="H25" s="725">
        <f t="shared" si="9"/>
        <v>0</v>
      </c>
      <c r="I25" s="563"/>
      <c r="J25" s="364">
        <f t="shared" si="0"/>
        <v>0</v>
      </c>
      <c r="K25" s="703">
        <f t="shared" si="10"/>
        <v>0</v>
      </c>
      <c r="L25" s="364">
        <f t="shared" si="1"/>
        <v>0</v>
      </c>
      <c r="M25" s="364">
        <f t="shared" si="2"/>
        <v>0</v>
      </c>
      <c r="N25" s="595"/>
      <c r="O25" s="364">
        <f t="shared" si="11"/>
        <v>0</v>
      </c>
      <c r="P25" s="105"/>
      <c r="Q25" s="197"/>
      <c r="R25" s="105"/>
      <c r="S25" s="197"/>
      <c r="T25" s="105"/>
      <c r="U25" s="197"/>
      <c r="V25" s="105"/>
      <c r="W25" s="197"/>
      <c r="X25" s="105"/>
      <c r="Y25" s="197"/>
      <c r="Z25" s="108"/>
      <c r="AA25" s="108"/>
      <c r="AB25" s="285"/>
      <c r="AN25" s="221"/>
      <c r="AO25" s="99" t="s">
        <v>395</v>
      </c>
      <c r="AP25" s="3">
        <v>0.33</v>
      </c>
      <c r="AQ25" s="3">
        <v>0.45</v>
      </c>
      <c r="AR25" s="3">
        <v>0.6</v>
      </c>
      <c r="AS25" s="3">
        <v>0.84</v>
      </c>
      <c r="AT25" s="3">
        <v>0.96</v>
      </c>
      <c r="AU25" s="234">
        <v>1.27</v>
      </c>
      <c r="AW25" s="208" t="s">
        <v>423</v>
      </c>
      <c r="AY25" s="99">
        <f t="shared" si="12"/>
        <v>0</v>
      </c>
      <c r="AZ25" s="299">
        <v>1</v>
      </c>
      <c r="BA25" s="3">
        <v>1</v>
      </c>
      <c r="BB25" s="3">
        <v>1</v>
      </c>
      <c r="BC25" s="3">
        <v>1</v>
      </c>
      <c r="BD25">
        <v>1</v>
      </c>
      <c r="BE25">
        <v>1</v>
      </c>
      <c r="BF25">
        <v>1</v>
      </c>
      <c r="BG25" s="203">
        <v>1</v>
      </c>
      <c r="BH25" s="301" t="b">
        <v>0</v>
      </c>
      <c r="BI25" s="300" t="e">
        <f t="shared" si="3"/>
        <v>#N/A</v>
      </c>
      <c r="BJ25" s="310" t="e">
        <f t="shared" si="4"/>
        <v>#N/A</v>
      </c>
      <c r="BK25" s="310" t="e">
        <f t="shared" si="5"/>
        <v>#N/A</v>
      </c>
      <c r="BL25" s="310" t="e">
        <f t="shared" si="6"/>
        <v>#N/A</v>
      </c>
      <c r="BM25" s="311" t="e">
        <f t="shared" si="7"/>
        <v>#N/A</v>
      </c>
      <c r="BN25" s="99">
        <v>6</v>
      </c>
      <c r="BO25" s="183">
        <v>0.5</v>
      </c>
    </row>
    <row r="26" spans="2:67" s="105" customFormat="1" ht="18" customHeight="1" x14ac:dyDescent="0.2">
      <c r="C26" s="610"/>
      <c r="D26" s="562"/>
      <c r="E26" s="595"/>
      <c r="F26" s="723" t="e">
        <f t="shared" si="8"/>
        <v>#N/A</v>
      </c>
      <c r="G26" s="611"/>
      <c r="H26" s="725">
        <f t="shared" si="9"/>
        <v>0</v>
      </c>
      <c r="I26" s="563"/>
      <c r="J26" s="364">
        <f t="shared" si="0"/>
        <v>0</v>
      </c>
      <c r="K26" s="703">
        <f t="shared" si="10"/>
        <v>0</v>
      </c>
      <c r="L26" s="364">
        <f t="shared" si="1"/>
        <v>0</v>
      </c>
      <c r="M26" s="364">
        <f t="shared" si="2"/>
        <v>0</v>
      </c>
      <c r="N26" s="595"/>
      <c r="O26" s="364">
        <f t="shared" si="11"/>
        <v>0</v>
      </c>
      <c r="Q26" s="197"/>
      <c r="S26" s="197"/>
      <c r="U26" s="197"/>
      <c r="W26" s="197"/>
      <c r="Y26" s="197"/>
      <c r="Z26" s="108"/>
      <c r="AA26" s="108"/>
      <c r="AB26" s="285"/>
      <c r="AN26" s="223"/>
      <c r="AO26" s="99" t="s">
        <v>397</v>
      </c>
      <c r="AP26" s="3">
        <v>0.3</v>
      </c>
      <c r="AQ26" s="3">
        <v>0.5</v>
      </c>
      <c r="AR26" s="3">
        <v>0.65</v>
      </c>
      <c r="AS26" s="3">
        <v>0.85</v>
      </c>
      <c r="AT26" s="3">
        <v>1</v>
      </c>
      <c r="AU26" s="234">
        <v>1.3</v>
      </c>
      <c r="AV26" s="209" t="s">
        <v>427</v>
      </c>
      <c r="AW26" s="296"/>
      <c r="AY26" s="99">
        <f t="shared" si="12"/>
        <v>0</v>
      </c>
      <c r="AZ26" s="302">
        <v>1</v>
      </c>
      <c r="BA26" s="108">
        <v>1</v>
      </c>
      <c r="BB26" s="108">
        <v>1</v>
      </c>
      <c r="BC26" s="108">
        <v>1</v>
      </c>
      <c r="BD26" s="105">
        <v>1</v>
      </c>
      <c r="BE26" s="105">
        <v>1</v>
      </c>
      <c r="BF26" s="105">
        <v>1</v>
      </c>
      <c r="BG26" s="204">
        <v>1</v>
      </c>
      <c r="BH26" s="362" t="b">
        <v>0</v>
      </c>
      <c r="BI26" s="300" t="e">
        <f t="shared" si="3"/>
        <v>#N/A</v>
      </c>
      <c r="BJ26" s="310" t="e">
        <f t="shared" si="4"/>
        <v>#N/A</v>
      </c>
      <c r="BK26" s="310" t="e">
        <f t="shared" si="5"/>
        <v>#N/A</v>
      </c>
      <c r="BL26" s="310" t="e">
        <f t="shared" si="6"/>
        <v>#N/A</v>
      </c>
      <c r="BM26" s="311" t="e">
        <f t="shared" si="7"/>
        <v>#N/A</v>
      </c>
      <c r="BN26" s="99">
        <v>7</v>
      </c>
      <c r="BO26" s="183">
        <v>0.49</v>
      </c>
    </row>
    <row r="27" spans="2:67" s="105" customFormat="1" ht="18" customHeight="1" x14ac:dyDescent="0.2">
      <c r="C27" s="610"/>
      <c r="D27" s="562"/>
      <c r="E27" s="595"/>
      <c r="F27" s="723" t="e">
        <f t="shared" si="8"/>
        <v>#N/A</v>
      </c>
      <c r="G27" s="611"/>
      <c r="H27" s="725">
        <f t="shared" si="9"/>
        <v>0</v>
      </c>
      <c r="I27" s="563"/>
      <c r="J27" s="364">
        <f t="shared" si="0"/>
        <v>0</v>
      </c>
      <c r="K27" s="703">
        <f t="shared" si="10"/>
        <v>0</v>
      </c>
      <c r="L27" s="364">
        <f t="shared" si="1"/>
        <v>0</v>
      </c>
      <c r="M27" s="364">
        <f t="shared" si="2"/>
        <v>0</v>
      </c>
      <c r="N27" s="595"/>
      <c r="O27" s="364">
        <f t="shared" si="11"/>
        <v>0</v>
      </c>
      <c r="Q27" s="197"/>
      <c r="S27" s="197"/>
      <c r="U27" s="197"/>
      <c r="W27" s="197"/>
      <c r="Y27" s="197"/>
      <c r="Z27" s="108"/>
      <c r="AA27" s="108"/>
      <c r="AB27" s="285"/>
      <c r="AN27" s="223"/>
      <c r="AO27" s="99" t="s">
        <v>400</v>
      </c>
      <c r="AP27" s="3">
        <v>0.15</v>
      </c>
      <c r="AQ27" s="3">
        <v>0.2</v>
      </c>
      <c r="AR27" s="3">
        <v>0.3</v>
      </c>
      <c r="AS27" s="3">
        <v>0.4</v>
      </c>
      <c r="AT27" s="3">
        <v>0.5</v>
      </c>
      <c r="AU27" s="234">
        <v>0.6</v>
      </c>
      <c r="AV27" s="209" t="s">
        <v>428</v>
      </c>
      <c r="AW27" s="296">
        <f>IF(AW22=1,2,IF(AW22=2,3))</f>
        <v>2</v>
      </c>
      <c r="AY27" s="99">
        <f t="shared" si="12"/>
        <v>0</v>
      </c>
      <c r="AZ27" s="302">
        <v>1</v>
      </c>
      <c r="BA27" s="108">
        <v>1</v>
      </c>
      <c r="BB27" s="108">
        <v>1</v>
      </c>
      <c r="BC27" s="108">
        <v>1</v>
      </c>
      <c r="BD27" s="105">
        <v>1</v>
      </c>
      <c r="BE27" s="105">
        <v>1</v>
      </c>
      <c r="BF27" s="105">
        <v>1</v>
      </c>
      <c r="BG27" s="204">
        <v>1</v>
      </c>
      <c r="BH27" s="362" t="b">
        <v>0</v>
      </c>
      <c r="BI27" s="300" t="e">
        <f t="shared" si="3"/>
        <v>#N/A</v>
      </c>
      <c r="BJ27" s="310" t="e">
        <f t="shared" si="4"/>
        <v>#N/A</v>
      </c>
      <c r="BK27" s="310" t="e">
        <f t="shared" si="5"/>
        <v>#N/A</v>
      </c>
      <c r="BL27" s="310" t="e">
        <f t="shared" si="6"/>
        <v>#N/A</v>
      </c>
      <c r="BM27" s="311" t="e">
        <f t="shared" si="7"/>
        <v>#N/A</v>
      </c>
      <c r="BN27" s="99">
        <v>8</v>
      </c>
      <c r="BO27" s="183">
        <v>0.48</v>
      </c>
    </row>
    <row r="28" spans="2:67" s="105" customFormat="1" ht="18" customHeight="1" x14ac:dyDescent="0.2">
      <c r="C28" s="610"/>
      <c r="D28" s="562"/>
      <c r="E28" s="595"/>
      <c r="F28" s="723">
        <f t="shared" si="8"/>
        <v>0</v>
      </c>
      <c r="G28" s="611"/>
      <c r="H28" s="725">
        <f t="shared" si="9"/>
        <v>0</v>
      </c>
      <c r="I28" s="563"/>
      <c r="J28" s="364">
        <f t="shared" si="0"/>
        <v>0</v>
      </c>
      <c r="K28" s="703">
        <f t="shared" si="10"/>
        <v>0</v>
      </c>
      <c r="L28" s="364">
        <f t="shared" si="1"/>
        <v>0</v>
      </c>
      <c r="M28" s="364">
        <f t="shared" si="2"/>
        <v>0</v>
      </c>
      <c r="N28" s="595"/>
      <c r="O28" s="364">
        <f t="shared" ref="O28:O36" si="13">M28*N28</f>
        <v>0</v>
      </c>
      <c r="Q28" s="197"/>
      <c r="S28" s="197"/>
      <c r="U28" s="197"/>
      <c r="W28" s="197"/>
      <c r="Y28" s="197"/>
      <c r="Z28" s="108"/>
      <c r="AA28" s="108"/>
      <c r="AB28" s="285"/>
      <c r="AD28" s="3"/>
      <c r="AE28" s="3"/>
      <c r="AN28" s="223"/>
      <c r="AO28" s="99" t="s">
        <v>402</v>
      </c>
      <c r="AP28" s="3">
        <v>2.5</v>
      </c>
      <c r="AQ28" s="3">
        <v>3</v>
      </c>
      <c r="AR28" s="3">
        <v>3.6</v>
      </c>
      <c r="AS28" s="3">
        <v>4.0999999999999996</v>
      </c>
      <c r="AT28" s="3">
        <v>4.5999999999999996</v>
      </c>
      <c r="AU28" s="234">
        <v>5</v>
      </c>
      <c r="AY28" s="99">
        <f t="shared" si="12"/>
        <v>0</v>
      </c>
      <c r="AZ28" s="302">
        <v>1</v>
      </c>
      <c r="BA28" s="108">
        <v>1</v>
      </c>
      <c r="BB28" s="108">
        <v>1</v>
      </c>
      <c r="BC28" s="108">
        <v>1</v>
      </c>
      <c r="BD28" s="105">
        <v>1</v>
      </c>
      <c r="BE28" s="105">
        <v>1</v>
      </c>
      <c r="BF28" s="105">
        <v>1</v>
      </c>
      <c r="BG28" s="204">
        <v>1</v>
      </c>
      <c r="BH28" s="362" t="b">
        <v>0</v>
      </c>
      <c r="BN28" s="99">
        <v>9</v>
      </c>
      <c r="BO28" s="183">
        <v>0.46</v>
      </c>
    </row>
    <row r="29" spans="2:67" s="105" customFormat="1" ht="18" customHeight="1" x14ac:dyDescent="0.2">
      <c r="C29" s="610"/>
      <c r="D29" s="562"/>
      <c r="E29" s="595"/>
      <c r="F29" s="723">
        <f t="shared" si="8"/>
        <v>0</v>
      </c>
      <c r="G29" s="611"/>
      <c r="H29" s="725">
        <f t="shared" si="9"/>
        <v>0</v>
      </c>
      <c r="I29" s="563"/>
      <c r="J29" s="364">
        <f t="shared" si="0"/>
        <v>0</v>
      </c>
      <c r="K29" s="703">
        <f t="shared" si="10"/>
        <v>0</v>
      </c>
      <c r="L29" s="364">
        <f t="shared" si="1"/>
        <v>0</v>
      </c>
      <c r="M29" s="364">
        <f t="shared" si="2"/>
        <v>0</v>
      </c>
      <c r="N29" s="595"/>
      <c r="O29" s="364">
        <f t="shared" si="13"/>
        <v>0</v>
      </c>
      <c r="Q29" s="197"/>
      <c r="S29" s="197"/>
      <c r="U29" s="197"/>
      <c r="W29" s="197"/>
      <c r="Y29" s="197"/>
      <c r="Z29" s="108"/>
      <c r="AA29" s="108"/>
      <c r="AB29" s="285"/>
      <c r="AD29" s="3"/>
      <c r="AE29" s="3"/>
      <c r="AN29" s="223"/>
      <c r="AO29" s="99" t="s">
        <v>404</v>
      </c>
      <c r="AP29" s="3">
        <v>1.68</v>
      </c>
      <c r="AQ29" s="3">
        <v>1.8</v>
      </c>
      <c r="AR29" s="3">
        <v>1.92</v>
      </c>
      <c r="AS29" s="3">
        <v>2.4</v>
      </c>
      <c r="AT29" s="3">
        <v>3</v>
      </c>
      <c r="AU29" s="234">
        <v>3.6</v>
      </c>
      <c r="AY29" s="99">
        <f t="shared" si="12"/>
        <v>0</v>
      </c>
      <c r="AZ29" s="302">
        <v>1</v>
      </c>
      <c r="BA29" s="108">
        <v>1</v>
      </c>
      <c r="BB29" s="108">
        <v>1</v>
      </c>
      <c r="BC29" s="108">
        <v>1</v>
      </c>
      <c r="BD29" s="105">
        <v>1</v>
      </c>
      <c r="BE29" s="105">
        <v>1</v>
      </c>
      <c r="BF29" s="105">
        <v>1</v>
      </c>
      <c r="BG29" s="204">
        <v>1</v>
      </c>
      <c r="BH29" s="362" t="b">
        <v>0</v>
      </c>
      <c r="BN29" s="99">
        <v>10</v>
      </c>
      <c r="BO29" s="183">
        <v>0.45</v>
      </c>
    </row>
    <row r="30" spans="2:67" ht="18" customHeight="1" x14ac:dyDescent="0.2">
      <c r="C30" s="610"/>
      <c r="D30" s="562"/>
      <c r="E30" s="595"/>
      <c r="F30" s="723">
        <f t="shared" si="8"/>
        <v>0</v>
      </c>
      <c r="G30" s="611"/>
      <c r="H30" s="725">
        <f t="shared" si="9"/>
        <v>0</v>
      </c>
      <c r="I30" s="563"/>
      <c r="J30" s="364">
        <f t="shared" si="0"/>
        <v>0</v>
      </c>
      <c r="K30" s="703">
        <f t="shared" si="10"/>
        <v>0</v>
      </c>
      <c r="L30" s="364">
        <f t="shared" si="1"/>
        <v>0</v>
      </c>
      <c r="M30" s="364">
        <f t="shared" si="2"/>
        <v>0</v>
      </c>
      <c r="N30" s="595"/>
      <c r="O30" s="364">
        <f t="shared" si="13"/>
        <v>0</v>
      </c>
      <c r="P30" s="105"/>
      <c r="Q30" s="197"/>
      <c r="R30" s="105"/>
      <c r="S30" s="197"/>
      <c r="T30" s="105"/>
      <c r="U30" s="197"/>
      <c r="V30" s="105"/>
      <c r="W30" s="197"/>
      <c r="X30" s="105"/>
      <c r="Y30" s="197"/>
      <c r="Z30" s="108"/>
      <c r="AA30" s="108"/>
      <c r="AB30" s="285"/>
      <c r="AD30" s="3"/>
      <c r="AE30" s="3"/>
      <c r="AN30" s="221"/>
      <c r="AO30" s="100" t="s">
        <v>656</v>
      </c>
      <c r="AP30" s="187">
        <v>0.5</v>
      </c>
      <c r="AQ30" s="187">
        <v>0.77</v>
      </c>
      <c r="AR30" s="187">
        <v>1.05</v>
      </c>
      <c r="AS30" s="187">
        <v>1.61</v>
      </c>
      <c r="AT30" s="187">
        <v>2.1</v>
      </c>
      <c r="AU30" s="235">
        <v>2.66</v>
      </c>
      <c r="AY30" s="99">
        <f t="shared" si="12"/>
        <v>0</v>
      </c>
      <c r="AZ30" s="299">
        <v>1</v>
      </c>
      <c r="BA30" s="3">
        <v>1</v>
      </c>
      <c r="BB30" s="3">
        <v>1</v>
      </c>
      <c r="BC30" s="3">
        <v>1</v>
      </c>
      <c r="BD30">
        <v>1</v>
      </c>
      <c r="BE30">
        <v>1</v>
      </c>
      <c r="BF30">
        <v>1</v>
      </c>
      <c r="BG30" s="203">
        <v>1</v>
      </c>
      <c r="BH30" s="301" t="b">
        <v>0</v>
      </c>
      <c r="BN30" s="99">
        <v>20</v>
      </c>
      <c r="BO30" s="183">
        <v>0.4</v>
      </c>
    </row>
    <row r="31" spans="2:67" ht="18" customHeight="1" x14ac:dyDescent="0.2">
      <c r="C31" s="610"/>
      <c r="D31" s="562"/>
      <c r="E31" s="595"/>
      <c r="F31" s="723">
        <f t="shared" si="8"/>
        <v>0</v>
      </c>
      <c r="G31" s="611"/>
      <c r="H31" s="725">
        <f t="shared" si="9"/>
        <v>0</v>
      </c>
      <c r="I31" s="563"/>
      <c r="J31" s="364">
        <f t="shared" si="0"/>
        <v>0</v>
      </c>
      <c r="K31" s="703">
        <f t="shared" si="10"/>
        <v>0</v>
      </c>
      <c r="L31" s="364">
        <f t="shared" si="1"/>
        <v>0</v>
      </c>
      <c r="M31" s="364">
        <f t="shared" si="2"/>
        <v>0</v>
      </c>
      <c r="N31" s="595"/>
      <c r="O31" s="364">
        <f t="shared" si="13"/>
        <v>0</v>
      </c>
      <c r="P31" s="105"/>
      <c r="Q31" s="197"/>
      <c r="R31" s="105"/>
      <c r="S31" s="197"/>
      <c r="T31" s="105"/>
      <c r="U31" s="197"/>
      <c r="V31" s="105"/>
      <c r="W31" s="197"/>
      <c r="X31" s="105"/>
      <c r="Y31" s="197"/>
      <c r="Z31" s="108"/>
      <c r="AA31" s="108"/>
      <c r="AB31" s="285"/>
      <c r="AD31" s="3"/>
      <c r="AE31" s="3"/>
      <c r="AW31" s="239"/>
      <c r="AY31" s="99">
        <f t="shared" si="12"/>
        <v>0</v>
      </c>
      <c r="AZ31" s="299">
        <v>1</v>
      </c>
      <c r="BA31" s="3">
        <v>1</v>
      </c>
      <c r="BB31" s="3">
        <v>1</v>
      </c>
      <c r="BC31" s="3">
        <v>1</v>
      </c>
      <c r="BD31">
        <v>1</v>
      </c>
      <c r="BE31">
        <v>1</v>
      </c>
      <c r="BF31">
        <v>1</v>
      </c>
      <c r="BG31" s="203">
        <v>1</v>
      </c>
      <c r="BH31" s="301" t="b">
        <v>0</v>
      </c>
      <c r="BN31" s="99">
        <v>30</v>
      </c>
      <c r="BO31" s="183">
        <v>0.38</v>
      </c>
    </row>
    <row r="32" spans="2:67" ht="18" customHeight="1" x14ac:dyDescent="0.2">
      <c r="C32" s="610"/>
      <c r="D32" s="562"/>
      <c r="E32" s="595"/>
      <c r="F32" s="723">
        <f t="shared" si="8"/>
        <v>0</v>
      </c>
      <c r="G32" s="611"/>
      <c r="H32" s="725">
        <f t="shared" si="9"/>
        <v>0</v>
      </c>
      <c r="I32" s="563"/>
      <c r="J32" s="364">
        <f t="shared" si="0"/>
        <v>0</v>
      </c>
      <c r="K32" s="703">
        <f t="shared" si="10"/>
        <v>0</v>
      </c>
      <c r="L32" s="364">
        <f t="shared" si="1"/>
        <v>0</v>
      </c>
      <c r="M32" s="364">
        <f t="shared" si="2"/>
        <v>0</v>
      </c>
      <c r="N32" s="595"/>
      <c r="O32" s="364">
        <f t="shared" si="13"/>
        <v>0</v>
      </c>
      <c r="P32" s="105"/>
      <c r="Q32" s="197"/>
      <c r="R32" s="105"/>
      <c r="S32" s="197"/>
      <c r="T32" s="105"/>
      <c r="U32" s="197"/>
      <c r="V32" s="105"/>
      <c r="W32" s="197"/>
      <c r="X32" s="105"/>
      <c r="Y32" s="197"/>
      <c r="Z32" s="108"/>
      <c r="AA32" s="108"/>
      <c r="AB32" s="285"/>
      <c r="AO32" s="5"/>
      <c r="AW32" s="108"/>
      <c r="AY32" s="99">
        <f t="shared" si="12"/>
        <v>0</v>
      </c>
      <c r="AZ32" s="299">
        <v>1</v>
      </c>
      <c r="BA32" s="3">
        <v>1</v>
      </c>
      <c r="BB32" s="3">
        <v>1</v>
      </c>
      <c r="BC32" s="3">
        <v>1</v>
      </c>
      <c r="BD32">
        <v>1</v>
      </c>
      <c r="BE32">
        <v>1</v>
      </c>
      <c r="BF32">
        <v>1</v>
      </c>
      <c r="BG32" s="203">
        <v>1</v>
      </c>
      <c r="BH32" s="301" t="b">
        <v>0</v>
      </c>
      <c r="BN32" s="99">
        <v>40</v>
      </c>
      <c r="BO32" s="183">
        <v>0.37</v>
      </c>
    </row>
    <row r="33" spans="2:67" ht="18" customHeight="1" x14ac:dyDescent="0.2">
      <c r="C33" s="610"/>
      <c r="D33" s="562"/>
      <c r="E33" s="595"/>
      <c r="F33" s="723">
        <f t="shared" si="8"/>
        <v>0</v>
      </c>
      <c r="G33" s="611"/>
      <c r="H33" s="725">
        <f t="shared" si="9"/>
        <v>0</v>
      </c>
      <c r="I33" s="563"/>
      <c r="J33" s="364">
        <f t="shared" si="0"/>
        <v>0</v>
      </c>
      <c r="K33" s="703">
        <f t="shared" si="10"/>
        <v>0</v>
      </c>
      <c r="L33" s="364">
        <f t="shared" si="1"/>
        <v>0</v>
      </c>
      <c r="M33" s="364">
        <f t="shared" si="2"/>
        <v>0</v>
      </c>
      <c r="N33" s="595"/>
      <c r="O33" s="364">
        <f t="shared" si="13"/>
        <v>0</v>
      </c>
      <c r="P33" s="105"/>
      <c r="Q33" s="197"/>
      <c r="R33" s="105"/>
      <c r="S33" s="197"/>
      <c r="T33" s="105"/>
      <c r="U33" s="197"/>
      <c r="V33" s="105"/>
      <c r="W33" s="197"/>
      <c r="X33" s="105"/>
      <c r="Y33" s="197"/>
      <c r="Z33" s="108"/>
      <c r="AA33" s="108"/>
      <c r="AB33" s="285"/>
      <c r="AW33" s="240"/>
      <c r="AY33" s="99">
        <f t="shared" si="12"/>
        <v>0</v>
      </c>
      <c r="AZ33" s="299">
        <v>1</v>
      </c>
      <c r="BA33" s="3">
        <v>1</v>
      </c>
      <c r="BB33" s="3">
        <v>1</v>
      </c>
      <c r="BC33" s="3">
        <v>1</v>
      </c>
      <c r="BD33">
        <v>1</v>
      </c>
      <c r="BE33">
        <v>1</v>
      </c>
      <c r="BF33">
        <v>1</v>
      </c>
      <c r="BG33" s="203">
        <v>1</v>
      </c>
      <c r="BH33" s="301" t="b">
        <v>0</v>
      </c>
      <c r="BN33" s="99">
        <v>50</v>
      </c>
      <c r="BO33" s="183">
        <v>0.35</v>
      </c>
    </row>
    <row r="34" spans="2:67" ht="18" customHeight="1" x14ac:dyDescent="0.2">
      <c r="C34" s="610"/>
      <c r="D34" s="562"/>
      <c r="E34" s="595"/>
      <c r="F34" s="723">
        <f t="shared" si="8"/>
        <v>0</v>
      </c>
      <c r="G34" s="611"/>
      <c r="H34" s="725">
        <f t="shared" si="9"/>
        <v>0</v>
      </c>
      <c r="I34" s="563"/>
      <c r="J34" s="364">
        <f t="shared" si="0"/>
        <v>0</v>
      </c>
      <c r="K34" s="703">
        <f t="shared" si="10"/>
        <v>0</v>
      </c>
      <c r="L34" s="364">
        <f t="shared" si="1"/>
        <v>0</v>
      </c>
      <c r="M34" s="364">
        <f t="shared" si="2"/>
        <v>0</v>
      </c>
      <c r="N34" s="595"/>
      <c r="O34" s="364">
        <f t="shared" si="13"/>
        <v>0</v>
      </c>
      <c r="P34" s="105"/>
      <c r="Q34" s="197"/>
      <c r="R34" s="105"/>
      <c r="S34" s="197"/>
      <c r="T34" s="105"/>
      <c r="U34" s="197"/>
      <c r="V34" s="105"/>
      <c r="W34" s="197"/>
      <c r="X34" s="105"/>
      <c r="Y34" s="197"/>
      <c r="Z34" s="108"/>
      <c r="AA34" s="108"/>
      <c r="AB34" s="285"/>
      <c r="AW34" s="240"/>
      <c r="AY34" s="99">
        <f t="shared" si="12"/>
        <v>0</v>
      </c>
      <c r="AZ34" s="299">
        <v>1</v>
      </c>
      <c r="BA34" s="3">
        <v>1</v>
      </c>
      <c r="BB34" s="3">
        <v>1</v>
      </c>
      <c r="BC34" s="3">
        <v>1</v>
      </c>
      <c r="BD34">
        <v>1</v>
      </c>
      <c r="BE34">
        <v>1</v>
      </c>
      <c r="BF34">
        <v>1</v>
      </c>
      <c r="BG34" s="203">
        <v>1</v>
      </c>
      <c r="BH34" s="301" t="b">
        <v>0</v>
      </c>
      <c r="BN34" s="99">
        <v>75</v>
      </c>
      <c r="BO34" s="183">
        <v>0.33</v>
      </c>
    </row>
    <row r="35" spans="2:67" ht="18" customHeight="1" x14ac:dyDescent="0.2">
      <c r="C35" s="610"/>
      <c r="D35" s="562"/>
      <c r="E35" s="595"/>
      <c r="F35" s="723">
        <f t="shared" si="8"/>
        <v>0</v>
      </c>
      <c r="G35" s="611"/>
      <c r="H35" s="725">
        <f t="shared" si="9"/>
        <v>0</v>
      </c>
      <c r="I35" s="563"/>
      <c r="J35" s="364">
        <f t="shared" si="0"/>
        <v>0</v>
      </c>
      <c r="K35" s="703">
        <f t="shared" si="10"/>
        <v>0</v>
      </c>
      <c r="L35" s="364">
        <f t="shared" si="1"/>
        <v>0</v>
      </c>
      <c r="M35" s="364">
        <f t="shared" si="2"/>
        <v>0</v>
      </c>
      <c r="N35" s="595"/>
      <c r="O35" s="364">
        <f t="shared" si="13"/>
        <v>0</v>
      </c>
      <c r="P35" s="105"/>
      <c r="Q35" s="197"/>
      <c r="R35" s="105"/>
      <c r="S35" s="197"/>
      <c r="T35" s="105"/>
      <c r="U35" s="197"/>
      <c r="V35" s="105"/>
      <c r="W35" s="197"/>
      <c r="X35" s="105"/>
      <c r="Y35" s="197"/>
      <c r="Z35" s="108"/>
      <c r="AA35" s="108"/>
      <c r="AB35" s="285"/>
      <c r="AY35" s="99">
        <f t="shared" si="12"/>
        <v>0</v>
      </c>
      <c r="AZ35" s="299">
        <v>1</v>
      </c>
      <c r="BA35" s="3">
        <v>1</v>
      </c>
      <c r="BB35" s="3">
        <v>1</v>
      </c>
      <c r="BC35" s="3">
        <v>1</v>
      </c>
      <c r="BD35">
        <v>1</v>
      </c>
      <c r="BE35">
        <v>1</v>
      </c>
      <c r="BF35">
        <v>1</v>
      </c>
      <c r="BG35" s="203">
        <v>1</v>
      </c>
      <c r="BH35" s="301" t="b">
        <v>0</v>
      </c>
      <c r="BN35" s="99">
        <v>100</v>
      </c>
      <c r="BO35" s="183">
        <v>0.32</v>
      </c>
    </row>
    <row r="36" spans="2:67" ht="18" customHeight="1" x14ac:dyDescent="0.2">
      <c r="C36" s="612"/>
      <c r="D36" s="571"/>
      <c r="E36" s="613"/>
      <c r="F36" s="724">
        <f t="shared" si="8"/>
        <v>0</v>
      </c>
      <c r="G36" s="614"/>
      <c r="H36" s="726">
        <f t="shared" si="9"/>
        <v>0</v>
      </c>
      <c r="I36" s="572"/>
      <c r="J36" s="709">
        <f t="shared" si="0"/>
        <v>0</v>
      </c>
      <c r="K36" s="710">
        <f t="shared" si="10"/>
        <v>0</v>
      </c>
      <c r="L36" s="709">
        <f t="shared" si="1"/>
        <v>0</v>
      </c>
      <c r="M36" s="709">
        <f t="shared" si="2"/>
        <v>0</v>
      </c>
      <c r="N36" s="613"/>
      <c r="O36" s="709">
        <f t="shared" si="13"/>
        <v>0</v>
      </c>
      <c r="P36" s="105"/>
      <c r="Q36" s="197"/>
      <c r="R36" s="105"/>
      <c r="S36" s="197"/>
      <c r="T36" s="105"/>
      <c r="U36" s="197"/>
      <c r="V36" s="105"/>
      <c r="W36" s="197"/>
      <c r="X36" s="105"/>
      <c r="Y36" s="197"/>
      <c r="Z36" s="108"/>
      <c r="AA36" s="108"/>
      <c r="AB36" s="285"/>
      <c r="AO36" s="212" t="s">
        <v>376</v>
      </c>
      <c r="AP36" s="206"/>
      <c r="AQ36" s="207"/>
      <c r="AY36" s="99">
        <f t="shared" si="12"/>
        <v>0</v>
      </c>
      <c r="AZ36" s="299">
        <v>1</v>
      </c>
      <c r="BA36" s="3">
        <v>1</v>
      </c>
      <c r="BB36" s="3">
        <v>1</v>
      </c>
      <c r="BC36" s="3">
        <v>1</v>
      </c>
      <c r="BD36">
        <v>1</v>
      </c>
      <c r="BE36">
        <v>1</v>
      </c>
      <c r="BF36">
        <v>1</v>
      </c>
      <c r="BG36" s="203">
        <v>1</v>
      </c>
      <c r="BH36" s="301" t="b">
        <v>0</v>
      </c>
      <c r="BN36" s="99">
        <v>150</v>
      </c>
      <c r="BO36" s="183">
        <v>0.31</v>
      </c>
    </row>
    <row r="37" spans="2:67" ht="14.25" customHeight="1" x14ac:dyDescent="0.2">
      <c r="AO37" s="119" t="s">
        <v>380</v>
      </c>
      <c r="AP37" s="175" t="s">
        <v>381</v>
      </c>
      <c r="AQ37" s="120" t="s">
        <v>382</v>
      </c>
      <c r="AR37" s="176" t="s">
        <v>383</v>
      </c>
      <c r="AY37" s="100">
        <f t="shared" si="12"/>
        <v>0</v>
      </c>
      <c r="AZ37" s="304">
        <v>1</v>
      </c>
      <c r="BA37" s="187">
        <v>1</v>
      </c>
      <c r="BB37" s="187">
        <v>1</v>
      </c>
      <c r="BC37" s="187">
        <v>1</v>
      </c>
      <c r="BD37" s="205">
        <v>1</v>
      </c>
      <c r="BE37" s="205">
        <v>1</v>
      </c>
      <c r="BF37" s="205">
        <v>1</v>
      </c>
      <c r="BG37" s="59">
        <v>1</v>
      </c>
      <c r="BH37" s="301" t="b">
        <v>0</v>
      </c>
      <c r="BN37" s="99">
        <v>200</v>
      </c>
      <c r="BO37" s="183">
        <v>0.3</v>
      </c>
    </row>
    <row r="38" spans="2:67" ht="15" customHeight="1" x14ac:dyDescent="0.2">
      <c r="C38" s="441" t="s">
        <v>650</v>
      </c>
      <c r="D38" s="585"/>
      <c r="E38" s="585"/>
      <c r="F38" s="585"/>
      <c r="G38" s="615"/>
      <c r="H38" s="616"/>
      <c r="AO38" s="179" t="s">
        <v>385</v>
      </c>
      <c r="AP38" s="21"/>
      <c r="AQ38" s="16"/>
      <c r="AR38" s="180"/>
      <c r="AT38" s="174" t="s">
        <v>386</v>
      </c>
      <c r="AU38" s="255"/>
      <c r="AV38" s="120" t="s">
        <v>498</v>
      </c>
      <c r="AY38" s="3"/>
      <c r="AZ38" s="3"/>
      <c r="BA38" s="300">
        <v>1</v>
      </c>
      <c r="BB38" s="300">
        <v>1</v>
      </c>
      <c r="BC38" s="300">
        <v>1</v>
      </c>
      <c r="BD38" s="301">
        <v>1</v>
      </c>
      <c r="BE38" s="301">
        <v>1</v>
      </c>
      <c r="BF38" s="301"/>
      <c r="BG38" s="301"/>
      <c r="BN38" s="99">
        <v>500</v>
      </c>
      <c r="BO38" s="183">
        <v>0.27</v>
      </c>
    </row>
    <row r="39" spans="2:67" ht="18" customHeight="1" x14ac:dyDescent="0.2">
      <c r="C39" s="97"/>
      <c r="D39" s="97"/>
      <c r="E39" s="97"/>
      <c r="F39" s="97"/>
      <c r="G39" s="97"/>
      <c r="K39" s="3"/>
      <c r="L39" s="277"/>
      <c r="AO39" s="182">
        <v>18</v>
      </c>
      <c r="AP39" s="35">
        <v>1</v>
      </c>
      <c r="AQ39" s="183">
        <v>16</v>
      </c>
      <c r="AR39" s="99">
        <v>20</v>
      </c>
      <c r="AT39" s="119" t="s">
        <v>387</v>
      </c>
      <c r="AU39" s="175" t="s">
        <v>388</v>
      </c>
      <c r="AV39" s="156" t="s">
        <v>383</v>
      </c>
      <c r="AY39" s="3"/>
      <c r="AZ39" s="3"/>
      <c r="BA39" s="3"/>
      <c r="BB39" s="3"/>
      <c r="BC39" s="3"/>
      <c r="BN39" s="99"/>
      <c r="BO39" s="183"/>
    </row>
    <row r="40" spans="2:67" ht="18" customHeight="1" x14ac:dyDescent="0.25">
      <c r="C40" s="319" t="s">
        <v>584</v>
      </c>
      <c r="D40" s="292"/>
      <c r="E40" s="292"/>
      <c r="F40" s="292"/>
      <c r="G40" s="292"/>
      <c r="K40" s="3"/>
      <c r="L40" s="277"/>
      <c r="AO40" s="182">
        <v>22</v>
      </c>
      <c r="AP40" s="35">
        <v>1</v>
      </c>
      <c r="AQ40" s="183">
        <v>20</v>
      </c>
      <c r="AR40" s="99">
        <v>20</v>
      </c>
      <c r="AT40" s="177">
        <v>0</v>
      </c>
      <c r="AU40" s="184">
        <v>35</v>
      </c>
      <c r="AV40" s="185">
        <v>20</v>
      </c>
      <c r="AY40" s="3"/>
      <c r="AZ40" s="3"/>
      <c r="BA40" s="3"/>
      <c r="BB40" s="3"/>
      <c r="BC40" s="3"/>
      <c r="BN40" s="99"/>
      <c r="BO40" s="183"/>
    </row>
    <row r="41" spans="2:67" ht="15" customHeight="1" x14ac:dyDescent="0.2">
      <c r="C41" s="441" t="s">
        <v>552</v>
      </c>
      <c r="D41" s="441"/>
      <c r="E41" s="441"/>
      <c r="F41" s="441"/>
      <c r="G41" s="536" t="s">
        <v>12</v>
      </c>
      <c r="H41" s="592"/>
      <c r="K41" s="3"/>
      <c r="L41" s="277"/>
      <c r="AO41" s="182">
        <v>28</v>
      </c>
      <c r="AP41" s="35">
        <v>1</v>
      </c>
      <c r="AQ41" s="183">
        <v>26</v>
      </c>
      <c r="AR41" s="99">
        <v>20</v>
      </c>
      <c r="AT41" s="186">
        <v>35</v>
      </c>
      <c r="AU41" s="3">
        <v>60</v>
      </c>
      <c r="AV41" s="183">
        <v>20</v>
      </c>
      <c r="AY41" s="3"/>
      <c r="AZ41" s="3"/>
      <c r="BA41" s="3"/>
      <c r="BB41" s="3"/>
      <c r="BC41" s="3"/>
      <c r="BN41" s="99"/>
      <c r="BO41" s="183"/>
    </row>
    <row r="42" spans="2:67" ht="14.25" customHeight="1" x14ac:dyDescent="0.2">
      <c r="C42" s="97"/>
      <c r="D42" s="97"/>
      <c r="E42" s="97"/>
      <c r="F42" s="97"/>
      <c r="G42" s="35"/>
      <c r="H42" s="553"/>
      <c r="K42" s="3"/>
      <c r="L42" s="277"/>
      <c r="AO42" s="182">
        <v>35</v>
      </c>
      <c r="AP42" s="35">
        <v>1</v>
      </c>
      <c r="AQ42" s="183">
        <v>33</v>
      </c>
      <c r="AR42" s="99">
        <v>20</v>
      </c>
      <c r="AS42" s="3"/>
      <c r="AT42" s="186">
        <v>60</v>
      </c>
      <c r="AU42" s="3">
        <v>90</v>
      </c>
      <c r="AV42" s="183">
        <v>30</v>
      </c>
      <c r="AY42" s="3"/>
      <c r="AZ42" s="3"/>
      <c r="BA42" s="3"/>
      <c r="BB42" s="3"/>
      <c r="BC42" s="3"/>
      <c r="BN42" s="99"/>
      <c r="BO42" s="183"/>
    </row>
    <row r="43" spans="2:67" ht="18" customHeight="1" x14ac:dyDescent="0.2">
      <c r="C43" s="556"/>
      <c r="D43" s="565" t="s">
        <v>438</v>
      </c>
      <c r="E43" s="565" t="s">
        <v>380</v>
      </c>
      <c r="F43" s="565" t="s">
        <v>434</v>
      </c>
      <c r="G43" s="565" t="s">
        <v>581</v>
      </c>
      <c r="H43" s="565" t="s">
        <v>477</v>
      </c>
      <c r="I43" s="565" t="s">
        <v>440</v>
      </c>
      <c r="J43" s="565" t="s">
        <v>550</v>
      </c>
      <c r="K43" s="565" t="s">
        <v>442</v>
      </c>
      <c r="L43" s="787" t="s">
        <v>443</v>
      </c>
      <c r="M43" s="787"/>
      <c r="N43" s="787"/>
      <c r="O43" s="787"/>
      <c r="P43" s="787"/>
      <c r="Q43" s="787"/>
      <c r="R43" s="787"/>
      <c r="S43" s="787"/>
      <c r="T43" s="787"/>
      <c r="U43" s="787"/>
      <c r="V43" s="787"/>
      <c r="W43" s="565" t="s">
        <v>446</v>
      </c>
      <c r="X43" s="565" t="s">
        <v>447</v>
      </c>
      <c r="Y43" s="565" t="s">
        <v>611</v>
      </c>
      <c r="AO43" s="182">
        <v>42</v>
      </c>
      <c r="AP43" s="35">
        <v>1</v>
      </c>
      <c r="AQ43" s="183">
        <v>40</v>
      </c>
      <c r="AR43" s="99">
        <v>30</v>
      </c>
      <c r="AT43" s="181">
        <v>90</v>
      </c>
      <c r="AU43" s="187"/>
      <c r="AV43" s="188">
        <v>30</v>
      </c>
      <c r="AY43" s="3"/>
      <c r="AZ43" s="3"/>
      <c r="BA43" s="3"/>
      <c r="BB43" s="3"/>
      <c r="BC43" s="3"/>
      <c r="BN43" s="99"/>
      <c r="BO43" s="183"/>
    </row>
    <row r="44" spans="2:67" ht="14.25" customHeight="1" thickBot="1" x14ac:dyDescent="0.25">
      <c r="C44" s="558" t="s">
        <v>390</v>
      </c>
      <c r="D44" s="558" t="s">
        <v>437</v>
      </c>
      <c r="E44" s="567" t="s">
        <v>589</v>
      </c>
      <c r="F44" s="567" t="s">
        <v>589</v>
      </c>
      <c r="G44" s="558" t="s">
        <v>582</v>
      </c>
      <c r="H44" s="567" t="s">
        <v>606</v>
      </c>
      <c r="I44" s="567" t="s">
        <v>570</v>
      </c>
      <c r="J44" s="567" t="s">
        <v>551</v>
      </c>
      <c r="K44" s="567" t="s">
        <v>441</v>
      </c>
      <c r="L44" s="568"/>
      <c r="M44" s="617" t="s">
        <v>444</v>
      </c>
      <c r="N44" s="568"/>
      <c r="O44" s="568"/>
      <c r="P44" s="618" t="s">
        <v>444</v>
      </c>
      <c r="Q44" s="568"/>
      <c r="R44" s="569" t="s">
        <v>444</v>
      </c>
      <c r="S44" s="568"/>
      <c r="T44" s="569" t="s">
        <v>444</v>
      </c>
      <c r="U44" s="568"/>
      <c r="V44" s="569" t="s">
        <v>444</v>
      </c>
      <c r="W44" s="567" t="s">
        <v>445</v>
      </c>
      <c r="X44" s="567" t="s">
        <v>448</v>
      </c>
      <c r="Y44" s="567" t="s">
        <v>610</v>
      </c>
      <c r="AO44" s="189">
        <v>54</v>
      </c>
      <c r="AP44" s="40">
        <v>1.2</v>
      </c>
      <c r="AQ44" s="188">
        <v>51.6</v>
      </c>
      <c r="AR44" s="100">
        <v>30</v>
      </c>
      <c r="AY44" s="3"/>
      <c r="AZ44" s="3"/>
      <c r="BA44" s="3"/>
      <c r="BB44" s="3"/>
      <c r="BC44" s="3"/>
      <c r="BN44" s="99"/>
      <c r="BO44" s="183"/>
    </row>
    <row r="45" spans="2:67" ht="20.25" customHeight="1" x14ac:dyDescent="0.2">
      <c r="C45" s="730" t="s">
        <v>545</v>
      </c>
      <c r="D45" s="731" t="e">
        <f>IF((0.354*((H38+(J45*K45))/(1.16*H41))/F45^2)&lt;0.5, CEILING((0.51*F45^2)/0.354,10),(H38+(J45*K45))/(1.16*H41))</f>
        <v>#DIV/0!</v>
      </c>
      <c r="E45" s="619"/>
      <c r="F45" s="727">
        <f>IF(AO58=1,0,INDEX(AO50:AO57,$AO58,1)-2*INDEX(AR50:AR57,$AO58,1))</f>
        <v>0</v>
      </c>
      <c r="G45" s="728" t="e">
        <f>IF(AV50=1,0,0.354*D45/(F45^2))</f>
        <v>#DIV/0!</v>
      </c>
      <c r="H45" s="729" t="e">
        <f>IF(AV50=1,0,378*(D45^1.75)/(F45^4.75))</f>
        <v>#DIV/0!</v>
      </c>
      <c r="I45" s="727">
        <f>IF(AO58=1,0,INDEX(AS50:AS57,AO58,1))</f>
        <v>0</v>
      </c>
      <c r="J45" s="727">
        <f>IF(AO58=1,0,INDEX($AP$50:$AP$57,AO58,1))</f>
        <v>0</v>
      </c>
      <c r="K45" s="621"/>
      <c r="L45" s="732"/>
      <c r="M45" s="733"/>
      <c r="N45" s="732"/>
      <c r="O45" s="732"/>
      <c r="P45" s="734"/>
      <c r="Q45" s="732"/>
      <c r="R45" s="621"/>
      <c r="S45" s="732"/>
      <c r="T45" s="621"/>
      <c r="U45" s="732"/>
      <c r="V45" s="621"/>
      <c r="W45" s="727">
        <f>IF(AO58=1,0,INDEX(AP22:AU30,BA38,AO58-1)*M45+INDEX(AP22:AU30,BB38,AO58-1)*P45+INDEX(AP22:AU30,BC38,AO58-1)*R45+INDEX(AP22:AU30,BD38,AO58-1)*T45+INDEX(AP22:AU30,BE38,AO58-1)*V45)</f>
        <v>0</v>
      </c>
      <c r="X45" s="727">
        <f>K45+W45</f>
        <v>0</v>
      </c>
      <c r="Y45" s="729" t="e">
        <f>H45*X45</f>
        <v>#DIV/0!</v>
      </c>
      <c r="BN45" s="100">
        <v>1000</v>
      </c>
      <c r="BO45" s="188">
        <v>0.25</v>
      </c>
    </row>
    <row r="46" spans="2:67" ht="15.75" customHeight="1" x14ac:dyDescent="0.2">
      <c r="G46" s="490" t="s">
        <v>583</v>
      </c>
      <c r="H46" s="620"/>
      <c r="I46" s="620"/>
      <c r="J46" s="620"/>
      <c r="K46" s="620"/>
      <c r="AL46" s="198"/>
      <c r="AM46" s="198"/>
      <c r="AN46" s="198"/>
      <c r="AO46" s="278" t="s">
        <v>546</v>
      </c>
      <c r="AP46" s="206"/>
      <c r="AQ46" s="207"/>
    </row>
    <row r="47" spans="2:67" ht="17.25" customHeight="1" x14ac:dyDescent="0.2">
      <c r="C47" s="481" t="s">
        <v>685</v>
      </c>
      <c r="D47" s="622"/>
      <c r="E47" s="622"/>
      <c r="F47" s="622"/>
      <c r="G47" s="623"/>
      <c r="H47" s="624">
        <f>J45*K45</f>
        <v>0</v>
      </c>
      <c r="AL47" s="198"/>
      <c r="AM47" s="198"/>
      <c r="AN47" s="198"/>
      <c r="AO47" s="359"/>
      <c r="AP47" s="360"/>
      <c r="AQ47" s="361"/>
    </row>
    <row r="48" spans="2:67" ht="15.75" customHeight="1" x14ac:dyDescent="0.2">
      <c r="B48" s="6"/>
      <c r="C48" s="292" t="s">
        <v>600</v>
      </c>
      <c r="D48" s="294"/>
      <c r="E48" s="294"/>
      <c r="F48" s="294"/>
      <c r="G48" s="290"/>
      <c r="H48" s="600">
        <f>H38+H47</f>
        <v>0</v>
      </c>
      <c r="I48" s="33"/>
      <c r="AL48" s="101"/>
      <c r="AM48" s="3"/>
      <c r="AN48" s="3"/>
      <c r="AO48" s="177"/>
      <c r="AP48" s="184" t="s">
        <v>547</v>
      </c>
      <c r="AQ48" s="185" t="s">
        <v>549</v>
      </c>
    </row>
    <row r="49" spans="1:56" ht="15.75" customHeight="1" x14ac:dyDescent="0.2">
      <c r="C49" s="436" t="s">
        <v>556</v>
      </c>
      <c r="D49" s="438"/>
      <c r="E49" s="438"/>
      <c r="F49" s="438"/>
      <c r="G49" s="448" t="s">
        <v>605</v>
      </c>
      <c r="H49" s="625" t="e">
        <f>Y45/1000</f>
        <v>#DIV/0!</v>
      </c>
      <c r="AO49" s="181" t="s">
        <v>380</v>
      </c>
      <c r="AP49" s="187" t="s">
        <v>548</v>
      </c>
      <c r="AQ49" s="188" t="s">
        <v>548</v>
      </c>
      <c r="AR49" s="169" t="s">
        <v>553</v>
      </c>
      <c r="AS49" s="120" t="s">
        <v>554</v>
      </c>
    </row>
    <row r="50" spans="1:56" x14ac:dyDescent="0.2">
      <c r="C50" s="294"/>
      <c r="D50" s="294"/>
      <c r="E50" s="294"/>
      <c r="F50" s="294"/>
      <c r="G50" s="294"/>
      <c r="AO50" s="279" t="s">
        <v>385</v>
      </c>
      <c r="AP50" s="3">
        <v>6</v>
      </c>
      <c r="AQ50" s="183">
        <v>7.6</v>
      </c>
      <c r="AR50" s="180"/>
      <c r="AS50" s="16"/>
    </row>
    <row r="51" spans="1:56" ht="15.75" customHeight="1" x14ac:dyDescent="0.25">
      <c r="C51" s="580" t="s">
        <v>557</v>
      </c>
      <c r="D51" s="438"/>
      <c r="E51" s="438"/>
      <c r="F51" s="438"/>
      <c r="G51" s="438"/>
      <c r="H51" s="244"/>
      <c r="AO51" s="186">
        <v>15</v>
      </c>
      <c r="AP51" s="3">
        <v>6.8</v>
      </c>
      <c r="AQ51" s="183">
        <v>8.6</v>
      </c>
      <c r="AR51" s="99">
        <v>1</v>
      </c>
      <c r="AS51" s="183">
        <v>20</v>
      </c>
    </row>
    <row r="52" spans="1:56" ht="15" x14ac:dyDescent="0.2">
      <c r="C52" s="292" t="s">
        <v>580</v>
      </c>
      <c r="D52" s="294"/>
      <c r="E52" s="294"/>
      <c r="F52" s="294"/>
      <c r="G52" s="290" t="s">
        <v>578</v>
      </c>
      <c r="H52" s="579"/>
      <c r="AO52" s="186">
        <v>18</v>
      </c>
      <c r="AP52" s="3">
        <v>7.5</v>
      </c>
      <c r="AQ52" s="183">
        <v>9.5</v>
      </c>
      <c r="AR52" s="280">
        <v>1</v>
      </c>
      <c r="AS52" s="183">
        <v>20</v>
      </c>
    </row>
    <row r="53" spans="1:56" ht="15.75" x14ac:dyDescent="0.25">
      <c r="C53" s="292" t="s">
        <v>438</v>
      </c>
      <c r="D53" s="294"/>
      <c r="E53" s="294"/>
      <c r="F53" s="294"/>
      <c r="G53" s="290" t="s">
        <v>414</v>
      </c>
      <c r="H53" s="608" t="e">
        <f>D45*H52</f>
        <v>#DIV/0!</v>
      </c>
      <c r="AO53" s="186">
        <v>22</v>
      </c>
      <c r="AP53" s="3">
        <v>8.4</v>
      </c>
      <c r="AQ53" s="183">
        <v>10.7</v>
      </c>
      <c r="AR53" s="280">
        <v>1</v>
      </c>
      <c r="AS53" s="183">
        <v>20</v>
      </c>
    </row>
    <row r="54" spans="1:56" ht="16.5" thickBot="1" x14ac:dyDescent="0.3">
      <c r="C54" s="428" t="s">
        <v>472</v>
      </c>
      <c r="D54" s="427"/>
      <c r="E54" s="427"/>
      <c r="F54" s="427"/>
      <c r="G54" s="558" t="s">
        <v>605</v>
      </c>
      <c r="H54" s="626" t="e">
        <f>H49</f>
        <v>#DIV/0!</v>
      </c>
      <c r="AO54" s="186">
        <v>28</v>
      </c>
      <c r="AP54" s="3">
        <v>9.8000000000000007</v>
      </c>
      <c r="AQ54" s="183">
        <v>12.4</v>
      </c>
      <c r="AR54" s="280">
        <v>1</v>
      </c>
      <c r="AS54" s="183">
        <v>20</v>
      </c>
    </row>
    <row r="55" spans="1:56" x14ac:dyDescent="0.2">
      <c r="AO55" s="186">
        <v>35</v>
      </c>
      <c r="AP55" s="3">
        <v>11.4</v>
      </c>
      <c r="AQ55" s="183">
        <v>14.4</v>
      </c>
      <c r="AR55" s="280">
        <v>1</v>
      </c>
      <c r="AS55" s="183">
        <v>20</v>
      </c>
    </row>
    <row r="56" spans="1:56" x14ac:dyDescent="0.2">
      <c r="AO56" s="186">
        <v>42</v>
      </c>
      <c r="AP56" s="3">
        <v>12.9</v>
      </c>
      <c r="AQ56" s="183">
        <v>16.3</v>
      </c>
      <c r="AR56" s="280">
        <v>1</v>
      </c>
      <c r="AS56" s="183">
        <v>30</v>
      </c>
    </row>
    <row r="57" spans="1:56" x14ac:dyDescent="0.2">
      <c r="AO57" s="181">
        <v>54</v>
      </c>
      <c r="AP57" s="187">
        <v>15.5</v>
      </c>
      <c r="AQ57" s="188">
        <v>19.600000000000001</v>
      </c>
      <c r="AR57" s="281">
        <v>1.2</v>
      </c>
      <c r="AS57" s="188">
        <v>30</v>
      </c>
    </row>
    <row r="58" spans="1:56" x14ac:dyDescent="0.2">
      <c r="AN58" t="s">
        <v>555</v>
      </c>
      <c r="AO58" s="297">
        <v>1</v>
      </c>
    </row>
    <row r="59" spans="1:56" ht="15.75" x14ac:dyDescent="0.25">
      <c r="B59" s="460" t="s">
        <v>588</v>
      </c>
      <c r="C59" s="460"/>
      <c r="D59" s="460"/>
      <c r="E59" s="460"/>
      <c r="F59" s="460"/>
      <c r="G59" s="460"/>
      <c r="H59" s="460"/>
      <c r="I59" s="460"/>
      <c r="J59" s="460"/>
      <c r="K59" s="460"/>
      <c r="L59" s="460"/>
      <c r="M59" s="460"/>
      <c r="N59" s="460"/>
      <c r="O59" s="460"/>
      <c r="P59" s="460"/>
      <c r="Q59" s="415"/>
      <c r="R59" s="415"/>
      <c r="S59" s="415"/>
      <c r="T59" s="415"/>
      <c r="U59" s="415"/>
      <c r="V59" s="415"/>
      <c r="W59" s="415"/>
      <c r="X59" s="415"/>
      <c r="Y59" s="415"/>
    </row>
    <row r="60" spans="1:56" x14ac:dyDescent="0.2">
      <c r="B60" s="197"/>
      <c r="AO60">
        <v>2</v>
      </c>
      <c r="AX60" s="792"/>
      <c r="AY60" s="792"/>
      <c r="AZ60" s="792"/>
      <c r="BA60" s="792"/>
      <c r="BB60" s="792"/>
      <c r="BC60" s="792"/>
      <c r="BD60" s="792"/>
    </row>
    <row r="61" spans="1:56" ht="15.75" x14ac:dyDescent="0.25">
      <c r="B61" s="197"/>
      <c r="C61" s="627" t="s">
        <v>590</v>
      </c>
      <c r="D61" s="565"/>
      <c r="E61" s="565"/>
      <c r="F61" s="565"/>
      <c r="G61" s="565" t="s">
        <v>558</v>
      </c>
      <c r="H61" s="632"/>
      <c r="I61" s="213"/>
      <c r="J61" s="213"/>
      <c r="K61" s="213"/>
      <c r="L61" s="213"/>
      <c r="M61" s="213"/>
      <c r="AO61">
        <v>2</v>
      </c>
      <c r="AY61" s="3"/>
      <c r="AZ61" s="3"/>
    </row>
    <row r="62" spans="1:56" ht="15.75" x14ac:dyDescent="0.2">
      <c r="A62" s="5"/>
      <c r="B62" s="197"/>
      <c r="C62" s="628" t="s">
        <v>559</v>
      </c>
      <c r="D62" s="629"/>
      <c r="E62" s="629"/>
      <c r="F62" s="629"/>
      <c r="G62" s="630" t="s">
        <v>560</v>
      </c>
      <c r="H62" s="631">
        <f>H61*25/14.3</f>
        <v>0</v>
      </c>
      <c r="I62" s="197"/>
      <c r="J62" s="351" t="s">
        <v>561</v>
      </c>
      <c r="K62" s="197"/>
      <c r="L62" s="105"/>
      <c r="M62" s="197"/>
      <c r="N62" s="213"/>
      <c r="O62" s="213"/>
      <c r="AY62" s="3"/>
      <c r="AZ62" s="3"/>
    </row>
    <row r="63" spans="1:56" ht="18" customHeight="1" x14ac:dyDescent="0.2">
      <c r="B63" s="197"/>
      <c r="N63" s="197"/>
      <c r="O63" s="249"/>
      <c r="AA63" s="3"/>
      <c r="AY63" s="3"/>
      <c r="AZ63" s="3"/>
      <c r="BA63" s="3"/>
      <c r="BB63" s="3"/>
    </row>
    <row r="64" spans="1:56" ht="14.25" customHeight="1" thickBot="1" x14ac:dyDescent="0.25">
      <c r="B64" s="798"/>
      <c r="C64" s="798"/>
      <c r="D64" s="798"/>
      <c r="E64" s="798"/>
      <c r="F64" s="798"/>
      <c r="G64" s="798"/>
      <c r="H64" s="798"/>
      <c r="I64" s="798"/>
      <c r="J64" s="798"/>
      <c r="K64" s="798"/>
      <c r="L64" s="798"/>
      <c r="M64" s="798"/>
      <c r="N64" s="798"/>
      <c r="O64" s="798"/>
      <c r="P64" s="798"/>
      <c r="Q64" s="798"/>
      <c r="R64" s="798"/>
      <c r="S64" s="798"/>
      <c r="T64" s="798"/>
      <c r="U64" s="798"/>
      <c r="V64" s="798"/>
      <c r="W64" s="798"/>
      <c r="X64" s="798"/>
      <c r="Y64" s="798"/>
      <c r="AY64" s="3"/>
      <c r="AZ64" s="3"/>
      <c r="BA64" s="282"/>
    </row>
    <row r="65" spans="2:54" ht="15.75" customHeight="1" thickTop="1" x14ac:dyDescent="0.2">
      <c r="B65" s="546" t="s">
        <v>722</v>
      </c>
      <c r="C65" s="197"/>
      <c r="D65" s="197"/>
      <c r="E65" s="197"/>
      <c r="F65" s="197"/>
      <c r="G65" s="197"/>
      <c r="H65" s="197"/>
      <c r="I65" s="197"/>
      <c r="J65" s="197"/>
      <c r="K65" s="197"/>
      <c r="L65" s="105"/>
      <c r="M65" s="197"/>
      <c r="N65" s="197"/>
      <c r="O65" s="249"/>
      <c r="AY65" s="3"/>
      <c r="AZ65" s="3"/>
      <c r="BA65" s="3"/>
      <c r="BB65" s="3"/>
    </row>
    <row r="66" spans="2:54" ht="18" customHeight="1" x14ac:dyDescent="0.2">
      <c r="C66" s="197"/>
      <c r="D66" s="197"/>
      <c r="E66" s="197"/>
      <c r="F66" s="197"/>
      <c r="G66" s="197"/>
      <c r="H66" s="197"/>
      <c r="I66" s="197"/>
      <c r="J66" s="197"/>
      <c r="K66" s="197"/>
      <c r="L66" s="105"/>
      <c r="M66" s="197"/>
      <c r="N66" s="197"/>
      <c r="O66" s="249"/>
      <c r="AY66" s="3"/>
      <c r="BA66" s="3"/>
      <c r="BB66" s="3"/>
    </row>
    <row r="91" spans="10:54" x14ac:dyDescent="0.2">
      <c r="J91" s="3"/>
      <c r="K91" s="3"/>
      <c r="AY91" s="3"/>
      <c r="BA91" s="3"/>
      <c r="BB91" s="3"/>
    </row>
    <row r="92" spans="10:54" x14ac:dyDescent="0.2">
      <c r="P92" s="246"/>
      <c r="Q92" s="213"/>
      <c r="R92" s="246"/>
      <c r="S92" s="213"/>
      <c r="T92" s="246"/>
      <c r="U92" s="213"/>
      <c r="V92" s="213"/>
      <c r="W92" s="213"/>
      <c r="X92" s="213"/>
      <c r="AP92" s="794"/>
      <c r="AQ92" s="794"/>
      <c r="AR92" s="794"/>
      <c r="AS92" s="794"/>
      <c r="AT92" s="794"/>
      <c r="AU92" s="794"/>
    </row>
    <row r="93" spans="10:54" ht="18" customHeight="1" x14ac:dyDescent="0.2">
      <c r="P93" s="105"/>
      <c r="Q93" s="197"/>
      <c r="R93" s="105"/>
      <c r="S93" s="197"/>
      <c r="T93" s="105"/>
      <c r="U93" s="197"/>
      <c r="V93" s="108"/>
      <c r="W93" s="108"/>
      <c r="X93" s="245"/>
      <c r="AQ93" s="108"/>
      <c r="AR93" s="108"/>
      <c r="AS93" s="108"/>
      <c r="AT93" s="108"/>
      <c r="AU93" s="108"/>
    </row>
    <row r="94" spans="10:54" ht="18" customHeight="1" x14ac:dyDescent="0.2">
      <c r="P94" s="105"/>
      <c r="Q94" s="197"/>
      <c r="R94" s="105"/>
      <c r="S94" s="197"/>
      <c r="T94" s="105"/>
      <c r="U94" s="197"/>
      <c r="V94" s="108"/>
      <c r="W94" s="108"/>
      <c r="X94" s="245"/>
      <c r="AQ94" s="108"/>
      <c r="AR94" s="108"/>
      <c r="AS94" s="108"/>
      <c r="AT94" s="108"/>
      <c r="AU94" s="108"/>
    </row>
    <row r="95" spans="10:54" ht="18" customHeight="1" x14ac:dyDescent="0.2">
      <c r="P95" s="105"/>
      <c r="Q95" s="197"/>
      <c r="R95" s="105"/>
      <c r="S95" s="197"/>
      <c r="T95" s="105"/>
      <c r="U95" s="197"/>
      <c r="V95" s="108"/>
      <c r="W95" s="108"/>
      <c r="X95" s="245"/>
      <c r="AQ95" s="3"/>
      <c r="AR95" s="3"/>
      <c r="AS95" s="3"/>
      <c r="AT95" s="3"/>
      <c r="AU95" s="3"/>
    </row>
    <row r="96" spans="10:54" ht="18" customHeight="1" x14ac:dyDescent="0.2">
      <c r="P96" s="105"/>
      <c r="Q96" s="197"/>
      <c r="R96" s="105"/>
      <c r="S96" s="197"/>
      <c r="T96" s="105"/>
      <c r="U96" s="197"/>
      <c r="V96" s="108"/>
      <c r="W96" s="108"/>
      <c r="X96" s="245"/>
      <c r="AQ96" s="108"/>
      <c r="AR96" s="108"/>
      <c r="AS96" s="108"/>
      <c r="AT96" s="108"/>
      <c r="AU96" s="108"/>
    </row>
    <row r="97" spans="2:47" x14ac:dyDescent="0.2">
      <c r="B97" s="197"/>
      <c r="W97" s="198"/>
      <c r="X97" s="217"/>
      <c r="AQ97" s="108"/>
      <c r="AR97" s="108"/>
      <c r="AS97" s="108"/>
      <c r="AT97" s="108"/>
      <c r="AU97" s="108"/>
    </row>
  </sheetData>
  <mergeCells count="9">
    <mergeCell ref="AP92:AU92"/>
    <mergeCell ref="G19:H19"/>
    <mergeCell ref="AX60:BD60"/>
    <mergeCell ref="BA21:BG21"/>
    <mergeCell ref="AN17:AS17"/>
    <mergeCell ref="P19:Y19"/>
    <mergeCell ref="AP19:AU19"/>
    <mergeCell ref="L43:V43"/>
    <mergeCell ref="B64:Y64"/>
  </mergeCells>
  <phoneticPr fontId="56" type="noConversion"/>
  <conditionalFormatting sqref="K21:K36">
    <cfRule type="cellIs" dxfId="9" priority="1" stopIfTrue="1" operator="greaterThanOrEqual">
      <formula>$AW$27</formula>
    </cfRule>
  </conditionalFormatting>
  <conditionalFormatting sqref="H45">
    <cfRule type="cellIs" dxfId="8" priority="2" stopIfTrue="1" operator="greaterThan">
      <formula>40</formula>
    </cfRule>
  </conditionalFormatting>
  <conditionalFormatting sqref="G45">
    <cfRule type="cellIs" dxfId="7" priority="3" stopIfTrue="1" operator="greaterThanOrEqual">
      <formula>1</formula>
    </cfRule>
    <cfRule type="cellIs" dxfId="6" priority="4" stopIfTrue="1" operator="lessThanOrEqual">
      <formula>0.5</formula>
    </cfRule>
  </conditionalFormatting>
  <pageMargins left="0.75" right="0.75" top="1" bottom="1" header="0" footer="0"/>
  <pageSetup paperSize="9" scale="51" orientation="landscape" r:id="rId1"/>
  <headerFooter alignWithMargins="0"/>
  <rowBreaks count="1" manualBreakCount="1">
    <brk id="65" max="16383" man="1"/>
  </rowBreaks>
  <colBreaks count="1" manualBreakCount="1">
    <brk id="27" max="6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9" r:id="rId4" name="Drop Down 111">
              <controlPr defaultSize="0" autoLine="0" autoPict="0">
                <anchor moveWithCells="1">
                  <from>
                    <xdr:col>7</xdr:col>
                    <xdr:colOff>1695450</xdr:colOff>
                    <xdr:row>20</xdr:row>
                    <xdr:rowOff>9525</xdr:rowOff>
                  </from>
                  <to>
                    <xdr:col>8</xdr:col>
                    <xdr:colOff>781050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5" name="Drop Down 113">
              <controlPr defaultSize="0" autoLine="0" autoPict="0">
                <anchor moveWithCells="1">
                  <from>
                    <xdr:col>7</xdr:col>
                    <xdr:colOff>1695450</xdr:colOff>
                    <xdr:row>21</xdr:row>
                    <xdr:rowOff>9525</xdr:rowOff>
                  </from>
                  <to>
                    <xdr:col>8</xdr:col>
                    <xdr:colOff>781050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6" name="Drop Down 115">
              <controlPr defaultSize="0" autoLine="0" autoPict="0">
                <anchor moveWithCells="1">
                  <from>
                    <xdr:col>7</xdr:col>
                    <xdr:colOff>1695450</xdr:colOff>
                    <xdr:row>22</xdr:row>
                    <xdr:rowOff>9525</xdr:rowOff>
                  </from>
                  <to>
                    <xdr:col>8</xdr:col>
                    <xdr:colOff>781050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7" name="Drop Down 117">
              <controlPr defaultSize="0" autoLine="0" autoPict="0">
                <anchor moveWithCells="1">
                  <from>
                    <xdr:col>7</xdr:col>
                    <xdr:colOff>1695450</xdr:colOff>
                    <xdr:row>23</xdr:row>
                    <xdr:rowOff>9525</xdr:rowOff>
                  </from>
                  <to>
                    <xdr:col>8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8" name="Drop Down 135">
              <controlPr defaultSize="0" autoLine="0" autoPict="0">
                <anchor moveWithCells="1">
                  <from>
                    <xdr:col>7</xdr:col>
                    <xdr:colOff>1695450</xdr:colOff>
                    <xdr:row>24</xdr:row>
                    <xdr:rowOff>9525</xdr:rowOff>
                  </from>
                  <to>
                    <xdr:col>8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9" r:id="rId9" name="Drop Down 141">
              <controlPr defaultSize="0" autoLine="0" autoPict="0">
                <anchor moveWithCells="1">
                  <from>
                    <xdr:col>7</xdr:col>
                    <xdr:colOff>1695450</xdr:colOff>
                    <xdr:row>25</xdr:row>
                    <xdr:rowOff>9525</xdr:rowOff>
                  </from>
                  <to>
                    <xdr:col>8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5" r:id="rId10" name="Drop Down 147">
              <controlPr defaultSize="0" autoLine="0" autoPict="0">
                <anchor moveWithCells="1">
                  <from>
                    <xdr:col>7</xdr:col>
                    <xdr:colOff>1695450</xdr:colOff>
                    <xdr:row>26</xdr:row>
                    <xdr:rowOff>9525</xdr:rowOff>
                  </from>
                  <to>
                    <xdr:col>8</xdr:col>
                    <xdr:colOff>781050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7" r:id="rId11" name="Drop Down 149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9" r:id="rId12" name="Drop Down 151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1" r:id="rId13" name="Drop Down 153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9" r:id="rId14" name="Drop Down 171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5" r:id="rId15" name="Drop Down 177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1" r:id="rId16" name="Drop Down 183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7" r:id="rId17" name="Drop Down 189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3" r:id="rId18" name="Drop Down 195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9" r:id="rId19" name="Drop Down 201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5" r:id="rId20" name="Drop Down 207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1" r:id="rId21" name="Drop Down 213">
              <controlPr defaultSize="0" autoLine="0" autoPict="0">
                <anchor moveWithCells="1">
                  <from>
                    <xdr:col>7</xdr:col>
                    <xdr:colOff>1695450</xdr:colOff>
                    <xdr:row>21</xdr:row>
                    <xdr:rowOff>9525</xdr:rowOff>
                  </from>
                  <to>
                    <xdr:col>8</xdr:col>
                    <xdr:colOff>781050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2" r:id="rId22" name="Drop Down 214">
              <controlPr defaultSize="0" autoLine="0" autoPict="0">
                <anchor moveWithCells="1">
                  <from>
                    <xdr:col>7</xdr:col>
                    <xdr:colOff>1695450</xdr:colOff>
                    <xdr:row>22</xdr:row>
                    <xdr:rowOff>9525</xdr:rowOff>
                  </from>
                  <to>
                    <xdr:col>8</xdr:col>
                    <xdr:colOff>781050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3" r:id="rId23" name="Drop Down 215">
              <controlPr defaultSize="0" autoLine="0" autoPict="0">
                <anchor moveWithCells="1">
                  <from>
                    <xdr:col>7</xdr:col>
                    <xdr:colOff>1695450</xdr:colOff>
                    <xdr:row>23</xdr:row>
                    <xdr:rowOff>9525</xdr:rowOff>
                  </from>
                  <to>
                    <xdr:col>8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4" r:id="rId24" name="Drop Down 216">
              <controlPr defaultSize="0" autoLine="0" autoPict="0">
                <anchor moveWithCells="1">
                  <from>
                    <xdr:col>7</xdr:col>
                    <xdr:colOff>1695450</xdr:colOff>
                    <xdr:row>24</xdr:row>
                    <xdr:rowOff>9525</xdr:rowOff>
                  </from>
                  <to>
                    <xdr:col>8</xdr:col>
                    <xdr:colOff>781050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5" r:id="rId25" name="Drop Down 217">
              <controlPr defaultSize="0" autoLine="0" autoPict="0">
                <anchor moveWithCells="1">
                  <from>
                    <xdr:col>7</xdr:col>
                    <xdr:colOff>1695450</xdr:colOff>
                    <xdr:row>25</xdr:row>
                    <xdr:rowOff>9525</xdr:rowOff>
                  </from>
                  <to>
                    <xdr:col>8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6" r:id="rId26" name="Drop Down 218">
              <controlPr defaultSize="0" autoLine="0" autoPict="0">
                <anchor moveWithCells="1">
                  <from>
                    <xdr:col>7</xdr:col>
                    <xdr:colOff>1695450</xdr:colOff>
                    <xdr:row>26</xdr:row>
                    <xdr:rowOff>9525</xdr:rowOff>
                  </from>
                  <to>
                    <xdr:col>8</xdr:col>
                    <xdr:colOff>781050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7" r:id="rId27" name="Drop Down 219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8" r:id="rId28" name="Drop Down 220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9" r:id="rId29" name="Drop Down 221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0" r:id="rId30" name="Drop Down 222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1" r:id="rId31" name="Drop Down 223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2" r:id="rId32" name="Drop Down 224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3" r:id="rId33" name="Drop Down 225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4" r:id="rId34" name="Drop Down 226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5" r:id="rId35" name="Drop Down 227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6" r:id="rId36" name="Drop Down 228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7" r:id="rId37" name="Drop Down 229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8" r:id="rId38" name="Drop Down 230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9" r:id="rId39" name="Drop Down 231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0" r:id="rId40" name="Drop Down 232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1" r:id="rId41" name="Drop Down 233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2" r:id="rId42" name="Drop Down 234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3" r:id="rId43" name="Drop Down 235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4" r:id="rId44" name="Drop Down 236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5" r:id="rId45" name="Drop Down 237">
              <controlPr defaultSize="0" autoLine="0" autoPict="0">
                <anchor moveWithCells="1">
                  <from>
                    <xdr:col>6</xdr:col>
                    <xdr:colOff>676275</xdr:colOff>
                    <xdr:row>5</xdr:row>
                    <xdr:rowOff>47625</xdr:rowOff>
                  </from>
                  <to>
                    <xdr:col>8</xdr:col>
                    <xdr:colOff>209550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6" r:id="rId46" name="Drop Down 238">
              <controlPr defaultSize="0" autoLine="0" autoPict="0">
                <anchor moveWithCells="1">
                  <from>
                    <xdr:col>7</xdr:col>
                    <xdr:colOff>1695450</xdr:colOff>
                    <xdr:row>21</xdr:row>
                    <xdr:rowOff>9525</xdr:rowOff>
                  </from>
                  <to>
                    <xdr:col>8</xdr:col>
                    <xdr:colOff>781050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7" r:id="rId47" name="Drop Down 239">
              <controlPr defaultSize="0" autoLine="0" autoPict="0">
                <anchor moveWithCells="1">
                  <from>
                    <xdr:col>7</xdr:col>
                    <xdr:colOff>1695450</xdr:colOff>
                    <xdr:row>22</xdr:row>
                    <xdr:rowOff>9525</xdr:rowOff>
                  </from>
                  <to>
                    <xdr:col>8</xdr:col>
                    <xdr:colOff>781050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8" r:id="rId48" name="Drop Down 240">
              <controlPr defaultSize="0" autoLine="0" autoPict="0">
                <anchor moveWithCells="1">
                  <from>
                    <xdr:col>7</xdr:col>
                    <xdr:colOff>1695450</xdr:colOff>
                    <xdr:row>23</xdr:row>
                    <xdr:rowOff>9525</xdr:rowOff>
                  </from>
                  <to>
                    <xdr:col>8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9" r:id="rId49" name="Drop Down 241">
              <controlPr defaultSize="0" autoLine="0" autoPict="0">
                <anchor moveWithCells="1">
                  <from>
                    <xdr:col>7</xdr:col>
                    <xdr:colOff>1695450</xdr:colOff>
                    <xdr:row>24</xdr:row>
                    <xdr:rowOff>9525</xdr:rowOff>
                  </from>
                  <to>
                    <xdr:col>8</xdr:col>
                    <xdr:colOff>781050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0" r:id="rId50" name="Drop Down 242">
              <controlPr defaultSize="0" autoLine="0" autoPict="0">
                <anchor moveWithCells="1">
                  <from>
                    <xdr:col>7</xdr:col>
                    <xdr:colOff>1695450</xdr:colOff>
                    <xdr:row>25</xdr:row>
                    <xdr:rowOff>9525</xdr:rowOff>
                  </from>
                  <to>
                    <xdr:col>8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1" r:id="rId51" name="Drop Down 243">
              <controlPr defaultSize="0" autoLine="0" autoPict="0">
                <anchor moveWithCells="1">
                  <from>
                    <xdr:col>7</xdr:col>
                    <xdr:colOff>1695450</xdr:colOff>
                    <xdr:row>26</xdr:row>
                    <xdr:rowOff>9525</xdr:rowOff>
                  </from>
                  <to>
                    <xdr:col>8</xdr:col>
                    <xdr:colOff>781050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2" r:id="rId52" name="Drop Down 244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3" r:id="rId53" name="Drop Down 245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4" r:id="rId54" name="Drop Down 246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5" r:id="rId55" name="Drop Down 247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6" r:id="rId56" name="Drop Down 248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7" r:id="rId57" name="Drop Down 249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8" r:id="rId58" name="Drop Down 250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9" r:id="rId59" name="Drop Down 251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0" r:id="rId60" name="Drop Down 252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1" r:id="rId61" name="Drop Down 253">
              <controlPr defaultSize="0" autoLine="0" autoPict="0" macro="[0]!TramoRecirculación">
                <anchor moveWithCells="1">
                  <from>
                    <xdr:col>4</xdr:col>
                    <xdr:colOff>0</xdr:colOff>
                    <xdr:row>44</xdr:row>
                    <xdr:rowOff>28575</xdr:rowOff>
                  </from>
                  <to>
                    <xdr:col>4</xdr:col>
                    <xdr:colOff>781050</xdr:colOff>
                    <xdr:row>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2" r:id="rId62" name="Drop Down 254">
              <controlPr defaultSize="0" autoLine="0" autoPict="0">
                <anchor moveWithCells="1">
                  <from>
                    <xdr:col>11</xdr:col>
                    <xdr:colOff>47625</xdr:colOff>
                    <xdr:row>44</xdr:row>
                    <xdr:rowOff>0</xdr:rowOff>
                  </from>
                  <to>
                    <xdr:col>12</xdr:col>
                    <xdr:colOff>238125</xdr:colOff>
                    <xdr:row>44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3" r:id="rId63" name="Drop Down 255">
              <controlPr defaultSize="0" autoLine="0" autoPict="0">
                <anchor moveWithCells="1">
                  <from>
                    <xdr:col>13</xdr:col>
                    <xdr:colOff>161925</xdr:colOff>
                    <xdr:row>44</xdr:row>
                    <xdr:rowOff>0</xdr:rowOff>
                  </from>
                  <to>
                    <xdr:col>14</xdr:col>
                    <xdr:colOff>390525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4" r:id="rId64" name="Drop Down 256">
              <controlPr defaultSize="0" autoLine="0" autoPict="0">
                <anchor moveWithCells="1">
                  <from>
                    <xdr:col>15</xdr:col>
                    <xdr:colOff>304800</xdr:colOff>
                    <xdr:row>44</xdr:row>
                    <xdr:rowOff>0</xdr:rowOff>
                  </from>
                  <to>
                    <xdr:col>17</xdr:col>
                    <xdr:colOff>190500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5" r:id="rId65" name="Drop Down 257">
              <controlPr defaultSize="0" autoLine="0" autoPict="0">
                <anchor moveWithCells="1">
                  <from>
                    <xdr:col>17</xdr:col>
                    <xdr:colOff>666750</xdr:colOff>
                    <xdr:row>44</xdr:row>
                    <xdr:rowOff>0</xdr:rowOff>
                  </from>
                  <to>
                    <xdr:col>19</xdr:col>
                    <xdr:colOff>152400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6" r:id="rId66" name="Drop Down 258">
              <controlPr defaultSize="0" autoLine="0" autoPict="0">
                <anchor moveWithCells="1">
                  <from>
                    <xdr:col>19</xdr:col>
                    <xdr:colOff>666750</xdr:colOff>
                    <xdr:row>44</xdr:row>
                    <xdr:rowOff>0</xdr:rowOff>
                  </from>
                  <to>
                    <xdr:col>21</xdr:col>
                    <xdr:colOff>57150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4" r:id="rId67" name="Check Box 316">
              <controlPr defaultSize="0" autoFill="0" autoLine="0" autoPict="0">
                <anchor moveWithCells="1">
                  <from>
                    <xdr:col>3</xdr:col>
                    <xdr:colOff>323850</xdr:colOff>
                    <xdr:row>19</xdr:row>
                    <xdr:rowOff>323850</xdr:rowOff>
                  </from>
                  <to>
                    <xdr:col>3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5" r:id="rId68" name="Check Box 31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20</xdr:row>
                    <xdr:rowOff>200025</xdr:rowOff>
                  </from>
                  <to>
                    <xdr:col>3</xdr:col>
                    <xdr:colOff>752475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6" r:id="rId69" name="Check Box 31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21</xdr:row>
                    <xdr:rowOff>209550</xdr:rowOff>
                  </from>
                  <to>
                    <xdr:col>3</xdr:col>
                    <xdr:colOff>742950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7" r:id="rId70" name="Check Box 31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22</xdr:row>
                    <xdr:rowOff>200025</xdr:rowOff>
                  </from>
                  <to>
                    <xdr:col>3</xdr:col>
                    <xdr:colOff>742950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8" r:id="rId71" name="Check Box 32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23</xdr:row>
                    <xdr:rowOff>209550</xdr:rowOff>
                  </from>
                  <to>
                    <xdr:col>3</xdr:col>
                    <xdr:colOff>742950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9" r:id="rId72" name="Check Box 32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0" r:id="rId73" name="Check Box 32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25</xdr:row>
                    <xdr:rowOff>209550</xdr:rowOff>
                  </from>
                  <to>
                    <xdr:col>3</xdr:col>
                    <xdr:colOff>742950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1" r:id="rId74" name="Check Box 32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26</xdr:row>
                    <xdr:rowOff>323850</xdr:rowOff>
                  </from>
                  <to>
                    <xdr:col>3</xdr:col>
                    <xdr:colOff>742950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2" r:id="rId75" name="Check Box 324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27</xdr:row>
                    <xdr:rowOff>219075</xdr:rowOff>
                  </from>
                  <to>
                    <xdr:col>3</xdr:col>
                    <xdr:colOff>742950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3" r:id="rId76" name="Check Box 325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28</xdr:row>
                    <xdr:rowOff>323850</xdr:rowOff>
                  </from>
                  <to>
                    <xdr:col>3</xdr:col>
                    <xdr:colOff>742950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4" r:id="rId77" name="Check Box 326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29</xdr:row>
                    <xdr:rowOff>209550</xdr:rowOff>
                  </from>
                  <to>
                    <xdr:col>3</xdr:col>
                    <xdr:colOff>742950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5" r:id="rId78" name="Check Box 32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6" r:id="rId79" name="Check Box 32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31</xdr:row>
                    <xdr:rowOff>209550</xdr:rowOff>
                  </from>
                  <to>
                    <xdr:col>3</xdr:col>
                    <xdr:colOff>742950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7" r:id="rId80" name="Check Box 32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32</xdr:row>
                    <xdr:rowOff>219075</xdr:rowOff>
                  </from>
                  <to>
                    <xdr:col>3</xdr:col>
                    <xdr:colOff>742950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8" r:id="rId81" name="Check Box 33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33</xdr:row>
                    <xdr:rowOff>209550</xdr:rowOff>
                  </from>
                  <to>
                    <xdr:col>3</xdr:col>
                    <xdr:colOff>742950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9" r:id="rId82" name="Check Box 331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200025</xdr:rowOff>
                  </from>
                  <to>
                    <xdr:col>3</xdr:col>
                    <xdr:colOff>742950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0" r:id="rId83" name="Check Box 332">
              <controlPr defaultSize="0" autoFill="0" autoLine="0" autoPict="0">
                <anchor moveWithCells="1">
                  <from>
                    <xdr:col>3</xdr:col>
                    <xdr:colOff>323850</xdr:colOff>
                    <xdr:row>20</xdr:row>
                    <xdr:rowOff>200025</xdr:rowOff>
                  </from>
                  <to>
                    <xdr:col>3</xdr:col>
                    <xdr:colOff>752475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1" r:id="rId84" name="Check Box 333">
              <controlPr defaultSize="0" autoFill="0" autoLine="0" autoPict="0">
                <anchor moveWithCells="1">
                  <from>
                    <xdr:col>3</xdr:col>
                    <xdr:colOff>323850</xdr:colOff>
                    <xdr:row>21</xdr:row>
                    <xdr:rowOff>200025</xdr:rowOff>
                  </from>
                  <to>
                    <xdr:col>3</xdr:col>
                    <xdr:colOff>742950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2" r:id="rId85" name="Check Box 334">
              <controlPr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200025</xdr:rowOff>
                  </from>
                  <to>
                    <xdr:col>3</xdr:col>
                    <xdr:colOff>742950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3" r:id="rId86" name="Check Box 335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4" r:id="rId87" name="Check Box 336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5" r:id="rId88" name="Check Box 337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6" r:id="rId89" name="Check Box 338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200025</xdr:rowOff>
                  </from>
                  <to>
                    <xdr:col>3</xdr:col>
                    <xdr:colOff>742950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7" r:id="rId90" name="Check Box 339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8" r:id="rId91" name="Check Box 340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200025</xdr:rowOff>
                  </from>
                  <to>
                    <xdr:col>3</xdr:col>
                    <xdr:colOff>742950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9" r:id="rId92" name="Check Box 341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200025</xdr:rowOff>
                  </from>
                  <to>
                    <xdr:col>3</xdr:col>
                    <xdr:colOff>742950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0" r:id="rId93" name="Check Box 342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1" r:id="rId94" name="Check Box 343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200025</xdr:rowOff>
                  </from>
                  <to>
                    <xdr:col>3</xdr:col>
                    <xdr:colOff>742950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2" r:id="rId95" name="Check Box 344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200025</xdr:rowOff>
                  </from>
                  <to>
                    <xdr:col>3</xdr:col>
                    <xdr:colOff>742950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3" r:id="rId96" name="Check Box 345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6" r:id="rId97" name="Button 348">
              <controlPr defaultSize="0" print="0" autoFill="0" autoPict="0" macro="[0]!TramoRecirculación">
                <anchor moveWithCells="1" sizeWithCells="1">
                  <from>
                    <xdr:col>8</xdr:col>
                    <xdr:colOff>104775</xdr:colOff>
                    <xdr:row>36</xdr:row>
                    <xdr:rowOff>123825</xdr:rowOff>
                  </from>
                  <to>
                    <xdr:col>11</xdr:col>
                    <xdr:colOff>219075</xdr:colOff>
                    <xdr:row>38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56EFE-2F57-4962-85FF-F795F9C27336}">
  <sheetPr codeName="Hoja22"/>
  <dimension ref="A1:BD120"/>
  <sheetViews>
    <sheetView showGridLines="0" topLeftCell="A38" zoomScale="75" workbookViewId="0">
      <selection activeCell="E7" sqref="E7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7109375" customWidth="1"/>
    <col min="5" max="5" width="13.7109375" customWidth="1"/>
    <col min="6" max="6" width="13" customWidth="1"/>
    <col min="7" max="8" width="15.42578125" customWidth="1"/>
    <col min="9" max="9" width="14.140625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9.42578125" customWidth="1"/>
    <col min="25" max="25" width="8.28515625" customWidth="1"/>
    <col min="32" max="32" width="0" hidden="1" customWidth="1"/>
    <col min="33" max="33" width="11.42578125" hidden="1" customWidth="1"/>
    <col min="34" max="34" width="2.85546875" hidden="1" customWidth="1"/>
    <col min="35" max="35" width="18.285156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31.85546875" hidden="1" customWidth="1"/>
    <col min="56" max="56" width="11.42578125" hidden="1" customWidth="1"/>
    <col min="57" max="65" width="0" hidden="1" customWidth="1"/>
  </cols>
  <sheetData>
    <row r="1" spans="1:25" ht="20.25" x14ac:dyDescent="0.3">
      <c r="B1" s="793" t="s">
        <v>727</v>
      </c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1"/>
      <c r="S1" s="791"/>
      <c r="T1" s="791"/>
      <c r="U1" s="791"/>
      <c r="V1" s="791"/>
      <c r="W1" s="791"/>
      <c r="X1" s="791"/>
      <c r="Y1" s="791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734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4" spans="1:25" ht="15.75" x14ac:dyDescent="0.25">
      <c r="C4" s="319" t="s">
        <v>410</v>
      </c>
      <c r="D4" s="294"/>
      <c r="E4" s="294"/>
      <c r="F4" s="294"/>
      <c r="G4" s="294"/>
    </row>
    <row r="5" spans="1:25" ht="15" x14ac:dyDescent="0.2">
      <c r="C5" s="481" t="s">
        <v>411</v>
      </c>
      <c r="D5" s="556"/>
      <c r="E5" s="556"/>
      <c r="F5" s="556"/>
      <c r="G5" s="556"/>
      <c r="H5" s="557">
        <f>Principal!G63</f>
        <v>12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5" ht="15" x14ac:dyDescent="0.2">
      <c r="C7" s="292" t="s">
        <v>415</v>
      </c>
      <c r="D7" s="294"/>
      <c r="E7" s="294"/>
      <c r="F7" s="294"/>
      <c r="G7" s="290" t="s">
        <v>416</v>
      </c>
      <c r="H7" s="523">
        <v>50</v>
      </c>
      <c r="J7" s="407" t="s">
        <v>633</v>
      </c>
    </row>
    <row r="8" spans="1:25" ht="15.75" x14ac:dyDescent="0.25">
      <c r="C8" s="696"/>
      <c r="D8" s="438"/>
      <c r="E8" s="438"/>
      <c r="F8" s="438"/>
      <c r="G8" s="455" t="s">
        <v>414</v>
      </c>
      <c r="H8" s="697">
        <f>H5*H6*H7</f>
        <v>1398</v>
      </c>
      <c r="I8" s="19"/>
    </row>
    <row r="9" spans="1:25" ht="18.75" customHeight="1" x14ac:dyDescent="0.2">
      <c r="C9" s="292" t="s">
        <v>417</v>
      </c>
      <c r="D9" s="294"/>
      <c r="E9" s="294"/>
    </row>
    <row r="10" spans="1:25" ht="18.75" customHeight="1" x14ac:dyDescent="0.2">
      <c r="C10" s="292" t="s">
        <v>422</v>
      </c>
      <c r="D10" s="294"/>
      <c r="E10" s="294"/>
    </row>
    <row r="11" spans="1:25" ht="15.75" customHeight="1" thickBot="1" x14ac:dyDescent="0.25">
      <c r="C11" s="428" t="s">
        <v>426</v>
      </c>
      <c r="D11" s="427"/>
      <c r="E11" s="427"/>
      <c r="F11" s="522"/>
      <c r="G11" s="558" t="s">
        <v>425</v>
      </c>
      <c r="H11" s="558" t="str">
        <f>IF(AR25=1, "1,5 - 2", IF(OR(AR25=2,AR25=3), "2,5 - 3"))</f>
        <v>2,5 - 3</v>
      </c>
    </row>
    <row r="12" spans="1:25" ht="15.75" thickBot="1" x14ac:dyDescent="0.25">
      <c r="C12" s="292"/>
      <c r="D12" s="294"/>
      <c r="E12" s="294"/>
      <c r="G12" s="3"/>
      <c r="H12" s="214"/>
      <c r="J12" s="33"/>
      <c r="L12" s="597" t="s">
        <v>432</v>
      </c>
      <c r="M12" s="598"/>
      <c r="N12" s="598"/>
    </row>
    <row r="13" spans="1:25" x14ac:dyDescent="0.2">
      <c r="C13" s="294"/>
      <c r="D13" s="294"/>
      <c r="E13" s="294"/>
      <c r="I13" s="33"/>
      <c r="L13" s="601" t="s">
        <v>380</v>
      </c>
      <c r="M13" s="601" t="s">
        <v>381</v>
      </c>
      <c r="N13" s="601" t="s">
        <v>382</v>
      </c>
    </row>
    <row r="14" spans="1:25" x14ac:dyDescent="0.2">
      <c r="D14" s="290"/>
      <c r="E14" s="290"/>
      <c r="L14" s="548" t="s">
        <v>385</v>
      </c>
      <c r="M14" s="294"/>
      <c r="N14" s="294"/>
    </row>
    <row r="15" spans="1:25" x14ac:dyDescent="0.2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75" x14ac:dyDescent="0.25">
      <c r="C16" s="319" t="s">
        <v>429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">
      <c r="C17" s="408" t="s">
        <v>430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">
      <c r="B18" s="6"/>
      <c r="C18" s="409" t="s">
        <v>609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5" thickBot="1" x14ac:dyDescent="0.25">
      <c r="L20" s="576">
        <v>54</v>
      </c>
      <c r="M20" s="576">
        <v>1.2</v>
      </c>
      <c r="N20" s="558">
        <v>51.6</v>
      </c>
      <c r="AI20" s="785" t="s">
        <v>421</v>
      </c>
      <c r="AJ20" s="786"/>
      <c r="AK20" s="786"/>
      <c r="AL20" s="786"/>
      <c r="AM20" s="786"/>
      <c r="AN20" s="786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/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87" t="s">
        <v>443</v>
      </c>
      <c r="M22" s="787"/>
      <c r="N22" s="787"/>
      <c r="O22" s="787"/>
      <c r="P22" s="787"/>
      <c r="Q22" s="787"/>
      <c r="R22" s="787"/>
      <c r="S22" s="787"/>
      <c r="T22" s="787"/>
      <c r="U22" s="787"/>
      <c r="V22" s="565" t="s">
        <v>446</v>
      </c>
      <c r="W22" s="565" t="s">
        <v>447</v>
      </c>
      <c r="X22" s="565" t="s">
        <v>611</v>
      </c>
      <c r="AI22" s="221"/>
      <c r="AJ22" s="788" t="s">
        <v>420</v>
      </c>
      <c r="AK22" s="788"/>
      <c r="AL22" s="788"/>
      <c r="AM22" s="788"/>
      <c r="AN22" s="788"/>
      <c r="AO22" s="788"/>
      <c r="AP22" s="788"/>
      <c r="AQ22" s="2"/>
      <c r="BC22" s="220"/>
    </row>
    <row r="23" spans="2:55" ht="26.25" customHeight="1" thickBot="1" x14ac:dyDescent="0.25">
      <c r="B23" s="6"/>
      <c r="C23" s="558" t="s">
        <v>390</v>
      </c>
      <c r="D23" s="566"/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649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J23" s="790" t="s">
        <v>419</v>
      </c>
      <c r="AK23" s="790"/>
      <c r="AL23" s="790"/>
      <c r="AM23" s="790"/>
      <c r="AN23" s="790"/>
      <c r="AO23" s="790"/>
      <c r="AP23" s="790"/>
      <c r="AQ23" s="2"/>
      <c r="BC23" s="220"/>
    </row>
    <row r="24" spans="2:55" ht="18" customHeight="1" x14ac:dyDescent="0.2">
      <c r="C24" s="595" t="s">
        <v>396</v>
      </c>
      <c r="D24" s="562"/>
      <c r="E24" s="595">
        <v>200</v>
      </c>
      <c r="F24" s="563"/>
      <c r="G24" s="364">
        <f t="shared" ref="G24:G39" si="0">IF(AU25=1,0,INDEX($AJ$42:$AJ$49,$AU25,1)-2*INDEX($AK$42:$AK$49,$AU25,1))</f>
        <v>16</v>
      </c>
      <c r="H24" s="703">
        <f t="shared" ref="H24:H39" si="1">IF(AU25=1,0,0.354*E24/(G24^2))</f>
        <v>0.27656249999999999</v>
      </c>
      <c r="I24" s="704">
        <f t="shared" ref="I24:I39" si="2">IF(AU25=1,0,INDEX($AK$37:$AK$38,$AR$35,1)*378*(E24^1.75)/(G24^4.75))</f>
        <v>9.9693702841139533</v>
      </c>
      <c r="J24" s="364">
        <f t="shared" ref="J24:J39" si="3">IF(AU25=1,0,IF(OR($AR$25=1,$AR$25=2),INDEX($AM$42:$AM$49,$AU25,1),IF($AR$25=3,INDEX($AM$42:$AM$49,$AU25,1)+10)))</f>
        <v>30</v>
      </c>
      <c r="K24" s="595">
        <v>60</v>
      </c>
      <c r="L24" s="563"/>
      <c r="M24" s="595">
        <v>20</v>
      </c>
      <c r="N24" s="563"/>
      <c r="O24" s="595">
        <v>1</v>
      </c>
      <c r="P24" s="563"/>
      <c r="Q24" s="595"/>
      <c r="R24" s="563"/>
      <c r="S24" s="595"/>
      <c r="T24" s="563"/>
      <c r="U24" s="595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INDEX($AJ$25:$AP$33,$AV25,$AU25-1)*M24+INDEX($AJ$25:$AP$33,$AW25,$AU25-1)*O24+INDEX($AJ$25:$AP$33,$AX25,$AU25-1)*Q24+INDEX($AJ$25:$AP$33,$AY25,$AU25-1)*S24+INDEX($AJ$25:$AP$33,$AZ25,$AU25-1)*U24+INDEX($AJ$25:$AP$33,$BA25,$AU25-1)*AK81+INDEX($AJ$25:$AP$33,$BB25,$AU25-1)*AM81)</f>
        <v>7.1000000000000005</v>
      </c>
      <c r="W24" s="364">
        <f t="shared" ref="W24:W39" si="5">K24+V24</f>
        <v>67.099999999999994</v>
      </c>
      <c r="X24" s="704">
        <f t="shared" ref="X24:X39" si="6">I24*W24</f>
        <v>668.94474606404617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389</v>
      </c>
      <c r="AT24" s="202" t="s">
        <v>390</v>
      </c>
      <c r="AU24" s="202" t="s">
        <v>391</v>
      </c>
      <c r="AV24" s="783" t="s">
        <v>418</v>
      </c>
      <c r="AW24" s="783"/>
      <c r="AX24" s="783"/>
      <c r="AY24" s="783"/>
      <c r="AZ24" s="783"/>
      <c r="BA24" s="783"/>
      <c r="BB24" s="784"/>
      <c r="BC24" s="200" t="s">
        <v>648</v>
      </c>
    </row>
    <row r="25" spans="2:55" ht="18" customHeight="1" x14ac:dyDescent="0.2">
      <c r="C25" s="595"/>
      <c r="D25" s="562"/>
      <c r="E25" s="595"/>
      <c r="F25" s="563"/>
      <c r="G25" s="364">
        <f t="shared" si="0"/>
        <v>0</v>
      </c>
      <c r="H25" s="703">
        <f t="shared" si="1"/>
        <v>0</v>
      </c>
      <c r="I25" s="704">
        <f t="shared" si="2"/>
        <v>0</v>
      </c>
      <c r="J25" s="364">
        <f t="shared" si="3"/>
        <v>0</v>
      </c>
      <c r="K25" s="595"/>
      <c r="L25" s="563"/>
      <c r="M25" s="595"/>
      <c r="N25" s="563"/>
      <c r="O25" s="595"/>
      <c r="P25" s="563"/>
      <c r="Q25" s="595"/>
      <c r="R25" s="563"/>
      <c r="S25" s="595"/>
      <c r="T25" s="563"/>
      <c r="U25" s="595"/>
      <c r="V25" s="364">
        <f t="shared" si="4"/>
        <v>0</v>
      </c>
      <c r="W25" s="364">
        <f t="shared" si="5"/>
        <v>0</v>
      </c>
      <c r="X25" s="704">
        <f t="shared" si="6"/>
        <v>0</v>
      </c>
      <c r="AI25" s="193" t="s">
        <v>385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3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1</v>
      </c>
    </row>
    <row r="26" spans="2:55" ht="18" customHeight="1" x14ac:dyDescent="0.2">
      <c r="C26" s="595"/>
      <c r="D26" s="562"/>
      <c r="E26" s="595"/>
      <c r="F26" s="563"/>
      <c r="G26" s="364">
        <f t="shared" si="0"/>
        <v>0</v>
      </c>
      <c r="H26" s="703">
        <f t="shared" si="1"/>
        <v>0</v>
      </c>
      <c r="I26" s="704">
        <f t="shared" si="2"/>
        <v>0</v>
      </c>
      <c r="J26" s="364">
        <f t="shared" si="3"/>
        <v>0</v>
      </c>
      <c r="K26" s="595"/>
      <c r="L26" s="563"/>
      <c r="M26" s="595"/>
      <c r="N26" s="563"/>
      <c r="O26" s="595"/>
      <c r="P26" s="563"/>
      <c r="Q26" s="595"/>
      <c r="R26" s="563"/>
      <c r="S26" s="595"/>
      <c r="T26" s="563"/>
      <c r="U26" s="595"/>
      <c r="V26" s="364">
        <f t="shared" si="4"/>
        <v>0</v>
      </c>
      <c r="W26" s="364">
        <f t="shared" si="5"/>
        <v>0</v>
      </c>
      <c r="X26" s="704">
        <f t="shared" si="6"/>
        <v>0</v>
      </c>
      <c r="AI26" s="194" t="s">
        <v>698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0</v>
      </c>
    </row>
    <row r="27" spans="2:55" ht="18" customHeight="1" x14ac:dyDescent="0.2">
      <c r="C27" s="595"/>
      <c r="D27" s="562"/>
      <c r="E27" s="595"/>
      <c r="F27" s="563"/>
      <c r="G27" s="364">
        <f t="shared" si="0"/>
        <v>0</v>
      </c>
      <c r="H27" s="703">
        <f t="shared" si="1"/>
        <v>0</v>
      </c>
      <c r="I27" s="704">
        <f t="shared" si="2"/>
        <v>0</v>
      </c>
      <c r="J27" s="364">
        <f t="shared" si="3"/>
        <v>0</v>
      </c>
      <c r="K27" s="595"/>
      <c r="L27" s="563"/>
      <c r="M27" s="595"/>
      <c r="N27" s="563"/>
      <c r="O27" s="595"/>
      <c r="P27" s="563"/>
      <c r="Q27" s="595"/>
      <c r="R27" s="563"/>
      <c r="S27" s="595"/>
      <c r="T27" s="563"/>
      <c r="U27" s="595"/>
      <c r="V27" s="364">
        <f t="shared" si="4"/>
        <v>0</v>
      </c>
      <c r="W27" s="364">
        <f t="shared" si="5"/>
        <v>0</v>
      </c>
      <c r="X27" s="704">
        <f t="shared" si="6"/>
        <v>0</v>
      </c>
      <c r="AI27" s="194" t="s">
        <v>394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0</v>
      </c>
    </row>
    <row r="28" spans="2:55" ht="18" customHeight="1" x14ac:dyDescent="0.2">
      <c r="C28" s="595"/>
      <c r="D28" s="562"/>
      <c r="E28" s="595"/>
      <c r="F28" s="563"/>
      <c r="G28" s="364">
        <f t="shared" si="0"/>
        <v>0</v>
      </c>
      <c r="H28" s="703">
        <f t="shared" si="1"/>
        <v>0</v>
      </c>
      <c r="I28" s="704">
        <f t="shared" si="2"/>
        <v>0</v>
      </c>
      <c r="J28" s="364">
        <f t="shared" si="3"/>
        <v>0</v>
      </c>
      <c r="K28" s="595"/>
      <c r="L28" s="563"/>
      <c r="M28" s="595"/>
      <c r="N28" s="563"/>
      <c r="O28" s="595"/>
      <c r="P28" s="563"/>
      <c r="Q28" s="595"/>
      <c r="R28" s="563"/>
      <c r="S28" s="595"/>
      <c r="T28" s="563"/>
      <c r="U28" s="595"/>
      <c r="V28" s="364">
        <f t="shared" si="4"/>
        <v>0</v>
      </c>
      <c r="W28" s="364">
        <f t="shared" si="5"/>
        <v>0</v>
      </c>
      <c r="X28" s="704">
        <f t="shared" si="6"/>
        <v>0</v>
      </c>
      <c r="AI28" s="99" t="s">
        <v>395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0</v>
      </c>
    </row>
    <row r="29" spans="2:55" s="105" customFormat="1" ht="18" customHeight="1" x14ac:dyDescent="0.2">
      <c r="C29" s="595"/>
      <c r="D29" s="562"/>
      <c r="E29" s="595"/>
      <c r="F29" s="563"/>
      <c r="G29" s="364">
        <f t="shared" si="0"/>
        <v>0</v>
      </c>
      <c r="H29" s="703">
        <f t="shared" si="1"/>
        <v>0</v>
      </c>
      <c r="I29" s="704">
        <f t="shared" si="2"/>
        <v>0</v>
      </c>
      <c r="J29" s="364">
        <f t="shared" si="3"/>
        <v>0</v>
      </c>
      <c r="K29" s="595"/>
      <c r="L29" s="563"/>
      <c r="M29" s="595"/>
      <c r="N29" s="563"/>
      <c r="O29" s="595"/>
      <c r="P29" s="563"/>
      <c r="Q29" s="595"/>
      <c r="R29" s="563"/>
      <c r="S29" s="595"/>
      <c r="T29" s="563"/>
      <c r="U29" s="595"/>
      <c r="V29" s="364">
        <f t="shared" si="4"/>
        <v>0</v>
      </c>
      <c r="W29" s="364">
        <f t="shared" si="5"/>
        <v>0</v>
      </c>
      <c r="X29" s="704">
        <f t="shared" si="6"/>
        <v>0</v>
      </c>
      <c r="AI29" s="99" t="s">
        <v>397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8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0</v>
      </c>
    </row>
    <row r="30" spans="2:55" s="105" customFormat="1" ht="18" customHeight="1" x14ac:dyDescent="0.2">
      <c r="C30" s="595"/>
      <c r="D30" s="563"/>
      <c r="E30" s="595"/>
      <c r="F30" s="563"/>
      <c r="G30" s="364">
        <f t="shared" si="0"/>
        <v>0</v>
      </c>
      <c r="H30" s="703">
        <f t="shared" si="1"/>
        <v>0</v>
      </c>
      <c r="I30" s="704">
        <f t="shared" si="2"/>
        <v>0</v>
      </c>
      <c r="J30" s="364">
        <f t="shared" si="3"/>
        <v>0</v>
      </c>
      <c r="K30" s="595"/>
      <c r="L30" s="563"/>
      <c r="M30" s="595"/>
      <c r="N30" s="563"/>
      <c r="O30" s="595"/>
      <c r="P30" s="563"/>
      <c r="Q30" s="595"/>
      <c r="R30" s="563"/>
      <c r="S30" s="595"/>
      <c r="T30" s="563"/>
      <c r="U30" s="595"/>
      <c r="V30" s="364">
        <f t="shared" si="4"/>
        <v>0</v>
      </c>
      <c r="W30" s="364">
        <f t="shared" si="5"/>
        <v>0</v>
      </c>
      <c r="X30" s="704">
        <f t="shared" si="6"/>
        <v>0</v>
      </c>
      <c r="AI30" s="99" t="s">
        <v>400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8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0</v>
      </c>
    </row>
    <row r="31" spans="2:55" s="105" customFormat="1" ht="18" customHeight="1" x14ac:dyDescent="0.2">
      <c r="C31" s="595"/>
      <c r="D31" s="562"/>
      <c r="E31" s="595"/>
      <c r="F31" s="563"/>
      <c r="G31" s="364">
        <f t="shared" si="0"/>
        <v>0</v>
      </c>
      <c r="H31" s="703">
        <f t="shared" si="1"/>
        <v>0</v>
      </c>
      <c r="I31" s="704">
        <f t="shared" si="2"/>
        <v>0</v>
      </c>
      <c r="J31" s="364">
        <f t="shared" si="3"/>
        <v>0</v>
      </c>
      <c r="K31" s="595"/>
      <c r="L31" s="563"/>
      <c r="M31" s="595"/>
      <c r="N31" s="563"/>
      <c r="O31" s="595"/>
      <c r="P31" s="563"/>
      <c r="Q31" s="595"/>
      <c r="R31" s="563"/>
      <c r="S31" s="595"/>
      <c r="T31" s="563"/>
      <c r="U31" s="595"/>
      <c r="V31" s="364">
        <f t="shared" si="4"/>
        <v>0</v>
      </c>
      <c r="W31" s="364">
        <f t="shared" si="5"/>
        <v>0</v>
      </c>
      <c r="X31" s="704">
        <f t="shared" si="6"/>
        <v>0</v>
      </c>
      <c r="AI31" s="99" t="s">
        <v>402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0</v>
      </c>
    </row>
    <row r="32" spans="2:55" s="105" customFormat="1" ht="18" customHeight="1" x14ac:dyDescent="0.2">
      <c r="C32" s="595"/>
      <c r="D32" s="562"/>
      <c r="E32" s="595"/>
      <c r="F32" s="563"/>
      <c r="G32" s="364">
        <f t="shared" si="0"/>
        <v>0</v>
      </c>
      <c r="H32" s="703">
        <f t="shared" si="1"/>
        <v>0</v>
      </c>
      <c r="I32" s="704">
        <f t="shared" si="2"/>
        <v>0</v>
      </c>
      <c r="J32" s="364">
        <f t="shared" si="3"/>
        <v>0</v>
      </c>
      <c r="K32" s="595"/>
      <c r="L32" s="563"/>
      <c r="M32" s="595"/>
      <c r="N32" s="563"/>
      <c r="O32" s="595"/>
      <c r="P32" s="563"/>
      <c r="Q32" s="595"/>
      <c r="R32" s="563"/>
      <c r="S32" s="595"/>
      <c r="T32" s="563"/>
      <c r="U32" s="595"/>
      <c r="V32" s="364">
        <f t="shared" si="4"/>
        <v>0</v>
      </c>
      <c r="W32" s="364">
        <f t="shared" si="5"/>
        <v>0</v>
      </c>
      <c r="X32" s="704">
        <f t="shared" si="6"/>
        <v>0</v>
      </c>
      <c r="AI32" s="99" t="s">
        <v>404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0</v>
      </c>
    </row>
    <row r="33" spans="2:55" ht="18" customHeight="1" x14ac:dyDescent="0.2">
      <c r="C33" s="595"/>
      <c r="D33" s="562"/>
      <c r="E33" s="595"/>
      <c r="F33" s="563"/>
      <c r="G33" s="364">
        <f t="shared" si="0"/>
        <v>0</v>
      </c>
      <c r="H33" s="703">
        <f t="shared" si="1"/>
        <v>0</v>
      </c>
      <c r="I33" s="704">
        <f t="shared" si="2"/>
        <v>0</v>
      </c>
      <c r="J33" s="364">
        <f t="shared" si="3"/>
        <v>0</v>
      </c>
      <c r="K33" s="595"/>
      <c r="L33" s="563"/>
      <c r="M33" s="595"/>
      <c r="N33" s="563"/>
      <c r="O33" s="595"/>
      <c r="P33" s="563"/>
      <c r="Q33" s="595"/>
      <c r="R33" s="563"/>
      <c r="S33" s="595"/>
      <c r="T33" s="563"/>
      <c r="U33" s="595"/>
      <c r="V33" s="364">
        <f t="shared" si="4"/>
        <v>0</v>
      </c>
      <c r="W33" s="364">
        <f t="shared" si="5"/>
        <v>0</v>
      </c>
      <c r="X33" s="704">
        <f t="shared" si="6"/>
        <v>0</v>
      </c>
      <c r="AI33" s="100" t="s">
        <v>656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0</v>
      </c>
    </row>
    <row r="34" spans="2:55" ht="18" customHeight="1" x14ac:dyDescent="0.2">
      <c r="C34" s="595"/>
      <c r="D34" s="562"/>
      <c r="E34" s="595"/>
      <c r="F34" s="563"/>
      <c r="G34" s="364">
        <f t="shared" si="0"/>
        <v>0</v>
      </c>
      <c r="H34" s="703">
        <f t="shared" si="1"/>
        <v>0</v>
      </c>
      <c r="I34" s="704">
        <f t="shared" si="2"/>
        <v>0</v>
      </c>
      <c r="J34" s="364">
        <f t="shared" si="3"/>
        <v>0</v>
      </c>
      <c r="K34" s="595"/>
      <c r="L34" s="563"/>
      <c r="M34" s="595"/>
      <c r="N34" s="563"/>
      <c r="O34" s="595"/>
      <c r="P34" s="563"/>
      <c r="Q34" s="595"/>
      <c r="R34" s="563"/>
      <c r="S34" s="595"/>
      <c r="T34" s="563"/>
      <c r="U34" s="595"/>
      <c r="V34" s="364">
        <f t="shared" si="4"/>
        <v>0</v>
      </c>
      <c r="W34" s="364">
        <f t="shared" si="5"/>
        <v>0</v>
      </c>
      <c r="X34" s="704">
        <f t="shared" si="6"/>
        <v>0</v>
      </c>
      <c r="AI34" s="221"/>
      <c r="AR34" s="199" t="s">
        <v>398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0</v>
      </c>
    </row>
    <row r="35" spans="2:55" ht="18" customHeight="1" x14ac:dyDescent="0.2">
      <c r="C35" s="595"/>
      <c r="D35" s="562"/>
      <c r="E35" s="595"/>
      <c r="F35" s="563"/>
      <c r="G35" s="364">
        <f t="shared" si="0"/>
        <v>0</v>
      </c>
      <c r="H35" s="703">
        <f t="shared" si="1"/>
        <v>0</v>
      </c>
      <c r="I35" s="704">
        <f t="shared" si="2"/>
        <v>0</v>
      </c>
      <c r="J35" s="364">
        <f t="shared" si="3"/>
        <v>0</v>
      </c>
      <c r="K35" s="595"/>
      <c r="L35" s="563"/>
      <c r="M35" s="595"/>
      <c r="N35" s="563"/>
      <c r="O35" s="595"/>
      <c r="P35" s="563"/>
      <c r="Q35" s="595"/>
      <c r="R35" s="563"/>
      <c r="S35" s="595"/>
      <c r="T35" s="563"/>
      <c r="U35" s="595"/>
      <c r="V35" s="364">
        <f t="shared" si="4"/>
        <v>0</v>
      </c>
      <c r="W35" s="364">
        <f t="shared" si="5"/>
        <v>0</v>
      </c>
      <c r="X35" s="704">
        <f t="shared" si="6"/>
        <v>0</v>
      </c>
      <c r="AI35" s="221"/>
      <c r="AJ35" s="200" t="s">
        <v>377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0</v>
      </c>
    </row>
    <row r="36" spans="2:55" ht="18" customHeight="1" x14ac:dyDescent="0.2">
      <c r="C36" s="595"/>
      <c r="D36" s="562"/>
      <c r="E36" s="595"/>
      <c r="F36" s="563"/>
      <c r="G36" s="364">
        <f t="shared" si="0"/>
        <v>0</v>
      </c>
      <c r="H36" s="703">
        <f t="shared" si="1"/>
        <v>0</v>
      </c>
      <c r="I36" s="704">
        <f t="shared" si="2"/>
        <v>0</v>
      </c>
      <c r="J36" s="364">
        <f t="shared" si="3"/>
        <v>0</v>
      </c>
      <c r="K36" s="595"/>
      <c r="L36" s="563"/>
      <c r="M36" s="595"/>
      <c r="N36" s="563"/>
      <c r="O36" s="595"/>
      <c r="P36" s="563"/>
      <c r="Q36" s="595"/>
      <c r="R36" s="563"/>
      <c r="S36" s="595"/>
      <c r="T36" s="563"/>
      <c r="U36" s="595"/>
      <c r="V36" s="364">
        <f t="shared" si="4"/>
        <v>0</v>
      </c>
      <c r="W36" s="364">
        <f t="shared" si="5"/>
        <v>0</v>
      </c>
      <c r="X36" s="704">
        <f t="shared" si="6"/>
        <v>0</v>
      </c>
      <c r="AI36" s="221"/>
      <c r="AJ36" s="169" t="s">
        <v>378</v>
      </c>
      <c r="AK36" s="120" t="s">
        <v>379</v>
      </c>
      <c r="AR36" s="258" t="s">
        <v>493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0</v>
      </c>
    </row>
    <row r="37" spans="2:55" ht="18" customHeight="1" x14ac:dyDescent="0.2">
      <c r="C37" s="595"/>
      <c r="D37" s="562"/>
      <c r="E37" s="595"/>
      <c r="F37" s="563"/>
      <c r="G37" s="364">
        <f t="shared" si="0"/>
        <v>0</v>
      </c>
      <c r="H37" s="703">
        <f t="shared" si="1"/>
        <v>0</v>
      </c>
      <c r="I37" s="704">
        <f t="shared" si="2"/>
        <v>0</v>
      </c>
      <c r="J37" s="364">
        <f t="shared" si="3"/>
        <v>0</v>
      </c>
      <c r="K37" s="595"/>
      <c r="L37" s="563"/>
      <c r="M37" s="595"/>
      <c r="N37" s="563"/>
      <c r="O37" s="595"/>
      <c r="P37" s="563"/>
      <c r="Q37" s="595"/>
      <c r="R37" s="563"/>
      <c r="S37" s="595"/>
      <c r="T37" s="563"/>
      <c r="U37" s="595"/>
      <c r="V37" s="364">
        <f t="shared" si="4"/>
        <v>0</v>
      </c>
      <c r="W37" s="364">
        <f t="shared" si="5"/>
        <v>0</v>
      </c>
      <c r="X37" s="704">
        <f t="shared" si="6"/>
        <v>0</v>
      </c>
      <c r="AI37" s="221"/>
      <c r="AJ37" s="98" t="s">
        <v>493</v>
      </c>
      <c r="AK37" s="178">
        <v>1</v>
      </c>
      <c r="AR37" s="258" t="s">
        <v>494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0</v>
      </c>
    </row>
    <row r="38" spans="2:55" ht="18" customHeight="1" x14ac:dyDescent="0.2">
      <c r="C38" s="595"/>
      <c r="D38" s="562"/>
      <c r="E38" s="595"/>
      <c r="F38" s="563"/>
      <c r="G38" s="364">
        <f t="shared" si="0"/>
        <v>0</v>
      </c>
      <c r="H38" s="703">
        <f t="shared" si="1"/>
        <v>0</v>
      </c>
      <c r="I38" s="704">
        <f t="shared" si="2"/>
        <v>0</v>
      </c>
      <c r="J38" s="364">
        <f t="shared" si="3"/>
        <v>0</v>
      </c>
      <c r="K38" s="595"/>
      <c r="L38" s="563"/>
      <c r="M38" s="595"/>
      <c r="N38" s="563"/>
      <c r="O38" s="595"/>
      <c r="P38" s="563"/>
      <c r="Q38" s="595"/>
      <c r="R38" s="563"/>
      <c r="S38" s="595"/>
      <c r="T38" s="563"/>
      <c r="U38" s="595"/>
      <c r="V38" s="364">
        <f t="shared" si="4"/>
        <v>0</v>
      </c>
      <c r="W38" s="364">
        <f t="shared" si="5"/>
        <v>0</v>
      </c>
      <c r="X38" s="704">
        <f t="shared" si="6"/>
        <v>0</v>
      </c>
      <c r="AI38" s="221"/>
      <c r="AJ38" s="100" t="s">
        <v>495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0</v>
      </c>
    </row>
    <row r="39" spans="2:55" ht="18" customHeight="1" thickBot="1" x14ac:dyDescent="0.25">
      <c r="C39" s="639"/>
      <c r="D39" s="640"/>
      <c r="E39" s="639"/>
      <c r="F39" s="641"/>
      <c r="G39" s="705">
        <f t="shared" si="0"/>
        <v>0</v>
      </c>
      <c r="H39" s="706">
        <f t="shared" si="1"/>
        <v>0</v>
      </c>
      <c r="I39" s="707">
        <f t="shared" si="2"/>
        <v>0</v>
      </c>
      <c r="J39" s="705">
        <f t="shared" si="3"/>
        <v>0</v>
      </c>
      <c r="K39" s="639"/>
      <c r="L39" s="641"/>
      <c r="M39" s="639"/>
      <c r="N39" s="641"/>
      <c r="O39" s="639"/>
      <c r="P39" s="641"/>
      <c r="Q39" s="639"/>
      <c r="R39" s="641"/>
      <c r="S39" s="639"/>
      <c r="T39" s="641"/>
      <c r="U39" s="639"/>
      <c r="V39" s="705">
        <f>IF(AU40=1,0, INDEX($AK$25:$AP$33,$AV40,$AU40-1)*M39+INDEX($AK$25:$AP$33,$AW40,$AU40-1)*O39+INDEX($AK$25:$AP$33,$AX40,$AU40-1)*Q39+INDEX($AK$25:$AP$33,$AY40,$AU40-1)*S39+INDEX($AK$25:$AP$33,$AZ40,$AU40-1)*U39+INDEX($AK$25:$AP$33,$BA40,$AU40-1)*AK96+INDEX($AK$25:$AP$33,$BB40,$AU40-1)*AM96)</f>
        <v>0</v>
      </c>
      <c r="W39" s="705">
        <f t="shared" si="5"/>
        <v>0</v>
      </c>
      <c r="X39" s="707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0</v>
      </c>
    </row>
    <row r="40" spans="2:55" ht="18" customHeight="1" x14ac:dyDescent="0.2">
      <c r="J40" s="408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642">
        <f>SUM(X24:X39)/1000</f>
        <v>0.66894474606404619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563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481" t="s">
        <v>571</v>
      </c>
      <c r="D45" s="556"/>
      <c r="E45" s="556"/>
      <c r="F45" s="556"/>
      <c r="G45" s="565" t="s">
        <v>605</v>
      </c>
      <c r="H45" s="643">
        <v>0.8</v>
      </c>
      <c r="J45" s="408" t="s">
        <v>616</v>
      </c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292" t="s">
        <v>451</v>
      </c>
      <c r="D46" s="294"/>
      <c r="E46" s="294"/>
      <c r="F46" s="294"/>
      <c r="G46" s="290" t="s">
        <v>614</v>
      </c>
      <c r="H46" s="523">
        <v>30</v>
      </c>
      <c r="J46" s="408" t="s">
        <v>615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481" t="s">
        <v>452</v>
      </c>
      <c r="D47" s="556"/>
      <c r="E47" s="556"/>
      <c r="F47" s="556"/>
      <c r="G47" s="565"/>
      <c r="H47" s="698"/>
      <c r="J47" s="407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691</v>
      </c>
      <c r="D48" s="294"/>
      <c r="E48" s="294"/>
      <c r="F48" s="294"/>
      <c r="G48" s="290" t="s">
        <v>605</v>
      </c>
      <c r="H48" s="633">
        <f>H41+H45+H46/1000</f>
        <v>1.4989447460640462</v>
      </c>
      <c r="J48" s="407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" x14ac:dyDescent="0.2">
      <c r="B49" s="197"/>
      <c r="C49" s="436" t="s">
        <v>692</v>
      </c>
      <c r="D49" s="438"/>
      <c r="E49" s="438"/>
      <c r="F49" s="438"/>
      <c r="G49" s="448" t="s">
        <v>30</v>
      </c>
      <c r="H49" s="679">
        <v>4</v>
      </c>
      <c r="J49" s="407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">
      <c r="B50" s="197"/>
      <c r="J50" s="407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319" t="s">
        <v>562</v>
      </c>
      <c r="D51" s="294"/>
      <c r="E51" s="294"/>
      <c r="F51" s="294"/>
      <c r="H51" s="294"/>
      <c r="J51" s="407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5">
      <c r="B52" s="197"/>
      <c r="C52" s="481" t="s">
        <v>438</v>
      </c>
      <c r="D52" s="556"/>
      <c r="E52" s="556"/>
      <c r="F52" s="556"/>
      <c r="G52" s="565" t="s">
        <v>414</v>
      </c>
      <c r="H52" s="644">
        <f>H8</f>
        <v>1398</v>
      </c>
      <c r="J52" s="407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5">
      <c r="B53" s="197"/>
      <c r="C53" s="436" t="s">
        <v>472</v>
      </c>
      <c r="D53" s="438"/>
      <c r="E53" s="438"/>
      <c r="F53" s="438"/>
      <c r="G53" s="448" t="s">
        <v>605</v>
      </c>
      <c r="H53" s="645">
        <f>H48+H49</f>
        <v>5.4989447460640459</v>
      </c>
      <c r="J53" s="407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C54" s="294"/>
      <c r="D54" s="294"/>
      <c r="E54" s="294"/>
      <c r="F54" s="294"/>
      <c r="G54" s="294"/>
      <c r="J54" s="407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319" t="s">
        <v>456</v>
      </c>
      <c r="D55" s="294"/>
      <c r="E55" s="294"/>
      <c r="F55" s="294"/>
      <c r="G55" s="294"/>
      <c r="J55" s="407"/>
      <c r="AI55" s="221"/>
      <c r="AT55" s="3"/>
      <c r="AU55" s="3"/>
      <c r="AV55" s="3"/>
      <c r="AW55" s="3"/>
      <c r="AX55" s="3"/>
      <c r="BC55" s="220"/>
    </row>
    <row r="56" spans="2:55" ht="19.5" x14ac:dyDescent="0.35">
      <c r="B56" s="197"/>
      <c r="C56" s="441" t="s">
        <v>659</v>
      </c>
      <c r="D56" s="443"/>
      <c r="E56" s="443"/>
      <c r="F56" s="443"/>
      <c r="G56" s="443"/>
      <c r="J56" s="407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407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407"/>
      <c r="AT58" s="3"/>
      <c r="AU58" s="3"/>
      <c r="AV58" s="3"/>
      <c r="AW58" s="3"/>
      <c r="AX58" s="3"/>
    </row>
    <row r="59" spans="2:55" ht="12.75" customHeight="1" x14ac:dyDescent="0.2">
      <c r="B59" s="197"/>
      <c r="C59" s="634">
        <v>15</v>
      </c>
      <c r="D59" s="653"/>
      <c r="E59" s="213">
        <v>13</v>
      </c>
      <c r="F59" s="699">
        <f t="shared" ref="F59:F65" si="8">(PI()*E59^2)/(4*1000)</f>
        <v>0.13273228961416877</v>
      </c>
      <c r="G59" s="700" t="str">
        <f>IF(D59*F59=0,"",D59*F59)</f>
        <v/>
      </c>
      <c r="J59" s="407"/>
      <c r="AT59" s="3"/>
      <c r="AU59" s="3"/>
      <c r="AV59" s="3"/>
      <c r="AW59" s="3"/>
      <c r="AX59" s="3"/>
    </row>
    <row r="60" spans="2:55" x14ac:dyDescent="0.2">
      <c r="B60" s="197"/>
      <c r="C60" s="552">
        <v>18</v>
      </c>
      <c r="D60" s="654">
        <v>60</v>
      </c>
      <c r="E60" s="293">
        <v>16</v>
      </c>
      <c r="F60" s="699">
        <f t="shared" si="8"/>
        <v>0.20106192982974677</v>
      </c>
      <c r="G60" s="700">
        <f t="shared" ref="G60:G65" si="9">IF(D60*F60=0,"",D60*F60)</f>
        <v>12.063715789784807</v>
      </c>
      <c r="J60" s="407"/>
      <c r="AT60" s="3"/>
      <c r="AU60" s="3"/>
      <c r="AV60" s="3"/>
      <c r="AW60" s="3"/>
      <c r="AX60" s="3"/>
    </row>
    <row r="61" spans="2:55" x14ac:dyDescent="0.2">
      <c r="B61" s="197"/>
      <c r="C61" s="552">
        <v>22</v>
      </c>
      <c r="D61" s="654"/>
      <c r="E61" s="293">
        <v>20</v>
      </c>
      <c r="F61" s="699">
        <f t="shared" si="8"/>
        <v>0.31415926535897931</v>
      </c>
      <c r="G61" s="700" t="str">
        <f t="shared" si="9"/>
        <v/>
      </c>
      <c r="J61" s="408" t="s">
        <v>478</v>
      </c>
      <c r="AT61" s="3"/>
      <c r="AU61" s="3"/>
      <c r="AV61" s="3"/>
      <c r="AW61" s="3"/>
      <c r="AX61" s="3"/>
    </row>
    <row r="62" spans="2:55" x14ac:dyDescent="0.2">
      <c r="B62" s="197"/>
      <c r="C62" s="552">
        <v>28</v>
      </c>
      <c r="D62" s="654"/>
      <c r="E62" s="293">
        <v>26</v>
      </c>
      <c r="F62" s="699">
        <f t="shared" si="8"/>
        <v>0.5309291584566751</v>
      </c>
      <c r="G62" s="700" t="str">
        <f t="shared" si="9"/>
        <v/>
      </c>
      <c r="J62" s="407"/>
      <c r="AT62" s="3"/>
      <c r="AU62" s="3"/>
      <c r="AV62" s="3"/>
      <c r="AW62" s="3"/>
      <c r="AX62" s="3"/>
    </row>
    <row r="63" spans="2:55" x14ac:dyDescent="0.2">
      <c r="B63" s="197"/>
      <c r="C63" s="552">
        <v>35</v>
      </c>
      <c r="D63" s="654"/>
      <c r="E63" s="293">
        <v>33</v>
      </c>
      <c r="F63" s="699">
        <f t="shared" si="8"/>
        <v>0.85529859993982116</v>
      </c>
      <c r="G63" s="700" t="str">
        <f t="shared" si="9"/>
        <v/>
      </c>
      <c r="J63" s="348"/>
      <c r="AT63" s="3"/>
      <c r="AU63" s="3"/>
      <c r="AV63" s="3"/>
      <c r="AW63" s="3"/>
      <c r="AX63" s="3"/>
    </row>
    <row r="64" spans="2:55" x14ac:dyDescent="0.2">
      <c r="B64" s="197"/>
      <c r="C64" s="552">
        <v>42</v>
      </c>
      <c r="D64" s="654"/>
      <c r="E64" s="293">
        <v>40</v>
      </c>
      <c r="F64" s="699">
        <f t="shared" si="8"/>
        <v>1.2566370614359172</v>
      </c>
      <c r="G64" s="700" t="str">
        <f t="shared" si="9"/>
        <v/>
      </c>
      <c r="J64" s="348"/>
      <c r="AT64" s="3"/>
      <c r="AU64" s="3"/>
      <c r="AV64" s="3"/>
      <c r="AW64" s="3"/>
      <c r="AX64" s="3"/>
    </row>
    <row r="65" spans="1:50" ht="13.5" thickBot="1" x14ac:dyDescent="0.25">
      <c r="B65" s="197"/>
      <c r="C65" s="586">
        <v>54</v>
      </c>
      <c r="D65" s="655"/>
      <c r="E65" s="576">
        <v>51.6</v>
      </c>
      <c r="F65" s="701">
        <f t="shared" si="8"/>
        <v>2.09116973393551</v>
      </c>
      <c r="G65" s="702" t="str">
        <f t="shared" si="9"/>
        <v/>
      </c>
      <c r="J65" s="348"/>
      <c r="AT65" s="3"/>
      <c r="AU65" s="3"/>
      <c r="AV65" s="3"/>
      <c r="AW65" s="3"/>
      <c r="AX65" s="3"/>
    </row>
    <row r="66" spans="1:50" x14ac:dyDescent="0.2">
      <c r="B66" s="197"/>
      <c r="C66" s="196"/>
      <c r="D66" s="3"/>
      <c r="E66" s="197"/>
      <c r="F66" s="650" t="s">
        <v>409</v>
      </c>
      <c r="G66" s="651">
        <f>SUM($G$59:$G$65)</f>
        <v>12.063715789784807</v>
      </c>
      <c r="J66" s="348"/>
      <c r="AT66" s="3"/>
      <c r="AU66" s="3"/>
      <c r="AV66" s="3"/>
      <c r="AW66" s="3"/>
      <c r="AX66" s="3"/>
    </row>
    <row r="67" spans="1:50" x14ac:dyDescent="0.2">
      <c r="B67" s="197"/>
      <c r="J67" s="348"/>
      <c r="AT67" s="3"/>
      <c r="AU67" s="3"/>
      <c r="AV67" s="3"/>
      <c r="AW67" s="3"/>
      <c r="AX67" s="3"/>
    </row>
    <row r="68" spans="1:50" ht="17.25" customHeight="1" x14ac:dyDescent="0.35">
      <c r="A68" s="5"/>
      <c r="B68" s="197"/>
      <c r="C68" s="481" t="s">
        <v>660</v>
      </c>
      <c r="D68" s="556"/>
      <c r="E68" s="556"/>
      <c r="F68" s="556"/>
      <c r="G68" s="565" t="s">
        <v>408</v>
      </c>
      <c r="H68" s="643">
        <v>1.3</v>
      </c>
      <c r="J68" s="408" t="s">
        <v>464</v>
      </c>
      <c r="AT68" s="3"/>
      <c r="AU68" s="3"/>
      <c r="AV68" s="3"/>
      <c r="AW68" s="3"/>
      <c r="AX68" s="3"/>
    </row>
    <row r="69" spans="1:50" ht="15" x14ac:dyDescent="0.2">
      <c r="B69" s="197"/>
      <c r="C69" s="294"/>
      <c r="D69" s="294"/>
      <c r="E69" s="294"/>
      <c r="F69" s="294"/>
      <c r="G69" s="290" t="s">
        <v>373</v>
      </c>
      <c r="H69" s="315">
        <f>$H$68*$H$5</f>
        <v>15.600000000000001</v>
      </c>
      <c r="J69" s="349"/>
    </row>
    <row r="70" spans="1:50" ht="15" x14ac:dyDescent="0.2">
      <c r="B70" s="197"/>
      <c r="C70" s="294"/>
      <c r="D70" s="294"/>
      <c r="E70" s="294"/>
      <c r="F70" s="294"/>
      <c r="G70" s="290"/>
      <c r="H70" s="315"/>
      <c r="J70" s="349"/>
    </row>
    <row r="71" spans="1:50" ht="17.25" customHeight="1" x14ac:dyDescent="0.35">
      <c r="B71" s="197"/>
      <c r="C71" s="436" t="s">
        <v>695</v>
      </c>
      <c r="D71" s="438"/>
      <c r="E71" s="438"/>
      <c r="F71" s="438"/>
      <c r="G71" s="448" t="s">
        <v>373</v>
      </c>
      <c r="H71" s="686">
        <v>5</v>
      </c>
      <c r="J71" s="408" t="s">
        <v>667</v>
      </c>
    </row>
    <row r="72" spans="1:50" ht="14.25" customHeight="1" x14ac:dyDescent="0.2">
      <c r="B72" s="197"/>
      <c r="C72" s="292"/>
      <c r="D72" s="294"/>
      <c r="E72" s="294"/>
      <c r="F72" s="294"/>
      <c r="G72" s="290"/>
      <c r="H72" s="315"/>
      <c r="J72" s="408"/>
    </row>
    <row r="73" spans="1:50" ht="16.5" customHeight="1" x14ac:dyDescent="0.35">
      <c r="B73" s="197"/>
      <c r="C73" s="292" t="s">
        <v>661</v>
      </c>
      <c r="D73" s="294"/>
      <c r="E73" s="294"/>
      <c r="F73" s="294"/>
      <c r="G73" s="294"/>
      <c r="J73" s="408"/>
    </row>
    <row r="74" spans="1:50" ht="15" x14ac:dyDescent="0.2">
      <c r="B74" s="197"/>
      <c r="C74" s="292" t="s">
        <v>564</v>
      </c>
      <c r="D74" s="294"/>
      <c r="E74" s="294"/>
      <c r="F74" s="294"/>
      <c r="G74" s="290" t="s">
        <v>373</v>
      </c>
      <c r="H74" s="637">
        <f>$H$69+$G$66+H71</f>
        <v>32.66371578978481</v>
      </c>
      <c r="J74" s="408"/>
    </row>
    <row r="75" spans="1:50" x14ac:dyDescent="0.2">
      <c r="B75" s="196"/>
      <c r="C75" s="294"/>
      <c r="D75" s="294"/>
      <c r="E75" s="294"/>
      <c r="F75" s="294"/>
      <c r="G75" s="294"/>
      <c r="J75" s="408"/>
    </row>
    <row r="76" spans="1:50" ht="15" x14ac:dyDescent="0.2">
      <c r="C76" s="292" t="s">
        <v>526</v>
      </c>
      <c r="D76" s="294"/>
      <c r="E76" s="294"/>
      <c r="F76" s="294"/>
      <c r="G76" s="290" t="s">
        <v>469</v>
      </c>
      <c r="H76" s="523">
        <v>1.9</v>
      </c>
      <c r="J76" s="408" t="s">
        <v>684</v>
      </c>
    </row>
    <row r="77" spans="1:50" ht="15" x14ac:dyDescent="0.2">
      <c r="C77" s="292" t="s">
        <v>527</v>
      </c>
      <c r="D77" s="294"/>
      <c r="E77" s="294"/>
      <c r="F77" s="294"/>
      <c r="G77" s="290" t="s">
        <v>469</v>
      </c>
      <c r="H77" s="523">
        <v>4</v>
      </c>
      <c r="J77" s="408" t="s">
        <v>470</v>
      </c>
      <c r="K77" s="110"/>
      <c r="L77" s="217"/>
      <c r="M77" s="5"/>
    </row>
    <row r="78" spans="1:50" ht="15" x14ac:dyDescent="0.2">
      <c r="C78" s="292" t="s">
        <v>525</v>
      </c>
      <c r="D78" s="294"/>
      <c r="E78" s="294"/>
      <c r="F78" s="294"/>
      <c r="G78" s="290"/>
      <c r="H78" s="637">
        <f>H77/(H77-H76)</f>
        <v>1.9047619047619047</v>
      </c>
      <c r="J78" s="408"/>
      <c r="K78" s="110"/>
      <c r="L78" s="217"/>
      <c r="M78" s="5"/>
    </row>
    <row r="79" spans="1:50" ht="16.5" thickBot="1" x14ac:dyDescent="0.3">
      <c r="C79" s="428" t="s">
        <v>471</v>
      </c>
      <c r="D79" s="427"/>
      <c r="E79" s="427"/>
      <c r="F79" s="427"/>
      <c r="G79" s="558" t="s">
        <v>373</v>
      </c>
      <c r="H79" s="659">
        <f>$H$74*($H$77/($H$77-$H$76))*INDEX(AK52:AK53,AR35,1)</f>
        <v>4.9773281203481607</v>
      </c>
      <c r="J79" s="408" t="s">
        <v>569</v>
      </c>
    </row>
    <row r="80" spans="1:50" ht="15.75" x14ac:dyDescent="0.25">
      <c r="B80" s="5"/>
      <c r="C80" s="97"/>
      <c r="G80" s="3"/>
      <c r="H80" s="554"/>
      <c r="J80" s="237"/>
      <c r="AJ80" s="246"/>
      <c r="AK80" s="213"/>
      <c r="AL80" s="246"/>
      <c r="AM80" s="213"/>
    </row>
    <row r="81" spans="1:39" ht="13.5" thickBot="1" x14ac:dyDescent="0.25">
      <c r="B81" s="422"/>
      <c r="C81" s="422"/>
      <c r="D81" s="422"/>
      <c r="E81" s="422"/>
      <c r="F81" s="422"/>
      <c r="G81" s="422"/>
      <c r="H81" s="422"/>
      <c r="I81" s="596"/>
      <c r="J81" s="422"/>
      <c r="K81" s="422"/>
      <c r="L81" s="422"/>
      <c r="M81" s="422"/>
      <c r="N81" s="422"/>
      <c r="O81" s="422"/>
      <c r="P81" s="422"/>
      <c r="Q81" s="422"/>
      <c r="R81" s="422"/>
      <c r="S81" s="422"/>
      <c r="T81" s="422"/>
      <c r="U81" s="422"/>
      <c r="V81" s="422"/>
      <c r="W81" s="422"/>
      <c r="X81" s="422"/>
      <c r="AJ81" s="105"/>
      <c r="AK81" s="197"/>
      <c r="AL81" s="105"/>
      <c r="AM81" s="197"/>
    </row>
    <row r="82" spans="1:39" ht="14.25" customHeight="1" thickTop="1" x14ac:dyDescent="0.2">
      <c r="B82" s="546" t="s">
        <v>722</v>
      </c>
      <c r="H82" s="6"/>
      <c r="I82" s="6"/>
      <c r="AJ82" s="105"/>
      <c r="AK82" s="197"/>
      <c r="AL82" s="105"/>
      <c r="AM82" s="197"/>
    </row>
    <row r="83" spans="1:39" ht="15.75" customHeight="1" x14ac:dyDescent="0.2">
      <c r="AJ83" s="105"/>
      <c r="AK83" s="197"/>
      <c r="AL83" s="105"/>
      <c r="AM83" s="197"/>
    </row>
    <row r="84" spans="1:39" ht="15" customHeight="1" x14ac:dyDescent="0.2">
      <c r="AJ84" s="105"/>
      <c r="AK84" s="197"/>
      <c r="AL84" s="105"/>
      <c r="AM84" s="197"/>
    </row>
    <row r="85" spans="1:39" x14ac:dyDescent="0.2">
      <c r="AJ85" s="105"/>
      <c r="AK85" s="197"/>
      <c r="AL85" s="105"/>
      <c r="AM85" s="197"/>
    </row>
    <row r="86" spans="1:39" x14ac:dyDescent="0.2">
      <c r="H86" s="6"/>
      <c r="I86" s="195"/>
      <c r="AJ86" s="105"/>
      <c r="AK86" s="197"/>
      <c r="AL86" s="105"/>
      <c r="AM86" s="197"/>
    </row>
    <row r="87" spans="1:39" x14ac:dyDescent="0.2">
      <c r="AJ87" s="105"/>
      <c r="AK87" s="197"/>
      <c r="AL87" s="105"/>
      <c r="AM87" s="197"/>
    </row>
    <row r="88" spans="1:39" x14ac:dyDescent="0.2">
      <c r="AJ88" s="105"/>
      <c r="AK88" s="197"/>
      <c r="AL88" s="105"/>
      <c r="AM88" s="197"/>
    </row>
    <row r="89" spans="1:39" x14ac:dyDescent="0.2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">
      <c r="B90" s="196"/>
      <c r="C90" s="3"/>
      <c r="D90" s="197"/>
      <c r="E90" s="11"/>
      <c r="F90" s="11"/>
      <c r="H90" s="6"/>
      <c r="I90" s="216"/>
      <c r="AJ90" s="105"/>
      <c r="AK90" s="197"/>
      <c r="AL90" s="105"/>
      <c r="AM90" s="197"/>
    </row>
    <row r="91" spans="1:39" x14ac:dyDescent="0.2">
      <c r="B91" s="196"/>
      <c r="C91" s="3"/>
      <c r="D91" s="197"/>
      <c r="E91" s="11"/>
      <c r="F91" s="11"/>
      <c r="AJ91" s="105"/>
      <c r="AK91" s="197"/>
      <c r="AL91" s="105"/>
      <c r="AM91" s="197"/>
    </row>
    <row r="92" spans="1:39" x14ac:dyDescent="0.2">
      <c r="AJ92" s="105"/>
      <c r="AK92" s="197"/>
      <c r="AL92" s="105"/>
      <c r="AM92" s="197"/>
    </row>
    <row r="93" spans="1:39" x14ac:dyDescent="0.2">
      <c r="H93" s="172"/>
      <c r="I93" s="192"/>
      <c r="J93" s="5"/>
      <c r="AJ93" s="105"/>
      <c r="AK93" s="197"/>
      <c r="AL93" s="105"/>
      <c r="AM93" s="197"/>
    </row>
    <row r="94" spans="1:39" x14ac:dyDescent="0.2">
      <c r="AJ94" s="105"/>
      <c r="AK94" s="197"/>
      <c r="AL94" s="105"/>
      <c r="AM94" s="197"/>
    </row>
    <row r="95" spans="1:39" x14ac:dyDescent="0.2">
      <c r="AJ95" s="105"/>
      <c r="AK95" s="197"/>
      <c r="AL95" s="105"/>
      <c r="AM95" s="197"/>
    </row>
    <row r="96" spans="1:39" x14ac:dyDescent="0.2">
      <c r="A96" s="5"/>
      <c r="AJ96" s="286"/>
      <c r="AK96" s="287"/>
      <c r="AL96" s="286"/>
      <c r="AM96" s="287"/>
    </row>
    <row r="100" spans="3:9" x14ac:dyDescent="0.2">
      <c r="C100" s="6"/>
      <c r="D100" s="6"/>
      <c r="E100" s="7"/>
    </row>
    <row r="101" spans="3:9" x14ac:dyDescent="0.2">
      <c r="D101" s="6"/>
      <c r="G101" s="6"/>
      <c r="H101" s="192"/>
      <c r="I101" s="5"/>
    </row>
    <row r="102" spans="3:9" x14ac:dyDescent="0.2">
      <c r="D102" s="6"/>
      <c r="E102" s="7"/>
      <c r="G102" s="6"/>
      <c r="H102" s="5"/>
      <c r="I102" s="5"/>
    </row>
    <row r="104" spans="3:9" x14ac:dyDescent="0.2">
      <c r="C104" s="6"/>
      <c r="D104" s="6"/>
      <c r="E104" s="19"/>
    </row>
    <row r="105" spans="3:9" x14ac:dyDescent="0.2">
      <c r="D105" s="6"/>
      <c r="E105" s="19"/>
      <c r="G105" s="6"/>
      <c r="H105" s="192"/>
      <c r="I105" s="5"/>
    </row>
    <row r="106" spans="3:9" x14ac:dyDescent="0.2">
      <c r="D106" s="6"/>
      <c r="E106" s="7"/>
      <c r="G106" s="6"/>
      <c r="H106" s="5"/>
      <c r="I106" s="5"/>
    </row>
    <row r="115" spans="2:4" x14ac:dyDescent="0.2">
      <c r="C115" s="7"/>
    </row>
    <row r="116" spans="2:4" x14ac:dyDescent="0.2">
      <c r="B116" s="5"/>
    </row>
    <row r="118" spans="2:4" x14ac:dyDescent="0.2">
      <c r="B118" s="5"/>
    </row>
    <row r="120" spans="2:4" x14ac:dyDescent="0.2">
      <c r="C120" s="6"/>
      <c r="D120" s="219"/>
    </row>
  </sheetData>
  <mergeCells count="6">
    <mergeCell ref="AJ23:AP23"/>
    <mergeCell ref="AV24:BB24"/>
    <mergeCell ref="B1:Y1"/>
    <mergeCell ref="AI20:AN20"/>
    <mergeCell ref="L22:U22"/>
    <mergeCell ref="AJ22:AP22"/>
  </mergeCells>
  <phoneticPr fontId="56" type="noConversion"/>
  <conditionalFormatting sqref="I24:I39">
    <cfRule type="cellIs" dxfId="5" priority="1" stopIfTrue="1" operator="greaterThan">
      <formula>40</formula>
    </cfRule>
  </conditionalFormatting>
  <conditionalFormatting sqref="H24:H39">
    <cfRule type="cellIs" dxfId="4" priority="2" stopIfTrue="1" operator="between">
      <formula>$AR$29</formula>
      <formula>$AR$30</formula>
    </cfRule>
    <cfRule type="cellIs" dxfId="3" priority="3" stopIfTrue="1" operator="greaterThanOrEqual">
      <formula>$AR$30</formula>
    </cfRule>
  </conditionalFormatting>
  <pageMargins left="0.75" right="0.75" top="1" bottom="1" header="0" footer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Drop Down 1">
              <controlPr defaultSize="0" autoLine="0" autoPict="0">
                <anchor moveWithCells="1">
                  <from>
                    <xdr:col>7</xdr:col>
                    <xdr:colOff>76200</xdr:colOff>
                    <xdr:row>9</xdr:row>
                    <xdr:rowOff>47625</xdr:rowOff>
                  </from>
                  <to>
                    <xdr:col>8</xdr:col>
                    <xdr:colOff>171450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Drop Down 2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Drop Down 3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6" name="Drop Down 4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7" name="Drop Down 5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8" name="Drop Down 6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9" name="Drop Down 7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0" name="Drop Down 8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1" name="Drop Down 9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2" name="Drop Down 10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3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4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5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6" name="Drop Down 14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7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8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9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0" name="Drop Down 18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1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2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3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4" name="Drop Down 22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5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6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7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8" name="Drop Down 26">
              <controlPr defaultSize="0" autoLine="0" autoPict="0">
                <anchor moveWithCells="1">
                  <from>
                    <xdr:col>6</xdr:col>
                    <xdr:colOff>781050</xdr:colOff>
                    <xdr:row>8</xdr:row>
                    <xdr:rowOff>47625</xdr:rowOff>
                  </from>
                  <to>
                    <xdr:col>8</xdr:col>
                    <xdr:colOff>171450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9" name="Drop Down 28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0" name="Drop Down 29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1" name="Drop Down 30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2" name="Drop Down 31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3" name="Drop Down 32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4" name="Drop Down 33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5" name="Drop Down 34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6" name="Drop Down 35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7" name="Drop Down 36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8" name="Drop Down 37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39" name="Drop Down 38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0" name="Drop Down 39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1" name="Drop Down 40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2" name="Drop Down 41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3" name="Drop Down 42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4" name="Drop Down 43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5" name="Drop Down 44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6" name="Drop Down 45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7" name="Drop Down 46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48" name="Drop Down 47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49" name="Drop Down 48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0" name="Drop Down 49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1" name="Drop Down 50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2" name="Drop Down 51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3" name="Drop Down 52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4" name="Drop Down 53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5" name="Drop Down 54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6" name="Drop Down 55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7" name="Drop Down 56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58" name="Drop Down 57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59" name="Drop Down 58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0" name="Drop Down 59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1" name="Drop Down 60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2" name="Drop Down 61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3" name="Drop Down 62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4" name="Drop Down 63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5" name="Drop Down 64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6" name="Drop Down 65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7" name="Drop Down 66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68" name="Drop Down 67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69" name="Drop Down 68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0" name="Drop Down 69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1" name="Drop Down 70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2" name="Drop Down 71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3" name="Drop Down 72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4" name="Drop Down 73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5" name="Drop Down 74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6" name="Drop Down 75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7" name="Drop Down 76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78" name="Drop Down 77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79" name="Drop Down 78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0" name="Drop Down 79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1" name="Drop Down 80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2" name="Drop Down 81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3" name="Drop Down 82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4" name="Drop Down 83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5" name="Drop Down 84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6" name="Drop Down 85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7" name="Drop Down 86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88" name="Drop Down 87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89" name="Drop Down 88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0" name="Drop Down 89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1" name="Drop Down 90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2" name="Drop Down 91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3" name="Drop Down 92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4" name="Drop Down 93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5" name="Drop Down 94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6" name="Drop Down 95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7" name="Drop Down 96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98" name="Drop Down 97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99" name="Drop Down 98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0" name="Drop Down 99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1" name="Drop Down 100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2" name="Drop Down 101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3" name="Drop Down 102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4" name="Drop Down 103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5" name="Drop Down 104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6" name="Drop Down 105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A87ED-E733-4400-931E-F5BF5EA91F37}">
  <sheetPr codeName="Hoja23"/>
  <dimension ref="A2:BD22"/>
  <sheetViews>
    <sheetView showGridLines="0" topLeftCell="B1" zoomScale="75" workbookViewId="0">
      <selection activeCell="H9" sqref="H9"/>
    </sheetView>
  </sheetViews>
  <sheetFormatPr baseColWidth="10" defaultRowHeight="12.75" x14ac:dyDescent="0.2"/>
  <cols>
    <col min="1" max="1" width="4" customWidth="1"/>
    <col min="2" max="2" width="4.42578125" customWidth="1"/>
    <col min="15" max="15" width="4" customWidth="1"/>
  </cols>
  <sheetData>
    <row r="2" spans="2:50" ht="9" customHeight="1" x14ac:dyDescent="0.2"/>
    <row r="3" spans="2:50" ht="15.75" x14ac:dyDescent="0.25">
      <c r="B3" s="758" t="s">
        <v>735</v>
      </c>
      <c r="C3" s="758"/>
      <c r="D3" s="758"/>
      <c r="E3" s="758"/>
      <c r="F3" s="758"/>
      <c r="G3" s="758"/>
      <c r="H3" s="758"/>
      <c r="I3" s="758"/>
      <c r="J3" s="758"/>
      <c r="K3" s="758"/>
      <c r="L3" s="758"/>
      <c r="M3" s="758"/>
      <c r="N3" s="758"/>
    </row>
    <row r="4" spans="2:50" x14ac:dyDescent="0.2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75" x14ac:dyDescent="0.25">
      <c r="B5" s="660"/>
      <c r="C5" s="319" t="s">
        <v>587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5" thickBot="1" x14ac:dyDescent="0.3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" x14ac:dyDescent="0.2">
      <c r="B7" s="197"/>
      <c r="C7" s="663" t="s">
        <v>573</v>
      </c>
      <c r="D7" s="664"/>
      <c r="E7" s="664"/>
      <c r="F7" s="664"/>
      <c r="G7" s="665" t="s">
        <v>634</v>
      </c>
      <c r="H7" s="667">
        <v>0.4</v>
      </c>
      <c r="J7" s="490" t="s">
        <v>729</v>
      </c>
      <c r="AJ7" s="3"/>
      <c r="AK7" s="35"/>
      <c r="AT7" s="3"/>
      <c r="AU7" s="3"/>
      <c r="AV7" s="3"/>
      <c r="AW7" s="3"/>
      <c r="AX7" s="3"/>
    </row>
    <row r="8" spans="2:50" ht="15" x14ac:dyDescent="0.2">
      <c r="B8" s="197"/>
      <c r="C8" s="97"/>
      <c r="G8" s="3" t="s">
        <v>574</v>
      </c>
      <c r="H8" s="315">
        <f>H7*Principal!$G$66</f>
        <v>11.184000000000001</v>
      </c>
      <c r="J8" s="33"/>
      <c r="AJ8" s="3"/>
      <c r="AK8" s="35"/>
      <c r="AT8" s="3"/>
      <c r="AU8" s="3"/>
      <c r="AV8" s="3"/>
      <c r="AW8" s="3"/>
      <c r="AX8" s="3"/>
    </row>
    <row r="9" spans="2:50" ht="15.75" x14ac:dyDescent="0.25">
      <c r="B9" s="197"/>
      <c r="C9" s="97" t="s">
        <v>575</v>
      </c>
      <c r="G9" s="3" t="s">
        <v>574</v>
      </c>
      <c r="H9" s="661">
        <f>H8/Principal!$H$12</f>
        <v>1.1184000000000001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">
      <c r="B10" s="197"/>
      <c r="C10" s="292" t="s">
        <v>696</v>
      </c>
      <c r="G10" s="3" t="s">
        <v>414</v>
      </c>
      <c r="H10" s="708">
        <v>120</v>
      </c>
      <c r="AJ10" s="3"/>
      <c r="AK10" s="35"/>
      <c r="AT10" s="3"/>
      <c r="AU10" s="3"/>
      <c r="AV10" s="3"/>
      <c r="AW10" s="3"/>
      <c r="AX10" s="3"/>
    </row>
    <row r="11" spans="2:50" ht="15" x14ac:dyDescent="0.2">
      <c r="B11" s="197"/>
      <c r="C11" s="332" t="s">
        <v>697</v>
      </c>
      <c r="D11" s="213"/>
      <c r="E11" s="213"/>
      <c r="F11" s="3"/>
      <c r="G11" s="3" t="s">
        <v>12</v>
      </c>
      <c r="H11" s="523">
        <v>60</v>
      </c>
      <c r="J11" s="33"/>
      <c r="AT11" s="3"/>
      <c r="AU11" s="3"/>
      <c r="AV11" s="3"/>
      <c r="AW11" s="3"/>
      <c r="AX11" s="3"/>
    </row>
    <row r="12" spans="2:50" ht="15.75" thickBot="1" x14ac:dyDescent="0.25">
      <c r="B12" s="197"/>
      <c r="C12" s="428" t="s">
        <v>417</v>
      </c>
      <c r="D12" s="522"/>
      <c r="E12" s="522"/>
      <c r="F12" s="522"/>
      <c r="G12" s="666"/>
      <c r="H12" s="604" t="s">
        <v>494</v>
      </c>
      <c r="J12" s="33"/>
      <c r="AT12" s="3"/>
      <c r="AU12" s="3"/>
      <c r="AV12" s="3"/>
      <c r="AW12" s="3"/>
      <c r="AX12" s="3"/>
    </row>
    <row r="13" spans="2:50" x14ac:dyDescent="0.2">
      <c r="B13" s="197"/>
      <c r="J13" s="33"/>
      <c r="AT13" s="3"/>
      <c r="AU13" s="3"/>
      <c r="AV13" s="3"/>
      <c r="AW13" s="3"/>
      <c r="AX13" s="3"/>
    </row>
    <row r="14" spans="2:50" x14ac:dyDescent="0.2">
      <c r="B14" s="197"/>
      <c r="J14" s="33"/>
      <c r="AT14" s="3"/>
      <c r="AU14" s="3"/>
      <c r="AV14" s="3"/>
      <c r="AW14" s="3"/>
      <c r="AX14" s="3"/>
    </row>
    <row r="15" spans="2:50" ht="15.75" x14ac:dyDescent="0.25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75" x14ac:dyDescent="0.25">
      <c r="B16" s="758" t="s">
        <v>588</v>
      </c>
      <c r="C16" s="758"/>
      <c r="D16" s="758"/>
      <c r="E16" s="758"/>
      <c r="F16" s="758"/>
      <c r="G16" s="758"/>
      <c r="H16" s="758"/>
      <c r="I16" s="758"/>
      <c r="J16" s="758"/>
      <c r="K16" s="758"/>
      <c r="L16" s="758"/>
      <c r="M16" s="758"/>
      <c r="N16" s="758"/>
      <c r="O16" s="243"/>
      <c r="P16" s="243"/>
    </row>
    <row r="17" spans="1:56" x14ac:dyDescent="0.2">
      <c r="B17" s="197"/>
      <c r="AX17" s="792"/>
      <c r="AY17" s="792"/>
      <c r="AZ17" s="792"/>
      <c r="BA17" s="792"/>
      <c r="BB17" s="792"/>
      <c r="BC17" s="792"/>
      <c r="BD17" s="792"/>
    </row>
    <row r="18" spans="1:56" ht="15.75" x14ac:dyDescent="0.25">
      <c r="B18" s="197"/>
      <c r="C18" s="627" t="s">
        <v>576</v>
      </c>
      <c r="D18" s="565"/>
      <c r="E18" s="565"/>
      <c r="F18" s="565"/>
      <c r="G18" s="565" t="s">
        <v>558</v>
      </c>
      <c r="H18" s="632">
        <v>16</v>
      </c>
      <c r="I18" s="213"/>
      <c r="J18" s="213"/>
      <c r="K18" s="213"/>
      <c r="L18" s="213"/>
      <c r="M18" s="213"/>
      <c r="AY18" s="3"/>
      <c r="AZ18" s="3"/>
    </row>
    <row r="19" spans="1:56" ht="15.75" x14ac:dyDescent="0.2">
      <c r="A19" s="5"/>
      <c r="B19" s="197"/>
      <c r="C19" s="628" t="s">
        <v>559</v>
      </c>
      <c r="D19" s="629"/>
      <c r="E19" s="629"/>
      <c r="F19" s="629"/>
      <c r="G19" s="630" t="s">
        <v>560</v>
      </c>
      <c r="H19" s="631">
        <f>H18*25/14.3</f>
        <v>27.97202797202797</v>
      </c>
      <c r="I19" s="197"/>
      <c r="J19" s="662" t="s">
        <v>561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">
      <c r="B20" s="197"/>
      <c r="N20" s="197"/>
      <c r="O20" s="249"/>
      <c r="AA20" s="3"/>
      <c r="AY20" s="3"/>
      <c r="AZ20" s="3"/>
      <c r="BA20" s="3"/>
      <c r="BB20" s="3"/>
    </row>
    <row r="21" spans="1:56" ht="13.5" thickBot="1" x14ac:dyDescent="0.25">
      <c r="B21" s="687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3.5" thickTop="1" x14ac:dyDescent="0.2">
      <c r="B22" s="546" t="s">
        <v>722</v>
      </c>
    </row>
  </sheetData>
  <mergeCells count="3">
    <mergeCell ref="B3:N3"/>
    <mergeCell ref="B16:N16"/>
    <mergeCell ref="AX17:BD17"/>
  </mergeCells>
  <phoneticPr fontId="56" type="noConversion"/>
  <pageMargins left="0.75" right="0.75" top="1" bottom="1" header="0" footer="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35369-3A1C-4F4A-A2DA-454C93018E23}">
  <sheetPr codeName="Hoja16">
    <pageSetUpPr fitToPage="1"/>
  </sheetPr>
  <dimension ref="A1:BD126"/>
  <sheetViews>
    <sheetView showGridLines="0" topLeftCell="A19" zoomScale="75" zoomScaleNormal="75" workbookViewId="0">
      <selection activeCell="S17" sqref="S17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7109375" customWidth="1"/>
    <col min="5" max="5" width="13.7109375" customWidth="1"/>
    <col min="6" max="6" width="13" customWidth="1"/>
    <col min="7" max="8" width="15.42578125" customWidth="1"/>
    <col min="9" max="9" width="14.140625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9.42578125" customWidth="1"/>
    <col min="25" max="25" width="8.28515625" customWidth="1"/>
    <col min="33" max="33" width="11.42578125" hidden="1" customWidth="1"/>
    <col min="34" max="34" width="2.85546875" hidden="1" customWidth="1"/>
    <col min="35" max="35" width="18.285156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31.85546875" hidden="1" customWidth="1"/>
    <col min="56" max="56" width="11.42578125" hidden="1" customWidth="1"/>
    <col min="57" max="64" width="0" hidden="1" customWidth="1"/>
  </cols>
  <sheetData>
    <row r="1" spans="1:25" ht="20.25" x14ac:dyDescent="0.3">
      <c r="B1" s="424" t="s">
        <v>727</v>
      </c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  <c r="S1" s="423"/>
      <c r="T1" s="423"/>
      <c r="U1" s="423"/>
      <c r="V1" s="423"/>
      <c r="W1" s="423"/>
      <c r="X1" s="423"/>
      <c r="Y1" s="423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758" t="s">
        <v>728</v>
      </c>
      <c r="C3" s="758"/>
      <c r="D3" s="758"/>
      <c r="E3" s="758"/>
      <c r="F3" s="758"/>
      <c r="G3" s="758"/>
      <c r="H3" s="758"/>
      <c r="I3" s="758"/>
      <c r="J3" s="758"/>
      <c r="K3" s="758"/>
      <c r="L3" s="758"/>
      <c r="M3" s="758"/>
      <c r="N3" s="758"/>
      <c r="O3" s="758"/>
      <c r="P3" s="758"/>
      <c r="Q3" s="758"/>
      <c r="R3" s="758"/>
      <c r="S3" s="758"/>
      <c r="T3" s="758"/>
      <c r="U3" s="758"/>
      <c r="V3" s="758"/>
      <c r="W3" s="758"/>
      <c r="X3" s="758"/>
    </row>
    <row r="4" spans="1:25" ht="15.75" x14ac:dyDescent="0.25">
      <c r="C4" s="580" t="s">
        <v>410</v>
      </c>
      <c r="D4" s="438"/>
      <c r="E4" s="438"/>
      <c r="F4" s="438"/>
      <c r="G4" s="438"/>
      <c r="H4" s="244"/>
    </row>
    <row r="5" spans="1:25" ht="15" x14ac:dyDescent="0.2">
      <c r="C5" s="292" t="s">
        <v>411</v>
      </c>
      <c r="D5" s="294"/>
      <c r="E5" s="294"/>
      <c r="F5" s="294"/>
      <c r="G5" s="294"/>
      <c r="H5" s="315">
        <f>Principal!G63</f>
        <v>12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5" ht="15" x14ac:dyDescent="0.2">
      <c r="C7" s="436" t="s">
        <v>415</v>
      </c>
      <c r="D7" s="438"/>
      <c r="E7" s="438"/>
      <c r="F7" s="438"/>
      <c r="G7" s="448" t="s">
        <v>416</v>
      </c>
      <c r="H7" s="638">
        <v>50</v>
      </c>
      <c r="J7" s="348" t="s">
        <v>633</v>
      </c>
    </row>
    <row r="8" spans="1:25" ht="15.75" x14ac:dyDescent="0.25">
      <c r="C8" s="328"/>
      <c r="D8" s="294"/>
      <c r="E8" s="294"/>
      <c r="F8" s="294"/>
      <c r="G8" s="293" t="s">
        <v>414</v>
      </c>
      <c r="H8" s="391">
        <f>H5*H6*H7</f>
        <v>1398</v>
      </c>
      <c r="I8" s="19"/>
    </row>
    <row r="9" spans="1:25" ht="18.75" customHeight="1" x14ac:dyDescent="0.2">
      <c r="C9" s="292" t="s">
        <v>417</v>
      </c>
      <c r="D9" s="294"/>
      <c r="E9" s="294"/>
    </row>
    <row r="10" spans="1:25" ht="18.75" customHeight="1" x14ac:dyDescent="0.2">
      <c r="C10" s="292" t="s">
        <v>422</v>
      </c>
      <c r="D10" s="294"/>
      <c r="E10" s="294"/>
    </row>
    <row r="11" spans="1:25" ht="15.75" customHeight="1" thickBot="1" x14ac:dyDescent="0.25">
      <c r="C11" s="428" t="s">
        <v>426</v>
      </c>
      <c r="D11" s="427"/>
      <c r="E11" s="427"/>
      <c r="F11" s="522"/>
      <c r="G11" s="558" t="s">
        <v>425</v>
      </c>
      <c r="H11" s="558" t="str">
        <f>IF(AR25=1, "1,5 - 2", IF(OR(AR25=2,AR25=3), "2,5 - 3"))</f>
        <v>2,5 - 3</v>
      </c>
    </row>
    <row r="12" spans="1:25" ht="15.75" thickBot="1" x14ac:dyDescent="0.25">
      <c r="C12" s="292"/>
      <c r="D12" s="294"/>
      <c r="E12" s="294"/>
      <c r="G12" s="3"/>
      <c r="H12" s="214"/>
      <c r="J12" s="33"/>
      <c r="L12" s="597" t="s">
        <v>432</v>
      </c>
      <c r="M12" s="598"/>
      <c r="N12" s="598"/>
    </row>
    <row r="13" spans="1:25" x14ac:dyDescent="0.2">
      <c r="C13" s="294"/>
      <c r="D13" s="294"/>
      <c r="E13" s="294"/>
      <c r="I13" s="33"/>
      <c r="L13" s="601" t="s">
        <v>380</v>
      </c>
      <c r="M13" s="601" t="s">
        <v>381</v>
      </c>
      <c r="N13" s="601" t="s">
        <v>382</v>
      </c>
    </row>
    <row r="14" spans="1:25" x14ac:dyDescent="0.2">
      <c r="D14" s="290"/>
      <c r="E14" s="290"/>
      <c r="L14" s="548" t="s">
        <v>385</v>
      </c>
      <c r="M14" s="294"/>
      <c r="N14" s="294"/>
    </row>
    <row r="15" spans="1:25" x14ac:dyDescent="0.2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75" x14ac:dyDescent="0.25">
      <c r="C16" s="319" t="s">
        <v>429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">
      <c r="C17" s="408" t="s">
        <v>430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">
      <c r="B18" s="6"/>
      <c r="C18" s="409" t="s">
        <v>609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5" thickBot="1" x14ac:dyDescent="0.25">
      <c r="L20" s="576">
        <v>54</v>
      </c>
      <c r="M20" s="576">
        <v>1.2</v>
      </c>
      <c r="N20" s="558">
        <v>51.6</v>
      </c>
      <c r="AI20" s="785" t="s">
        <v>421</v>
      </c>
      <c r="AJ20" s="786"/>
      <c r="AK20" s="786"/>
      <c r="AL20" s="786"/>
      <c r="AM20" s="786"/>
      <c r="AN20" s="786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87" t="s">
        <v>443</v>
      </c>
      <c r="M22" s="787"/>
      <c r="N22" s="787"/>
      <c r="O22" s="787"/>
      <c r="P22" s="787"/>
      <c r="Q22" s="787"/>
      <c r="R22" s="787"/>
      <c r="S22" s="787"/>
      <c r="T22" s="787"/>
      <c r="U22" s="787"/>
      <c r="V22" s="565" t="s">
        <v>446</v>
      </c>
      <c r="W22" s="565" t="s">
        <v>447</v>
      </c>
      <c r="X22" s="565" t="s">
        <v>611</v>
      </c>
      <c r="AI22" s="221"/>
      <c r="AJ22" s="788" t="s">
        <v>420</v>
      </c>
      <c r="AK22" s="788"/>
      <c r="AL22" s="788"/>
      <c r="AM22" s="788"/>
      <c r="AN22" s="788"/>
      <c r="AO22" s="788"/>
      <c r="AP22" s="788"/>
      <c r="AQ22" s="2"/>
      <c r="BC22" s="220"/>
    </row>
    <row r="23" spans="2:55" ht="26.25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649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J23" s="790" t="s">
        <v>419</v>
      </c>
      <c r="AK23" s="790"/>
      <c r="AL23" s="790"/>
      <c r="AM23" s="790"/>
      <c r="AN23" s="790"/>
      <c r="AO23" s="790"/>
      <c r="AP23" s="790"/>
      <c r="AQ23" s="2"/>
      <c r="BC23" s="220"/>
    </row>
    <row r="24" spans="2:55" ht="18" customHeight="1" x14ac:dyDescent="0.2">
      <c r="C24" s="595" t="s">
        <v>396</v>
      </c>
      <c r="D24" s="562"/>
      <c r="E24" s="595">
        <v>2800</v>
      </c>
      <c r="F24" s="563"/>
      <c r="G24" s="364">
        <f t="shared" ref="G24:G39" si="0">IF(AU25=1,0,INDEX($AJ$42:$AJ$49,$AU25,1)-2*INDEX($AK$42:$AK$49,$AU25,1))</f>
        <v>33</v>
      </c>
      <c r="H24" s="703">
        <f t="shared" ref="H24:H39" si="1">IF(AU25=1,0,0.354*E24/(G24^2))</f>
        <v>0.91019283746556467</v>
      </c>
      <c r="I24" s="704">
        <f t="shared" ref="I24:I39" si="2">IF(AU25=1,0,INDEX($AK$37:$AK$38,$AR$35,1)*378*(E24^1.75)/(G24^4.75))</f>
        <v>32.435492196492717</v>
      </c>
      <c r="J24" s="364">
        <f t="shared" ref="J24:J39" si="3">IF(AU25=1,0,IF(OR($AR$25=1,$AR$25=2),INDEX($AM$42:$AM$49,$AU25,1),IF($AR$25=3,INDEX($AM$42:$AM$49,$AU25,1)+10)))</f>
        <v>30</v>
      </c>
      <c r="K24" s="595">
        <v>12</v>
      </c>
      <c r="L24" s="719"/>
      <c r="M24" s="595">
        <v>4</v>
      </c>
      <c r="N24" s="719"/>
      <c r="O24" s="595">
        <v>1</v>
      </c>
      <c r="P24" s="719"/>
      <c r="Q24" s="595"/>
      <c r="R24" s="719"/>
      <c r="S24" s="595"/>
      <c r="T24" s="719"/>
      <c r="U24" s="595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INDEX($AJ$25:$AP$33,$AV25,$AU25-1)*M24+INDEX($AJ$25:$AP$33,$AW25,$AU25-1)*O24+INDEX($AJ$25:$AP$33,$AX25,$AU25-1)*Q24+INDEX($AJ$25:$AP$33,$AY25,$AU25-1)*S24+INDEX($AJ$25:$AP$33,$AZ25,$AU25-1)*U24+INDEX($AJ$25:$AP$33,$BA25,$AU25-1)*AK87+INDEX($AJ$25:$AP$33,$BB25,$AU25-1)*AM87)</f>
        <v>4.97</v>
      </c>
      <c r="W24" s="364">
        <f t="shared" ref="W24:W39" si="5">K24+V24</f>
        <v>16.97</v>
      </c>
      <c r="X24" s="704">
        <f t="shared" ref="X24:X39" si="6">I24*W24</f>
        <v>550.4303025744814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389</v>
      </c>
      <c r="AT24" s="202" t="s">
        <v>390</v>
      </c>
      <c r="AU24" s="202" t="s">
        <v>391</v>
      </c>
      <c r="AV24" s="783" t="s">
        <v>418</v>
      </c>
      <c r="AW24" s="783"/>
      <c r="AX24" s="783"/>
      <c r="AY24" s="783"/>
      <c r="AZ24" s="783"/>
      <c r="BA24" s="783"/>
      <c r="BB24" s="784"/>
      <c r="BC24" s="200" t="s">
        <v>648</v>
      </c>
    </row>
    <row r="25" spans="2:55" ht="18" customHeight="1" x14ac:dyDescent="0.2">
      <c r="C25" s="595" t="s">
        <v>399</v>
      </c>
      <c r="D25" s="562"/>
      <c r="E25" s="595">
        <v>1400</v>
      </c>
      <c r="F25" s="563"/>
      <c r="G25" s="364">
        <f t="shared" si="0"/>
        <v>26</v>
      </c>
      <c r="H25" s="703">
        <f t="shared" si="1"/>
        <v>0.7331360946745562</v>
      </c>
      <c r="I25" s="704">
        <f t="shared" si="2"/>
        <v>29.925113875221601</v>
      </c>
      <c r="J25" s="364">
        <f t="shared" si="3"/>
        <v>30</v>
      </c>
      <c r="K25" s="595">
        <v>17.7</v>
      </c>
      <c r="L25" s="719"/>
      <c r="M25" s="595">
        <v>2</v>
      </c>
      <c r="N25" s="719"/>
      <c r="O25" s="595">
        <v>1</v>
      </c>
      <c r="P25" s="719"/>
      <c r="Q25" s="595"/>
      <c r="R25" s="719"/>
      <c r="S25" s="595"/>
      <c r="T25" s="719"/>
      <c r="U25" s="595"/>
      <c r="V25" s="364">
        <f t="shared" si="4"/>
        <v>1.5</v>
      </c>
      <c r="W25" s="364">
        <f t="shared" si="5"/>
        <v>19.2</v>
      </c>
      <c r="X25" s="704">
        <f t="shared" si="6"/>
        <v>574.5621864042547</v>
      </c>
      <c r="AI25" s="193" t="s">
        <v>385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6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1</v>
      </c>
    </row>
    <row r="26" spans="2:55" ht="18" customHeight="1" x14ac:dyDescent="0.2">
      <c r="C26" s="595" t="s">
        <v>401</v>
      </c>
      <c r="D26" s="562"/>
      <c r="E26" s="595">
        <v>700</v>
      </c>
      <c r="F26" s="563"/>
      <c r="G26" s="364">
        <f t="shared" si="0"/>
        <v>20</v>
      </c>
      <c r="H26" s="703">
        <f t="shared" si="1"/>
        <v>0.61949999999999994</v>
      </c>
      <c r="I26" s="704">
        <f t="shared" si="2"/>
        <v>30.936005962190212</v>
      </c>
      <c r="J26" s="364">
        <f t="shared" si="3"/>
        <v>30</v>
      </c>
      <c r="K26" s="595">
        <v>9.1999999999999993</v>
      </c>
      <c r="L26" s="719"/>
      <c r="M26" s="595">
        <v>3</v>
      </c>
      <c r="N26" s="719"/>
      <c r="O26" s="595"/>
      <c r="P26" s="719"/>
      <c r="Q26" s="595"/>
      <c r="R26" s="719"/>
      <c r="S26" s="595"/>
      <c r="T26" s="719"/>
      <c r="U26" s="595"/>
      <c r="V26" s="364">
        <f t="shared" si="4"/>
        <v>1.35</v>
      </c>
      <c r="W26" s="364">
        <f t="shared" si="5"/>
        <v>10.549999999999999</v>
      </c>
      <c r="X26" s="704">
        <f t="shared" si="6"/>
        <v>326.37486290110672</v>
      </c>
      <c r="AI26" s="194" t="s">
        <v>698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 t="str">
        <f t="shared" si="7"/>
        <v>BC</v>
      </c>
      <c r="AU26" s="299">
        <v>5</v>
      </c>
      <c r="AV26" s="300">
        <v>4</v>
      </c>
      <c r="AW26" s="300">
        <v>6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1</v>
      </c>
    </row>
    <row r="27" spans="2:55" ht="18" customHeight="1" x14ac:dyDescent="0.2">
      <c r="C27" s="595" t="s">
        <v>403</v>
      </c>
      <c r="D27" s="562"/>
      <c r="E27" s="595">
        <v>1400</v>
      </c>
      <c r="F27" s="563"/>
      <c r="G27" s="364">
        <f t="shared" si="0"/>
        <v>26</v>
      </c>
      <c r="H27" s="703">
        <f t="shared" si="1"/>
        <v>0.7331360946745562</v>
      </c>
      <c r="I27" s="704">
        <f t="shared" si="2"/>
        <v>29.925113875221601</v>
      </c>
      <c r="J27" s="364">
        <f t="shared" si="3"/>
        <v>30</v>
      </c>
      <c r="K27" s="595">
        <v>3.9</v>
      </c>
      <c r="L27" s="719"/>
      <c r="M27" s="595">
        <v>3</v>
      </c>
      <c r="N27" s="719"/>
      <c r="O27" s="595">
        <v>1</v>
      </c>
      <c r="P27" s="719"/>
      <c r="Q27" s="595"/>
      <c r="R27" s="719"/>
      <c r="S27" s="595"/>
      <c r="T27" s="719"/>
      <c r="U27" s="595"/>
      <c r="V27" s="364">
        <f t="shared" si="4"/>
        <v>2.0999999999999996</v>
      </c>
      <c r="W27" s="364">
        <f t="shared" si="5"/>
        <v>6</v>
      </c>
      <c r="X27" s="704">
        <f t="shared" si="6"/>
        <v>179.55068325132962</v>
      </c>
      <c r="AI27" s="194" t="s">
        <v>394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 t="str">
        <f t="shared" si="7"/>
        <v>CD</v>
      </c>
      <c r="AU27" s="299">
        <v>4</v>
      </c>
      <c r="AV27" s="300">
        <v>4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1</v>
      </c>
    </row>
    <row r="28" spans="2:55" ht="18" customHeight="1" x14ac:dyDescent="0.2">
      <c r="C28" s="595" t="s">
        <v>405</v>
      </c>
      <c r="D28" s="562"/>
      <c r="E28" s="595">
        <v>2800</v>
      </c>
      <c r="F28" s="563"/>
      <c r="G28" s="364">
        <f t="shared" si="0"/>
        <v>33</v>
      </c>
      <c r="H28" s="703">
        <f t="shared" si="1"/>
        <v>0.91019283746556467</v>
      </c>
      <c r="I28" s="704">
        <f t="shared" si="2"/>
        <v>32.435492196492717</v>
      </c>
      <c r="J28" s="364">
        <f t="shared" si="3"/>
        <v>30</v>
      </c>
      <c r="K28" s="595">
        <v>7.2</v>
      </c>
      <c r="L28" s="719"/>
      <c r="M28" s="595">
        <v>1</v>
      </c>
      <c r="N28" s="719"/>
      <c r="O28" s="595">
        <v>1</v>
      </c>
      <c r="P28" s="719"/>
      <c r="Q28" s="595"/>
      <c r="R28" s="719"/>
      <c r="S28" s="595"/>
      <c r="T28" s="719"/>
      <c r="U28" s="595"/>
      <c r="V28" s="364">
        <f t="shared" si="4"/>
        <v>1.24</v>
      </c>
      <c r="W28" s="364">
        <f t="shared" si="5"/>
        <v>8.44</v>
      </c>
      <c r="X28" s="704">
        <f t="shared" si="6"/>
        <v>273.75555413839851</v>
      </c>
      <c r="AI28" s="99" t="s">
        <v>395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 t="str">
        <f t="shared" si="7"/>
        <v>EF</v>
      </c>
      <c r="AU28" s="299">
        <v>5</v>
      </c>
      <c r="AV28" s="300">
        <v>4</v>
      </c>
      <c r="AW28" s="300">
        <v>6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1</v>
      </c>
    </row>
    <row r="29" spans="2:55" s="105" customFormat="1" ht="18" customHeight="1" x14ac:dyDescent="0.2">
      <c r="C29" s="595" t="s">
        <v>406</v>
      </c>
      <c r="D29" s="562"/>
      <c r="E29" s="595">
        <v>1400</v>
      </c>
      <c r="F29" s="563"/>
      <c r="G29" s="364">
        <f t="shared" si="0"/>
        <v>26</v>
      </c>
      <c r="H29" s="703">
        <f t="shared" si="1"/>
        <v>0.7331360946745562</v>
      </c>
      <c r="I29" s="704">
        <f t="shared" si="2"/>
        <v>29.925113875221601</v>
      </c>
      <c r="J29" s="364">
        <f t="shared" si="3"/>
        <v>30</v>
      </c>
      <c r="K29" s="595">
        <v>8.5</v>
      </c>
      <c r="L29" s="719"/>
      <c r="M29" s="595">
        <v>4</v>
      </c>
      <c r="N29" s="719"/>
      <c r="O29" s="595">
        <v>1</v>
      </c>
      <c r="P29" s="719"/>
      <c r="Q29" s="595"/>
      <c r="R29" s="719"/>
      <c r="S29" s="595"/>
      <c r="T29" s="719"/>
      <c r="U29" s="595"/>
      <c r="V29" s="364">
        <f t="shared" si="4"/>
        <v>6</v>
      </c>
      <c r="W29" s="364">
        <f t="shared" si="5"/>
        <v>14.5</v>
      </c>
      <c r="X29" s="704">
        <f t="shared" si="6"/>
        <v>433.9141511907132</v>
      </c>
      <c r="AI29" s="99" t="s">
        <v>397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8">
        <f>IF(AR25=1,1.5,IF(OR(AR25=2,AR25=3),2.5))</f>
        <v>2.5</v>
      </c>
      <c r="AT29" s="299" t="str">
        <f t="shared" si="7"/>
        <v>FG</v>
      </c>
      <c r="AU29" s="302">
        <v>6</v>
      </c>
      <c r="AV29" s="303">
        <v>4</v>
      </c>
      <c r="AW29" s="303">
        <v>6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1</v>
      </c>
    </row>
    <row r="30" spans="2:55" s="105" customFormat="1" ht="18" customHeight="1" x14ac:dyDescent="0.2">
      <c r="C30" s="595" t="s">
        <v>591</v>
      </c>
      <c r="D30" s="563"/>
      <c r="E30" s="595">
        <v>1400</v>
      </c>
      <c r="F30" s="563"/>
      <c r="G30" s="364">
        <f t="shared" si="0"/>
        <v>26</v>
      </c>
      <c r="H30" s="703">
        <f t="shared" si="1"/>
        <v>0.7331360946745562</v>
      </c>
      <c r="I30" s="704">
        <f t="shared" si="2"/>
        <v>29.925113875221601</v>
      </c>
      <c r="J30" s="364">
        <f t="shared" si="3"/>
        <v>30</v>
      </c>
      <c r="K30" s="595">
        <v>0.5</v>
      </c>
      <c r="L30" s="719"/>
      <c r="M30" s="595">
        <v>1</v>
      </c>
      <c r="N30" s="719"/>
      <c r="O30" s="595">
        <v>1</v>
      </c>
      <c r="P30" s="719"/>
      <c r="Q30" s="595"/>
      <c r="R30" s="719"/>
      <c r="S30" s="595"/>
      <c r="T30" s="719"/>
      <c r="U30" s="595"/>
      <c r="V30" s="364">
        <f t="shared" si="4"/>
        <v>0.89999999999999991</v>
      </c>
      <c r="W30" s="364">
        <f t="shared" si="5"/>
        <v>1.4</v>
      </c>
      <c r="X30" s="704">
        <f t="shared" si="6"/>
        <v>41.89515942531024</v>
      </c>
      <c r="AI30" s="99" t="s">
        <v>400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8">
        <f>IF(AR25=1,2,IF(OR(AR25=2,AR25=3),3))</f>
        <v>3</v>
      </c>
      <c r="AT30" s="299" t="str">
        <f t="shared" si="7"/>
        <v>GH</v>
      </c>
      <c r="AU30" s="302">
        <v>5</v>
      </c>
      <c r="AV30" s="303">
        <v>4</v>
      </c>
      <c r="AW30" s="303">
        <v>7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1</v>
      </c>
    </row>
    <row r="31" spans="2:55" s="105" customFormat="1" ht="18" customHeight="1" x14ac:dyDescent="0.2">
      <c r="C31" s="595" t="s">
        <v>592</v>
      </c>
      <c r="D31" s="562"/>
      <c r="E31" s="595">
        <v>117</v>
      </c>
      <c r="F31" s="563"/>
      <c r="G31" s="364">
        <f t="shared" si="0"/>
        <v>13</v>
      </c>
      <c r="H31" s="703">
        <f t="shared" si="1"/>
        <v>0.24507692307692308</v>
      </c>
      <c r="I31" s="704">
        <f t="shared" si="2"/>
        <v>10.45994706630057</v>
      </c>
      <c r="J31" s="364">
        <f t="shared" si="3"/>
        <v>30</v>
      </c>
      <c r="K31" s="595">
        <v>4</v>
      </c>
      <c r="L31" s="719"/>
      <c r="M31" s="595">
        <v>6</v>
      </c>
      <c r="N31" s="719"/>
      <c r="O31" s="595">
        <v>1</v>
      </c>
      <c r="P31" s="719"/>
      <c r="Q31" s="595"/>
      <c r="R31" s="719"/>
      <c r="S31" s="595"/>
      <c r="T31" s="719"/>
      <c r="U31" s="595"/>
      <c r="V31" s="364">
        <f t="shared" si="4"/>
        <v>4.4800000000000004</v>
      </c>
      <c r="W31" s="364">
        <f t="shared" si="5"/>
        <v>8.48</v>
      </c>
      <c r="X31" s="704">
        <f t="shared" si="6"/>
        <v>88.700351122228838</v>
      </c>
      <c r="AI31" s="99" t="s">
        <v>402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 t="str">
        <f t="shared" si="7"/>
        <v>HI</v>
      </c>
      <c r="AU31" s="302">
        <v>5</v>
      </c>
      <c r="AV31" s="303">
        <v>4</v>
      </c>
      <c r="AW31" s="303">
        <v>6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1</v>
      </c>
    </row>
    <row r="32" spans="2:55" s="105" customFormat="1" ht="18" customHeight="1" x14ac:dyDescent="0.2">
      <c r="C32" s="595" t="s">
        <v>593</v>
      </c>
      <c r="D32" s="562"/>
      <c r="E32" s="595">
        <v>233</v>
      </c>
      <c r="F32" s="563"/>
      <c r="G32" s="364">
        <f t="shared" si="0"/>
        <v>16</v>
      </c>
      <c r="H32" s="703">
        <f t="shared" si="1"/>
        <v>0.3221953125</v>
      </c>
      <c r="I32" s="704">
        <f t="shared" si="2"/>
        <v>13.023811334763595</v>
      </c>
      <c r="J32" s="364">
        <f t="shared" si="3"/>
        <v>30</v>
      </c>
      <c r="K32" s="595">
        <v>2.8</v>
      </c>
      <c r="L32" s="719"/>
      <c r="M32" s="595"/>
      <c r="N32" s="719"/>
      <c r="O32" s="595"/>
      <c r="P32" s="719"/>
      <c r="Q32" s="595"/>
      <c r="R32" s="719"/>
      <c r="S32" s="595"/>
      <c r="T32" s="719"/>
      <c r="U32" s="595"/>
      <c r="V32" s="364">
        <f t="shared" si="4"/>
        <v>0</v>
      </c>
      <c r="W32" s="364">
        <f t="shared" si="5"/>
        <v>2.8</v>
      </c>
      <c r="X32" s="704">
        <f t="shared" si="6"/>
        <v>36.466671737338061</v>
      </c>
      <c r="AI32" s="99" t="s">
        <v>404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 t="str">
        <f t="shared" si="7"/>
        <v>IJ</v>
      </c>
      <c r="AU32" s="302">
        <v>2</v>
      </c>
      <c r="AV32" s="303">
        <v>4</v>
      </c>
      <c r="AW32" s="303">
        <v>7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1</v>
      </c>
    </row>
    <row r="33" spans="2:55" ht="18" customHeight="1" x14ac:dyDescent="0.2">
      <c r="C33" s="595" t="s">
        <v>594</v>
      </c>
      <c r="D33" s="562"/>
      <c r="E33" s="595">
        <v>467</v>
      </c>
      <c r="F33" s="563"/>
      <c r="G33" s="364">
        <f t="shared" si="0"/>
        <v>20</v>
      </c>
      <c r="H33" s="703">
        <f t="shared" si="1"/>
        <v>0.41329499999999997</v>
      </c>
      <c r="I33" s="704">
        <f t="shared" si="2"/>
        <v>15.235166811800347</v>
      </c>
      <c r="J33" s="364">
        <f t="shared" si="3"/>
        <v>30</v>
      </c>
      <c r="K33" s="595">
        <v>2.8</v>
      </c>
      <c r="L33" s="719"/>
      <c r="M33" s="595"/>
      <c r="N33" s="719"/>
      <c r="O33" s="595">
        <v>1</v>
      </c>
      <c r="P33" s="719"/>
      <c r="Q33" s="595"/>
      <c r="R33" s="719"/>
      <c r="S33" s="595"/>
      <c r="T33" s="719"/>
      <c r="U33" s="595"/>
      <c r="V33" s="364">
        <f t="shared" si="4"/>
        <v>0.2</v>
      </c>
      <c r="W33" s="364">
        <f t="shared" si="5"/>
        <v>3</v>
      </c>
      <c r="X33" s="704">
        <f t="shared" si="6"/>
        <v>45.705500435401042</v>
      </c>
      <c r="AI33" s="100" t="s">
        <v>656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 t="str">
        <f t="shared" si="7"/>
        <v>JK</v>
      </c>
      <c r="AU33" s="299">
        <v>3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1</v>
      </c>
    </row>
    <row r="34" spans="2:55" ht="18" customHeight="1" x14ac:dyDescent="0.2">
      <c r="C34" s="595" t="s">
        <v>595</v>
      </c>
      <c r="D34" s="562"/>
      <c r="E34" s="595">
        <v>700</v>
      </c>
      <c r="F34" s="563"/>
      <c r="G34" s="364">
        <f t="shared" si="0"/>
        <v>20</v>
      </c>
      <c r="H34" s="703">
        <f t="shared" si="1"/>
        <v>0.61949999999999994</v>
      </c>
      <c r="I34" s="704">
        <f t="shared" si="2"/>
        <v>30.936005962190212</v>
      </c>
      <c r="J34" s="364">
        <f t="shared" si="3"/>
        <v>30</v>
      </c>
      <c r="K34" s="595">
        <v>2.8</v>
      </c>
      <c r="L34" s="719"/>
      <c r="M34" s="595"/>
      <c r="N34" s="719"/>
      <c r="O34" s="595">
        <v>1</v>
      </c>
      <c r="P34" s="719"/>
      <c r="Q34" s="595"/>
      <c r="R34" s="719"/>
      <c r="S34" s="595"/>
      <c r="T34" s="719"/>
      <c r="U34" s="595"/>
      <c r="V34" s="364">
        <f t="shared" si="4"/>
        <v>0.2</v>
      </c>
      <c r="W34" s="364">
        <f t="shared" si="5"/>
        <v>3</v>
      </c>
      <c r="X34" s="704">
        <f t="shared" si="6"/>
        <v>92.808017886570639</v>
      </c>
      <c r="AI34" s="221"/>
      <c r="AR34" s="199" t="s">
        <v>398</v>
      </c>
      <c r="AT34" s="299" t="str">
        <f t="shared" si="7"/>
        <v>KL</v>
      </c>
      <c r="AU34" s="299">
        <v>4</v>
      </c>
      <c r="AV34" s="300">
        <v>1</v>
      </c>
      <c r="AW34" s="300">
        <v>6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1</v>
      </c>
    </row>
    <row r="35" spans="2:55" ht="18" customHeight="1" x14ac:dyDescent="0.2">
      <c r="C35" s="595" t="s">
        <v>596</v>
      </c>
      <c r="D35" s="562"/>
      <c r="E35" s="595">
        <v>933</v>
      </c>
      <c r="F35" s="563"/>
      <c r="G35" s="364">
        <f t="shared" si="0"/>
        <v>26</v>
      </c>
      <c r="H35" s="703">
        <f t="shared" si="1"/>
        <v>0.48858284023668636</v>
      </c>
      <c r="I35" s="704">
        <f t="shared" si="2"/>
        <v>14.709727446150382</v>
      </c>
      <c r="J35" s="364">
        <f t="shared" si="3"/>
        <v>30</v>
      </c>
      <c r="K35" s="595">
        <v>2.8</v>
      </c>
      <c r="L35" s="719"/>
      <c r="M35" s="595"/>
      <c r="N35" s="719"/>
      <c r="O35" s="595">
        <v>1</v>
      </c>
      <c r="P35" s="719"/>
      <c r="Q35" s="595"/>
      <c r="R35" s="719"/>
      <c r="S35" s="595"/>
      <c r="T35" s="719"/>
      <c r="U35" s="595"/>
      <c r="V35" s="364">
        <f t="shared" si="4"/>
        <v>0.3</v>
      </c>
      <c r="W35" s="364">
        <f t="shared" si="5"/>
        <v>3.0999999999999996</v>
      </c>
      <c r="X35" s="704">
        <f t="shared" si="6"/>
        <v>45.600155083066177</v>
      </c>
      <c r="AI35" s="221"/>
      <c r="AJ35" s="200" t="s">
        <v>377</v>
      </c>
      <c r="AK35" s="211"/>
      <c r="AR35" s="296">
        <v>2</v>
      </c>
      <c r="AT35" s="299" t="str">
        <f t="shared" si="7"/>
        <v>LM</v>
      </c>
      <c r="AU35" s="299">
        <v>4</v>
      </c>
      <c r="AV35" s="300">
        <v>1</v>
      </c>
      <c r="AW35" s="300">
        <v>6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1</v>
      </c>
    </row>
    <row r="36" spans="2:55" ht="18" customHeight="1" x14ac:dyDescent="0.2">
      <c r="C36" s="595" t="s">
        <v>597</v>
      </c>
      <c r="D36" s="562"/>
      <c r="E36" s="595">
        <v>1167</v>
      </c>
      <c r="F36" s="563"/>
      <c r="G36" s="364">
        <f t="shared" si="0"/>
        <v>26</v>
      </c>
      <c r="H36" s="703">
        <f t="shared" si="1"/>
        <v>0.6111213017751479</v>
      </c>
      <c r="I36" s="704">
        <f t="shared" si="2"/>
        <v>21.761345658219895</v>
      </c>
      <c r="J36" s="364">
        <f t="shared" si="3"/>
        <v>30</v>
      </c>
      <c r="K36" s="595">
        <v>2.8</v>
      </c>
      <c r="L36" s="719"/>
      <c r="M36" s="595"/>
      <c r="N36" s="719"/>
      <c r="O36" s="595">
        <v>1</v>
      </c>
      <c r="P36" s="719"/>
      <c r="Q36" s="595"/>
      <c r="R36" s="719"/>
      <c r="S36" s="595"/>
      <c r="T36" s="719"/>
      <c r="U36" s="595"/>
      <c r="V36" s="364">
        <f t="shared" si="4"/>
        <v>0.3</v>
      </c>
      <c r="W36" s="364">
        <f t="shared" si="5"/>
        <v>3.0999999999999996</v>
      </c>
      <c r="X36" s="704">
        <f t="shared" si="6"/>
        <v>67.460171540481667</v>
      </c>
      <c r="AI36" s="221"/>
      <c r="AJ36" s="169" t="s">
        <v>378</v>
      </c>
      <c r="AK36" s="120" t="s">
        <v>379</v>
      </c>
      <c r="AR36" s="258" t="s">
        <v>493</v>
      </c>
      <c r="AT36" s="299" t="str">
        <f t="shared" si="7"/>
        <v>MN</v>
      </c>
      <c r="AU36" s="299">
        <v>5</v>
      </c>
      <c r="AV36" s="300">
        <v>1</v>
      </c>
      <c r="AW36" s="300">
        <v>6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1</v>
      </c>
    </row>
    <row r="37" spans="2:55" ht="18" customHeight="1" x14ac:dyDescent="0.2">
      <c r="C37" s="595" t="s">
        <v>598</v>
      </c>
      <c r="D37" s="562"/>
      <c r="E37" s="595">
        <v>1400</v>
      </c>
      <c r="F37" s="563"/>
      <c r="G37" s="364">
        <f t="shared" si="0"/>
        <v>26</v>
      </c>
      <c r="H37" s="703">
        <f t="shared" si="1"/>
        <v>0.7331360946745562</v>
      </c>
      <c r="I37" s="704">
        <f t="shared" si="2"/>
        <v>29.925113875221601</v>
      </c>
      <c r="J37" s="364">
        <f t="shared" si="3"/>
        <v>30</v>
      </c>
      <c r="K37" s="595">
        <v>15</v>
      </c>
      <c r="L37" s="719"/>
      <c r="M37" s="595">
        <v>3</v>
      </c>
      <c r="N37" s="719"/>
      <c r="O37" s="595">
        <v>1</v>
      </c>
      <c r="P37" s="719"/>
      <c r="Q37" s="595"/>
      <c r="R37" s="719"/>
      <c r="S37" s="595"/>
      <c r="T37" s="719"/>
      <c r="U37" s="595"/>
      <c r="V37" s="364">
        <f t="shared" si="4"/>
        <v>2.0999999999999996</v>
      </c>
      <c r="W37" s="364">
        <f t="shared" si="5"/>
        <v>17.100000000000001</v>
      </c>
      <c r="X37" s="704">
        <f t="shared" si="6"/>
        <v>511.71944726628942</v>
      </c>
      <c r="AI37" s="221"/>
      <c r="AJ37" s="98" t="s">
        <v>493</v>
      </c>
      <c r="AK37" s="178">
        <v>1</v>
      </c>
      <c r="AR37" s="258" t="s">
        <v>494</v>
      </c>
      <c r="AT37" s="299" t="str">
        <f t="shared" si="7"/>
        <v>NO</v>
      </c>
      <c r="AU37" s="299">
        <v>5</v>
      </c>
      <c r="AV37" s="300">
        <v>1</v>
      </c>
      <c r="AW37" s="300">
        <v>6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1</v>
      </c>
    </row>
    <row r="38" spans="2:55" ht="18" customHeight="1" x14ac:dyDescent="0.2">
      <c r="C38" s="595" t="s">
        <v>599</v>
      </c>
      <c r="D38" s="562"/>
      <c r="E38" s="595">
        <v>1400</v>
      </c>
      <c r="F38" s="563"/>
      <c r="G38" s="364">
        <f t="shared" si="0"/>
        <v>26</v>
      </c>
      <c r="H38" s="703">
        <f t="shared" si="1"/>
        <v>0.7331360946745562</v>
      </c>
      <c r="I38" s="704">
        <f t="shared" si="2"/>
        <v>29.925113875221601</v>
      </c>
      <c r="J38" s="364">
        <f t="shared" si="3"/>
        <v>30</v>
      </c>
      <c r="K38" s="595">
        <v>8.5</v>
      </c>
      <c r="L38" s="719"/>
      <c r="M38" s="595">
        <v>4</v>
      </c>
      <c r="N38" s="719"/>
      <c r="O38" s="595">
        <v>1</v>
      </c>
      <c r="P38" s="719"/>
      <c r="Q38" s="595"/>
      <c r="R38" s="719"/>
      <c r="S38" s="595"/>
      <c r="T38" s="719"/>
      <c r="U38" s="595"/>
      <c r="V38" s="364">
        <f t="shared" si="4"/>
        <v>2.6999999999999997</v>
      </c>
      <c r="W38" s="364">
        <f t="shared" si="5"/>
        <v>11.2</v>
      </c>
      <c r="X38" s="704">
        <f t="shared" si="6"/>
        <v>335.16127540248192</v>
      </c>
      <c r="AI38" s="221"/>
      <c r="AJ38" s="100" t="s">
        <v>495</v>
      </c>
      <c r="AK38" s="128">
        <v>1.3</v>
      </c>
      <c r="AT38" s="299" t="str">
        <f t="shared" si="7"/>
        <v>OP</v>
      </c>
      <c r="AU38" s="299">
        <v>5</v>
      </c>
      <c r="AV38" s="300">
        <v>4</v>
      </c>
      <c r="AW38" s="300">
        <v>6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1</v>
      </c>
    </row>
    <row r="39" spans="2:55" ht="18" customHeight="1" thickBot="1" x14ac:dyDescent="0.25">
      <c r="C39" s="639"/>
      <c r="D39" s="640"/>
      <c r="E39" s="639"/>
      <c r="F39" s="641"/>
      <c r="G39" s="705">
        <f t="shared" si="0"/>
        <v>0</v>
      </c>
      <c r="H39" s="706">
        <f t="shared" si="1"/>
        <v>0</v>
      </c>
      <c r="I39" s="707">
        <f t="shared" si="2"/>
        <v>0</v>
      </c>
      <c r="J39" s="705">
        <f t="shared" si="3"/>
        <v>0</v>
      </c>
      <c r="K39" s="639"/>
      <c r="L39" s="720"/>
      <c r="M39" s="639"/>
      <c r="N39" s="720"/>
      <c r="O39" s="639"/>
      <c r="P39" s="720"/>
      <c r="Q39" s="639"/>
      <c r="R39" s="720"/>
      <c r="S39" s="639"/>
      <c r="T39" s="720"/>
      <c r="U39" s="639"/>
      <c r="V39" s="705">
        <f>IF(AU40=1,0, INDEX($AK$25:$AP$33,$AV40,$AU40-1)*M39+INDEX($AK$25:$AP$33,$AW40,$AU40-1)*O39+INDEX($AK$25:$AP$33,$AX40,$AU40-1)*Q39+INDEX($AK$25:$AP$33,$AY40,$AU40-1)*S39+INDEX($AK$25:$AP$33,$AZ40,$AU40-1)*U39+INDEX($AK$25:$AP$33,$BA40,$AU40-1)*AK102+INDEX($AK$25:$AP$33,$BB40,$AU40-1)*AM102)</f>
        <v>0</v>
      </c>
      <c r="W39" s="705">
        <f t="shared" si="5"/>
        <v>0</v>
      </c>
      <c r="X39" s="707">
        <f t="shared" si="6"/>
        <v>0</v>
      </c>
      <c r="AI39" s="221"/>
      <c r="AT39" s="299" t="str">
        <f t="shared" si="7"/>
        <v>PA</v>
      </c>
      <c r="AU39" s="299">
        <v>5</v>
      </c>
      <c r="AV39" s="300">
        <v>4</v>
      </c>
      <c r="AW39" s="300">
        <v>6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1</v>
      </c>
    </row>
    <row r="40" spans="2:55" ht="18" customHeight="1" x14ac:dyDescent="0.2">
      <c r="L40" s="490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642">
        <v>3.6041044903594517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563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481" t="s">
        <v>571</v>
      </c>
      <c r="D45" s="556"/>
      <c r="E45" s="556"/>
      <c r="F45" s="556"/>
      <c r="G45" s="565" t="s">
        <v>605</v>
      </c>
      <c r="H45" s="643">
        <v>0.5</v>
      </c>
      <c r="J45" s="490" t="s">
        <v>616</v>
      </c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292" t="s">
        <v>451</v>
      </c>
      <c r="D46" s="294"/>
      <c r="E46" s="294"/>
      <c r="F46" s="294"/>
      <c r="G46" s="290" t="s">
        <v>614</v>
      </c>
      <c r="H46" s="523">
        <v>30</v>
      </c>
      <c r="J46" s="490" t="s">
        <v>615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452</v>
      </c>
      <c r="D47" s="294"/>
      <c r="E47" s="294"/>
      <c r="F47" s="294"/>
      <c r="G47" s="290"/>
      <c r="H47" s="214"/>
      <c r="J47" s="346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691</v>
      </c>
      <c r="D48" s="294"/>
      <c r="E48" s="294"/>
      <c r="F48" s="294"/>
      <c r="G48" s="290" t="s">
        <v>605</v>
      </c>
      <c r="H48" s="633">
        <f>H41+H45+H46/1000</f>
        <v>4.1341044903594524</v>
      </c>
      <c r="J48" s="346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.75" thickBot="1" x14ac:dyDescent="0.25">
      <c r="B49" s="197"/>
      <c r="C49" s="428" t="s">
        <v>692</v>
      </c>
      <c r="D49" s="427"/>
      <c r="E49" s="427"/>
      <c r="F49" s="427"/>
      <c r="G49" s="558" t="s">
        <v>30</v>
      </c>
      <c r="H49" s="582">
        <v>0</v>
      </c>
      <c r="J49" s="346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">
      <c r="B50" s="197"/>
      <c r="J50" s="346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319" t="s">
        <v>562</v>
      </c>
      <c r="D51" s="294"/>
      <c r="E51" s="294"/>
      <c r="F51" s="294"/>
      <c r="H51" s="294"/>
      <c r="J51" s="346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5">
      <c r="B52" s="197"/>
      <c r="C52" s="481" t="s">
        <v>438</v>
      </c>
      <c r="D52" s="556"/>
      <c r="E52" s="556"/>
      <c r="F52" s="556"/>
      <c r="G52" s="565" t="s">
        <v>414</v>
      </c>
      <c r="H52" s="644">
        <f>H8</f>
        <v>1398</v>
      </c>
      <c r="J52" s="346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5">
      <c r="B53" s="197"/>
      <c r="C53" s="436" t="s">
        <v>472</v>
      </c>
      <c r="D53" s="438"/>
      <c r="E53" s="438"/>
      <c r="F53" s="438"/>
      <c r="G53" s="448" t="s">
        <v>605</v>
      </c>
      <c r="H53" s="645">
        <f>H48+H49</f>
        <v>4.1341044903594524</v>
      </c>
      <c r="J53" s="346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C54" s="294"/>
      <c r="D54" s="294"/>
      <c r="E54" s="294"/>
      <c r="F54" s="294"/>
      <c r="G54" s="294"/>
      <c r="J54" s="346"/>
      <c r="AI54" s="221"/>
      <c r="AT54" s="3"/>
      <c r="AU54" s="3"/>
      <c r="AV54" s="3"/>
      <c r="AW54" s="3"/>
      <c r="AX54" s="3"/>
      <c r="BC54" s="220"/>
    </row>
    <row r="55" spans="2:55" ht="16.5" thickBot="1" x14ac:dyDescent="0.3">
      <c r="B55" s="197"/>
      <c r="C55" s="319" t="s">
        <v>456</v>
      </c>
      <c r="D55" s="294"/>
      <c r="E55" s="294"/>
      <c r="F55" s="294"/>
      <c r="G55" s="294"/>
      <c r="J55" s="346"/>
      <c r="AI55" s="221"/>
      <c r="AT55" s="3"/>
      <c r="AU55" s="3"/>
      <c r="AV55" s="3"/>
      <c r="AW55" s="3"/>
      <c r="AX55" s="3"/>
      <c r="BC55" s="220"/>
    </row>
    <row r="56" spans="2:55" ht="19.5" x14ac:dyDescent="0.35">
      <c r="B56" s="197"/>
      <c r="C56" s="646" t="s">
        <v>659</v>
      </c>
      <c r="D56" s="647"/>
      <c r="E56" s="647"/>
      <c r="F56" s="647"/>
      <c r="G56" s="647"/>
      <c r="J56" s="346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46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346"/>
      <c r="AT58" s="3"/>
      <c r="AU58" s="3"/>
      <c r="AV58" s="3"/>
      <c r="AW58" s="3"/>
      <c r="AX58" s="3"/>
    </row>
    <row r="59" spans="2:55" ht="12.75" customHeight="1" x14ac:dyDescent="0.2">
      <c r="B59" s="197"/>
      <c r="C59" s="634">
        <v>15</v>
      </c>
      <c r="D59" s="653">
        <v>96</v>
      </c>
      <c r="E59" s="213">
        <v>13</v>
      </c>
      <c r="F59" s="699">
        <f t="shared" ref="F59:F65" si="8">(PI()*E59^2)/(4*1000)</f>
        <v>0.13273228961416877</v>
      </c>
      <c r="G59" s="700">
        <f>IF(D59*F59=0,"",D59*F59)</f>
        <v>12.742299802960202</v>
      </c>
      <c r="J59" s="346"/>
      <c r="AT59" s="3"/>
      <c r="AU59" s="3"/>
      <c r="AV59" s="3"/>
      <c r="AW59" s="3"/>
      <c r="AX59" s="3"/>
    </row>
    <row r="60" spans="2:55" x14ac:dyDescent="0.2">
      <c r="B60" s="197"/>
      <c r="C60" s="552">
        <v>18</v>
      </c>
      <c r="D60" s="654">
        <v>11</v>
      </c>
      <c r="E60" s="293">
        <v>16</v>
      </c>
      <c r="F60" s="699">
        <f t="shared" si="8"/>
        <v>0.20106192982974677</v>
      </c>
      <c r="G60" s="700">
        <f t="shared" ref="G60:G65" si="9">IF(D60*F60=0,"",D60*F60)</f>
        <v>2.2116812281272145</v>
      </c>
      <c r="J60" s="346"/>
      <c r="AT60" s="3"/>
      <c r="AU60" s="3"/>
      <c r="AV60" s="3"/>
      <c r="AW60" s="3"/>
      <c r="AX60" s="3"/>
    </row>
    <row r="61" spans="2:55" x14ac:dyDescent="0.2">
      <c r="B61" s="197"/>
      <c r="C61" s="552">
        <v>22</v>
      </c>
      <c r="D61" s="654">
        <v>59</v>
      </c>
      <c r="E61" s="293">
        <v>20</v>
      </c>
      <c r="F61" s="699">
        <f t="shared" si="8"/>
        <v>0.31415926535897931</v>
      </c>
      <c r="G61" s="700">
        <f t="shared" si="9"/>
        <v>18.535396656179778</v>
      </c>
      <c r="J61" s="490" t="s">
        <v>478</v>
      </c>
      <c r="AT61" s="3"/>
      <c r="AU61" s="3"/>
      <c r="AV61" s="3"/>
      <c r="AW61" s="3"/>
      <c r="AX61" s="3"/>
    </row>
    <row r="62" spans="2:55" x14ac:dyDescent="0.2">
      <c r="B62" s="197"/>
      <c r="C62" s="552">
        <v>28</v>
      </c>
      <c r="D62" s="654">
        <v>125</v>
      </c>
      <c r="E62" s="293">
        <v>26</v>
      </c>
      <c r="F62" s="699">
        <f t="shared" si="8"/>
        <v>0.5309291584566751</v>
      </c>
      <c r="G62" s="700">
        <f t="shared" si="9"/>
        <v>66.366144807084382</v>
      </c>
      <c r="J62" s="348"/>
      <c r="AT62" s="3"/>
      <c r="AU62" s="3"/>
      <c r="AV62" s="3"/>
      <c r="AW62" s="3"/>
      <c r="AX62" s="3"/>
    </row>
    <row r="63" spans="2:55" x14ac:dyDescent="0.2">
      <c r="B63" s="197"/>
      <c r="C63" s="552">
        <v>35</v>
      </c>
      <c r="D63" s="654">
        <v>19</v>
      </c>
      <c r="E63" s="293">
        <v>33</v>
      </c>
      <c r="F63" s="699">
        <f t="shared" si="8"/>
        <v>0.85529859993982116</v>
      </c>
      <c r="G63" s="700">
        <f t="shared" si="9"/>
        <v>16.250673398856602</v>
      </c>
      <c r="J63" s="348"/>
      <c r="AT63" s="3"/>
      <c r="AU63" s="3"/>
      <c r="AV63" s="3"/>
      <c r="AW63" s="3"/>
      <c r="AX63" s="3"/>
    </row>
    <row r="64" spans="2:55" x14ac:dyDescent="0.2">
      <c r="B64" s="197"/>
      <c r="C64" s="552">
        <v>42</v>
      </c>
      <c r="D64" s="654"/>
      <c r="E64" s="293">
        <v>40</v>
      </c>
      <c r="F64" s="699">
        <f t="shared" si="8"/>
        <v>1.2566370614359172</v>
      </c>
      <c r="G64" s="700" t="str">
        <f t="shared" si="9"/>
        <v/>
      </c>
      <c r="J64" s="348"/>
      <c r="AT64" s="3"/>
      <c r="AU64" s="3"/>
      <c r="AV64" s="3"/>
      <c r="AW64" s="3"/>
      <c r="AX64" s="3"/>
    </row>
    <row r="65" spans="1:50" ht="13.5" thickBot="1" x14ac:dyDescent="0.25">
      <c r="B65" s="197"/>
      <c r="C65" s="586">
        <v>54</v>
      </c>
      <c r="D65" s="655"/>
      <c r="E65" s="576">
        <v>51.6</v>
      </c>
      <c r="F65" s="701">
        <f t="shared" si="8"/>
        <v>2.09116973393551</v>
      </c>
      <c r="G65" s="702" t="str">
        <f t="shared" si="9"/>
        <v/>
      </c>
      <c r="J65" s="348"/>
      <c r="AT65" s="3"/>
      <c r="AU65" s="3"/>
      <c r="AV65" s="3"/>
      <c r="AW65" s="3"/>
      <c r="AX65" s="3"/>
    </row>
    <row r="66" spans="1:50" x14ac:dyDescent="0.2">
      <c r="B66" s="197"/>
      <c r="C66" s="196"/>
      <c r="D66" s="3"/>
      <c r="E66" s="197"/>
      <c r="F66" s="650" t="s">
        <v>409</v>
      </c>
      <c r="G66" s="651">
        <f>SUM($G$59:$G$65)</f>
        <v>116.10619589320818</v>
      </c>
      <c r="J66" s="348"/>
      <c r="AT66" s="3"/>
      <c r="AU66" s="3"/>
      <c r="AV66" s="3"/>
      <c r="AW66" s="3"/>
      <c r="AX66" s="3"/>
    </row>
    <row r="67" spans="1:50" x14ac:dyDescent="0.2">
      <c r="B67" s="197"/>
      <c r="J67" s="348"/>
      <c r="AT67" s="3"/>
      <c r="AU67" s="3"/>
      <c r="AV67" s="3"/>
      <c r="AW67" s="3"/>
      <c r="AX67" s="3"/>
    </row>
    <row r="68" spans="1:50" ht="19.5" x14ac:dyDescent="0.35">
      <c r="A68" s="5"/>
      <c r="B68" s="197"/>
      <c r="C68" s="481" t="s">
        <v>660</v>
      </c>
      <c r="D68" s="556"/>
      <c r="E68" s="556"/>
      <c r="F68" s="556"/>
      <c r="G68" s="565" t="s">
        <v>408</v>
      </c>
      <c r="H68" s="643">
        <v>1.3</v>
      </c>
      <c r="J68" s="490" t="s">
        <v>464</v>
      </c>
      <c r="AT68" s="3"/>
      <c r="AU68" s="3"/>
      <c r="AV68" s="3"/>
      <c r="AW68" s="3"/>
      <c r="AX68" s="3"/>
    </row>
    <row r="69" spans="1:50" ht="15" x14ac:dyDescent="0.2">
      <c r="B69" s="197"/>
      <c r="C69" s="438"/>
      <c r="D69" s="438"/>
      <c r="E69" s="438"/>
      <c r="F69" s="438"/>
      <c r="G69" s="448" t="s">
        <v>373</v>
      </c>
      <c r="H69" s="467">
        <f>$H$68*$H$5</f>
        <v>15.600000000000001</v>
      </c>
      <c r="J69" s="349"/>
    </row>
    <row r="70" spans="1:50" ht="15" x14ac:dyDescent="0.2">
      <c r="B70" s="197"/>
      <c r="C70" s="294"/>
      <c r="D70" s="294"/>
      <c r="E70" s="294"/>
      <c r="F70" s="294"/>
      <c r="G70" s="290"/>
      <c r="H70" s="315"/>
      <c r="J70" s="349"/>
    </row>
    <row r="71" spans="1:50" ht="15.75" thickBot="1" x14ac:dyDescent="0.25">
      <c r="B71" s="197"/>
      <c r="C71" s="428" t="s">
        <v>664</v>
      </c>
      <c r="D71" s="427"/>
      <c r="E71" s="427"/>
      <c r="F71" s="427"/>
      <c r="G71" s="558"/>
      <c r="H71" s="652"/>
      <c r="I71" s="522"/>
      <c r="J71" s="349"/>
    </row>
    <row r="72" spans="1:50" ht="15" x14ac:dyDescent="0.2">
      <c r="B72" s="197"/>
      <c r="D72" s="377"/>
      <c r="E72" s="335" t="s">
        <v>636</v>
      </c>
      <c r="F72" s="335" t="s">
        <v>637</v>
      </c>
      <c r="G72" s="335" t="s">
        <v>638</v>
      </c>
      <c r="H72" s="335" t="s">
        <v>639</v>
      </c>
      <c r="I72" s="335" t="s">
        <v>640</v>
      </c>
      <c r="J72" s="349"/>
    </row>
    <row r="73" spans="1:50" x14ac:dyDescent="0.2">
      <c r="B73" s="197"/>
      <c r="D73" s="378" t="s">
        <v>666</v>
      </c>
      <c r="E73" s="335">
        <f>Datos!E52</f>
        <v>10</v>
      </c>
      <c r="F73" s="335">
        <f>Datos!F52</f>
        <v>0</v>
      </c>
      <c r="G73" s="335">
        <f>Datos!G52</f>
        <v>0</v>
      </c>
      <c r="H73" s="335">
        <f>Datos!H52</f>
        <v>0</v>
      </c>
      <c r="I73" s="335">
        <f>Datos!I52</f>
        <v>0</v>
      </c>
      <c r="J73" s="349"/>
    </row>
    <row r="74" spans="1:50" x14ac:dyDescent="0.2">
      <c r="B74" s="197"/>
      <c r="D74" s="378" t="s">
        <v>662</v>
      </c>
      <c r="E74" s="635">
        <f>Datos!E70</f>
        <v>0</v>
      </c>
      <c r="F74" s="635">
        <f>Datos!F70</f>
        <v>0</v>
      </c>
      <c r="G74" s="635">
        <f>Datos!G70</f>
        <v>0</v>
      </c>
      <c r="H74" s="635">
        <f>Datos!H70</f>
        <v>0</v>
      </c>
      <c r="I74" s="635">
        <f>Datos!I70</f>
        <v>0</v>
      </c>
      <c r="J74" s="349"/>
    </row>
    <row r="75" spans="1:50" x14ac:dyDescent="0.2">
      <c r="B75" s="197"/>
      <c r="C75" s="244"/>
      <c r="D75" s="656" t="s">
        <v>663</v>
      </c>
      <c r="E75" s="614">
        <v>5</v>
      </c>
      <c r="F75" s="657"/>
      <c r="G75" s="657"/>
      <c r="H75" s="657"/>
      <c r="I75" s="657"/>
      <c r="J75" s="490" t="s">
        <v>667</v>
      </c>
    </row>
    <row r="76" spans="1:50" x14ac:dyDescent="0.2">
      <c r="B76" s="197"/>
      <c r="D76" s="317"/>
      <c r="E76" s="376"/>
      <c r="F76" s="376"/>
      <c r="G76" s="376"/>
      <c r="H76" s="376"/>
      <c r="I76" s="376"/>
      <c r="J76" s="349"/>
    </row>
    <row r="77" spans="1:50" ht="17.25" customHeight="1" x14ac:dyDescent="0.35">
      <c r="B77" s="197"/>
      <c r="C77" s="481" t="s">
        <v>665</v>
      </c>
      <c r="D77" s="556"/>
      <c r="E77" s="556"/>
      <c r="F77" s="556"/>
      <c r="G77" s="565" t="s">
        <v>373</v>
      </c>
      <c r="H77" s="658">
        <f>SUMPRODUCT(E73:I73,E75:I75)</f>
        <v>50</v>
      </c>
      <c r="J77" s="349"/>
    </row>
    <row r="78" spans="1:50" ht="14.25" customHeight="1" x14ac:dyDescent="0.2">
      <c r="B78" s="197"/>
      <c r="C78" s="292"/>
      <c r="D78" s="294"/>
      <c r="E78" s="294"/>
      <c r="F78" s="294"/>
      <c r="G78" s="290"/>
      <c r="H78" s="315"/>
      <c r="J78" s="349"/>
    </row>
    <row r="79" spans="1:50" ht="16.5" customHeight="1" x14ac:dyDescent="0.35">
      <c r="B79" s="197"/>
      <c r="C79" s="292" t="s">
        <v>661</v>
      </c>
      <c r="D79" s="294"/>
      <c r="E79" s="294"/>
      <c r="F79" s="294"/>
      <c r="G79" s="294"/>
      <c r="J79" s="349"/>
    </row>
    <row r="80" spans="1:50" ht="15" x14ac:dyDescent="0.2">
      <c r="B80" s="197"/>
      <c r="C80" s="292" t="s">
        <v>564</v>
      </c>
      <c r="D80" s="294"/>
      <c r="E80" s="294"/>
      <c r="F80" s="294"/>
      <c r="G80" s="290" t="s">
        <v>373</v>
      </c>
      <c r="H80" s="637">
        <f>$H$69+$G$66+H77</f>
        <v>181.70619589320819</v>
      </c>
      <c r="J80" s="349"/>
    </row>
    <row r="81" spans="2:39" x14ac:dyDescent="0.2">
      <c r="B81" s="196"/>
      <c r="C81" s="294"/>
      <c r="D81" s="294"/>
      <c r="E81" s="294"/>
      <c r="F81" s="294"/>
      <c r="G81" s="294"/>
      <c r="J81" s="349"/>
    </row>
    <row r="82" spans="2:39" ht="15" x14ac:dyDescent="0.2">
      <c r="C82" s="481" t="s">
        <v>526</v>
      </c>
      <c r="D82" s="556"/>
      <c r="E82" s="556"/>
      <c r="F82" s="556"/>
      <c r="G82" s="565" t="s">
        <v>469</v>
      </c>
      <c r="H82" s="643">
        <v>1.5</v>
      </c>
      <c r="J82" s="490" t="s">
        <v>684</v>
      </c>
    </row>
    <row r="83" spans="2:39" ht="15" x14ac:dyDescent="0.2">
      <c r="C83" s="292" t="s">
        <v>527</v>
      </c>
      <c r="D83" s="294"/>
      <c r="E83" s="294"/>
      <c r="F83" s="294"/>
      <c r="G83" s="290" t="s">
        <v>469</v>
      </c>
      <c r="H83" s="523">
        <v>4</v>
      </c>
      <c r="J83" s="490" t="s">
        <v>470</v>
      </c>
      <c r="K83" s="110"/>
      <c r="L83" s="217"/>
      <c r="M83" s="5"/>
    </row>
    <row r="84" spans="2:39" ht="15" x14ac:dyDescent="0.2">
      <c r="C84" s="292" t="s">
        <v>525</v>
      </c>
      <c r="D84" s="294"/>
      <c r="E84" s="294"/>
      <c r="F84" s="294"/>
      <c r="G84" s="290"/>
      <c r="H84" s="637">
        <f>H83/(H83-H82)</f>
        <v>1.6</v>
      </c>
      <c r="J84" s="349"/>
      <c r="K84" s="110"/>
      <c r="L84" s="217"/>
      <c r="M84" s="5"/>
    </row>
    <row r="85" spans="2:39" ht="16.5" thickBot="1" x14ac:dyDescent="0.3">
      <c r="C85" s="428" t="s">
        <v>471</v>
      </c>
      <c r="D85" s="427"/>
      <c r="E85" s="427"/>
      <c r="F85" s="427"/>
      <c r="G85" s="558" t="s">
        <v>373</v>
      </c>
      <c r="H85" s="659">
        <f>$H$80*($H$83/($H$83-$H$82))*INDEX(AK52:AK53,AR35,1)</f>
        <v>23.258393074330648</v>
      </c>
      <c r="J85" s="490" t="s">
        <v>569</v>
      </c>
    </row>
    <row r="86" spans="2:39" ht="15.75" x14ac:dyDescent="0.25">
      <c r="B86" s="5"/>
      <c r="C86" s="97"/>
      <c r="G86" s="3"/>
      <c r="H86" s="554"/>
      <c r="J86" s="237"/>
      <c r="AJ86" s="246"/>
      <c r="AK86" s="213"/>
      <c r="AL86" s="246"/>
      <c r="AM86" s="213"/>
    </row>
    <row r="87" spans="2:39" ht="13.5" thickBot="1" x14ac:dyDescent="0.25">
      <c r="B87" s="422"/>
      <c r="C87" s="422"/>
      <c r="D87" s="422"/>
      <c r="E87" s="422"/>
      <c r="F87" s="422"/>
      <c r="G87" s="422"/>
      <c r="H87" s="422"/>
      <c r="I87" s="596"/>
      <c r="J87" s="422"/>
      <c r="K87" s="422"/>
      <c r="L87" s="422"/>
      <c r="M87" s="422"/>
      <c r="N87" s="422"/>
      <c r="O87" s="422"/>
      <c r="P87" s="422"/>
      <c r="Q87" s="422"/>
      <c r="R87" s="422"/>
      <c r="S87" s="422"/>
      <c r="T87" s="422"/>
      <c r="U87" s="422"/>
      <c r="V87" s="422"/>
      <c r="W87" s="422"/>
      <c r="X87" s="422"/>
      <c r="AJ87" s="105"/>
      <c r="AK87" s="197"/>
      <c r="AL87" s="105"/>
      <c r="AM87" s="197"/>
    </row>
    <row r="88" spans="2:39" ht="15" customHeight="1" thickTop="1" x14ac:dyDescent="0.2">
      <c r="B88" s="546" t="s">
        <v>722</v>
      </c>
      <c r="H88" s="6"/>
      <c r="I88" s="6"/>
      <c r="AJ88" s="105"/>
      <c r="AK88" s="197"/>
      <c r="AL88" s="105"/>
      <c r="AM88" s="197"/>
    </row>
    <row r="89" spans="2:39" ht="15.75" customHeight="1" x14ac:dyDescent="0.2">
      <c r="AJ89" s="105"/>
      <c r="AK89" s="197"/>
      <c r="AL89" s="105"/>
      <c r="AM89" s="197"/>
    </row>
    <row r="90" spans="2:39" ht="15" customHeight="1" x14ac:dyDescent="0.2">
      <c r="AJ90" s="105"/>
      <c r="AK90" s="197"/>
      <c r="AL90" s="105"/>
      <c r="AM90" s="197"/>
    </row>
    <row r="91" spans="2:39" x14ac:dyDescent="0.2">
      <c r="AJ91" s="105"/>
      <c r="AK91" s="197"/>
      <c r="AL91" s="105"/>
      <c r="AM91" s="197"/>
    </row>
    <row r="92" spans="2:39" x14ac:dyDescent="0.2">
      <c r="H92" s="6"/>
      <c r="I92" s="195"/>
      <c r="AJ92" s="105"/>
      <c r="AK92" s="197"/>
      <c r="AL92" s="105"/>
      <c r="AM92" s="197"/>
    </row>
    <row r="93" spans="2:39" x14ac:dyDescent="0.2">
      <c r="AJ93" s="105"/>
      <c r="AK93" s="197"/>
      <c r="AL93" s="105"/>
      <c r="AM93" s="197"/>
    </row>
    <row r="94" spans="2:39" x14ac:dyDescent="0.2">
      <c r="AJ94" s="105"/>
      <c r="AK94" s="197"/>
      <c r="AL94" s="105"/>
      <c r="AM94" s="197"/>
    </row>
    <row r="95" spans="2:39" x14ac:dyDescent="0.2">
      <c r="B95" s="196"/>
      <c r="C95" s="3"/>
      <c r="D95" s="197"/>
      <c r="E95" s="11"/>
      <c r="F95" s="11"/>
      <c r="H95" s="6"/>
      <c r="I95" s="216"/>
      <c r="AJ95" s="105"/>
      <c r="AK95" s="197"/>
      <c r="AL95" s="105"/>
      <c r="AM95" s="197"/>
    </row>
    <row r="96" spans="2:39" x14ac:dyDescent="0.2">
      <c r="B96" s="196"/>
      <c r="C96" s="3"/>
      <c r="D96" s="197"/>
      <c r="E96" s="11"/>
      <c r="F96" s="11"/>
      <c r="H96" s="6"/>
      <c r="I96" s="216"/>
      <c r="AJ96" s="105"/>
      <c r="AK96" s="197"/>
      <c r="AL96" s="105"/>
      <c r="AM96" s="197"/>
    </row>
    <row r="97" spans="1:39" x14ac:dyDescent="0.2">
      <c r="B97" s="196"/>
      <c r="C97" s="3"/>
      <c r="D97" s="197"/>
      <c r="E97" s="11"/>
      <c r="F97" s="11"/>
      <c r="AJ97" s="105"/>
      <c r="AK97" s="197"/>
      <c r="AL97" s="105"/>
      <c r="AM97" s="197"/>
    </row>
    <row r="98" spans="1:39" x14ac:dyDescent="0.2">
      <c r="AJ98" s="105"/>
      <c r="AK98" s="197"/>
      <c r="AL98" s="105"/>
      <c r="AM98" s="197"/>
    </row>
    <row r="99" spans="1:39" x14ac:dyDescent="0.2">
      <c r="H99" s="172"/>
      <c r="I99" s="192"/>
      <c r="J99" s="5"/>
      <c r="AJ99" s="105"/>
      <c r="AK99" s="197"/>
      <c r="AL99" s="105"/>
      <c r="AM99" s="197"/>
    </row>
    <row r="100" spans="1:39" x14ac:dyDescent="0.2">
      <c r="AJ100" s="105"/>
      <c r="AK100" s="197"/>
      <c r="AL100" s="105"/>
      <c r="AM100" s="197"/>
    </row>
    <row r="101" spans="1:39" x14ac:dyDescent="0.2">
      <c r="AJ101" s="105"/>
      <c r="AK101" s="197"/>
      <c r="AL101" s="105"/>
      <c r="AM101" s="197"/>
    </row>
    <row r="102" spans="1:39" x14ac:dyDescent="0.2">
      <c r="A102" s="5"/>
      <c r="AJ102" s="286"/>
      <c r="AK102" s="287"/>
      <c r="AL102" s="286"/>
      <c r="AM102" s="287"/>
    </row>
    <row r="106" spans="1:39" x14ac:dyDescent="0.2">
      <c r="C106" s="6"/>
      <c r="D106" s="6"/>
      <c r="E106" s="7"/>
    </row>
    <row r="107" spans="1:39" x14ac:dyDescent="0.2">
      <c r="D107" s="6"/>
      <c r="G107" s="6"/>
      <c r="H107" s="192"/>
      <c r="I107" s="5"/>
    </row>
    <row r="108" spans="1:39" x14ac:dyDescent="0.2">
      <c r="D108" s="6"/>
      <c r="E108" s="7"/>
      <c r="G108" s="6"/>
      <c r="H108" s="5"/>
      <c r="I108" s="5"/>
    </row>
    <row r="110" spans="1:39" x14ac:dyDescent="0.2">
      <c r="C110" s="6"/>
      <c r="D110" s="6"/>
      <c r="E110" s="19"/>
    </row>
    <row r="111" spans="1:39" x14ac:dyDescent="0.2">
      <c r="D111" s="6"/>
      <c r="E111" s="19"/>
      <c r="G111" s="6"/>
      <c r="H111" s="192"/>
      <c r="I111" s="5"/>
    </row>
    <row r="112" spans="1:39" x14ac:dyDescent="0.2">
      <c r="D112" s="6"/>
      <c r="E112" s="7"/>
      <c r="G112" s="6"/>
      <c r="H112" s="5"/>
      <c r="I112" s="5"/>
    </row>
    <row r="121" spans="2:4" x14ac:dyDescent="0.2">
      <c r="C121" s="7"/>
    </row>
    <row r="122" spans="2:4" x14ac:dyDescent="0.2">
      <c r="B122" s="5"/>
    </row>
    <row r="124" spans="2:4" x14ac:dyDescent="0.2">
      <c r="B124" s="5"/>
    </row>
    <row r="126" spans="2:4" x14ac:dyDescent="0.2">
      <c r="C126" s="6"/>
      <c r="D126" s="219"/>
    </row>
  </sheetData>
  <mergeCells count="6">
    <mergeCell ref="L22:U22"/>
    <mergeCell ref="B3:X3"/>
    <mergeCell ref="AV24:BB24"/>
    <mergeCell ref="AI20:AN20"/>
    <mergeCell ref="AJ23:AP23"/>
    <mergeCell ref="AJ22:AP22"/>
  </mergeCells>
  <phoneticPr fontId="56" type="noConversion"/>
  <conditionalFormatting sqref="I24:I39">
    <cfRule type="cellIs" dxfId="2" priority="1" stopIfTrue="1" operator="greaterThan">
      <formula>40</formula>
    </cfRule>
  </conditionalFormatting>
  <conditionalFormatting sqref="H24:H39">
    <cfRule type="cellIs" dxfId="1" priority="2" stopIfTrue="1" operator="between">
      <formula>$AR$29</formula>
      <formula>$AR$30</formula>
    </cfRule>
    <cfRule type="cellIs" dxfId="0" priority="3" stopIfTrue="1" operator="greaterThanOrEqual">
      <formula>$AR$30</formula>
    </cfRule>
  </conditionalFormatting>
  <pageMargins left="0.75" right="0.75" top="1" bottom="1" header="0" footer="0"/>
  <pageSetup paperSize="9" scale="34" orientation="landscape" r:id="rId1"/>
  <headerFooter alignWithMargins="0"/>
  <colBreaks count="1" manualBreakCount="1">
    <brk id="25" max="7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Drop Down 1">
              <controlPr defaultSize="0" autoLine="0" autoPict="0">
                <anchor moveWithCells="1">
                  <from>
                    <xdr:col>7</xdr:col>
                    <xdr:colOff>95250</xdr:colOff>
                    <xdr:row>9</xdr:row>
                    <xdr:rowOff>47625</xdr:rowOff>
                  </from>
                  <to>
                    <xdr:col>8</xdr:col>
                    <xdr:colOff>180975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Drop Down 2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Drop Down 3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Drop Down 4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Drop Down 5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Drop Down 6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Drop Down 7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Drop Down 8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Drop Down 9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Drop Down 10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5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6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Drop Down 14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20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1" name="Drop Down 18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22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23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24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25" name="Drop Down 22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26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27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28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29" name="Drop Down 34">
              <controlPr defaultSize="0" autoLine="0" autoPict="0">
                <anchor moveWithCells="1">
                  <from>
                    <xdr:col>6</xdr:col>
                    <xdr:colOff>790575</xdr:colOff>
                    <xdr:row>8</xdr:row>
                    <xdr:rowOff>47625</xdr:rowOff>
                  </from>
                  <to>
                    <xdr:col>8</xdr:col>
                    <xdr:colOff>180975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30" name="Drop Down 36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31" name="Drop Down 37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32" name="Drop Down 38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9" r:id="rId33" name="Drop Down 39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34" name="Drop Down 40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35" name="Drop Down 41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4" r:id="rId36" name="Drop Down 44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5" r:id="rId37" name="Drop Down 45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6" r:id="rId38" name="Drop Down 46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7" r:id="rId39" name="Drop Down 47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8" r:id="rId40" name="Drop Down 48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9" r:id="rId41" name="Drop Down 49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2" r:id="rId42" name="Drop Down 52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3" r:id="rId43" name="Drop Down 53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4" r:id="rId44" name="Drop Down 54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5" r:id="rId45" name="Drop Down 55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6" r:id="rId46" name="Drop Down 56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7" r:id="rId47" name="Drop Down 57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8" r:id="rId48" name="Drop Down 58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9" r:id="rId49" name="Drop Down 59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0" r:id="rId50" name="Drop Down 60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1" r:id="rId51" name="Drop Down 61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2" r:id="rId52" name="Drop Down 62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3" r:id="rId53" name="Drop Down 63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4" r:id="rId54" name="Drop Down 64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5" r:id="rId55" name="Drop Down 65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6" r:id="rId56" name="Drop Down 66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7" r:id="rId57" name="Drop Down 67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8" r:id="rId58" name="Drop Down 68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9" r:id="rId59" name="Drop Down 69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0" r:id="rId60" name="Drop Down 70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1" r:id="rId61" name="Drop Down 71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2" r:id="rId62" name="Drop Down 72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3" r:id="rId63" name="Drop Down 73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4" r:id="rId64" name="Drop Down 74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5" r:id="rId65" name="Drop Down 75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66" name="Drop Down 84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67" name="Drop Down 85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68" name="Drop Down 86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69" name="Drop Down 87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70" name="Drop Down 88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71" name="Drop Down 89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72" name="Drop Down 92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73" name="Drop Down 93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74" name="Drop Down 94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75" name="Drop Down 95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76" name="Drop Down 96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77" name="Drop Down 97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78" name="Drop Down 100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79" name="Drop Down 101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80" name="Drop Down 102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81" name="Drop Down 103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82" name="Drop Down 104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83" name="Drop Down 105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84" name="Drop Down 108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85" name="Drop Down 109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86" name="Drop Down 110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87" name="Drop Down 111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88" name="Drop Down 112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89" name="Drop Down 113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90" name="Drop Down 116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91" name="Drop Down 117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92" name="Drop Down 118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93" name="Drop Down 119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94" name="Drop Down 120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95" name="Drop Down 121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96" name="Drop Down 124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97" name="Drop Down 125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98" name="Drop Down 126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99" name="Drop Down 127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100" name="Drop Down 128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101" name="Drop Down 129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102" name="Drop Down 132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103" name="Drop Down 133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104" name="Drop Down 134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105" name="Drop Down 135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106" name="Drop Down 136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107" name="Drop Down 137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108" name="Check Box 142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723900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109" name="Check Box 143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723900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110" name="Check Box 144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723900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111" name="Check Box 145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723900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112" name="Check Box 146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723900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113" name="Check Box 147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723900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114" name="Check Box 148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115" name="Check Box 149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723900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116" name="Check Box 150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723900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117" name="Check Box 151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723900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118" name="Check Box 152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119" name="Check Box 153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723900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120" name="Check Box 154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121" name="Check Box 155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723900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122" name="Check Box 156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7" r:id="rId123" name="Check Box 157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723900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8" r:id="rId124" name="Button 158">
              <controlPr defaultSize="0" print="0" autoFill="0" autoPict="0" macro="[0]!CalculaPdctotal">
                <anchor moveWithCells="1" sizeWithCells="1">
                  <from>
                    <xdr:col>8</xdr:col>
                    <xdr:colOff>200025</xdr:colOff>
                    <xdr:row>40</xdr:row>
                    <xdr:rowOff>0</xdr:rowOff>
                  </from>
                  <to>
                    <xdr:col>10</xdr:col>
                    <xdr:colOff>323850</xdr:colOff>
                    <xdr:row>41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6A81D-C706-40B5-B6B0-35964E688ABD}">
  <sheetPr codeName="Hoja17">
    <pageSetUpPr fitToPage="1"/>
  </sheetPr>
  <dimension ref="A2:BD22"/>
  <sheetViews>
    <sheetView showGridLines="0" zoomScale="75" zoomScaleNormal="75" workbookViewId="0">
      <selection activeCell="G13" sqref="G13"/>
    </sheetView>
  </sheetViews>
  <sheetFormatPr baseColWidth="10" defaultRowHeight="12.75" x14ac:dyDescent="0.2"/>
  <cols>
    <col min="1" max="1" width="4" customWidth="1"/>
    <col min="2" max="2" width="4.42578125" customWidth="1"/>
    <col min="15" max="15" width="4" customWidth="1"/>
  </cols>
  <sheetData>
    <row r="2" spans="2:50" ht="9" customHeight="1" x14ac:dyDescent="0.2"/>
    <row r="3" spans="2:50" ht="15.75" x14ac:dyDescent="0.25">
      <c r="B3" s="758" t="s">
        <v>572</v>
      </c>
      <c r="C3" s="758"/>
      <c r="D3" s="758"/>
      <c r="E3" s="758"/>
      <c r="F3" s="758"/>
      <c r="G3" s="758"/>
      <c r="H3" s="758"/>
      <c r="I3" s="758"/>
      <c r="J3" s="758"/>
      <c r="K3" s="758"/>
      <c r="L3" s="758"/>
      <c r="M3" s="758"/>
      <c r="N3" s="758"/>
    </row>
    <row r="4" spans="2:50" x14ac:dyDescent="0.2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75" x14ac:dyDescent="0.25">
      <c r="B5" s="660"/>
      <c r="C5" s="319" t="s">
        <v>587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5" thickBot="1" x14ac:dyDescent="0.3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" x14ac:dyDescent="0.2">
      <c r="B7" s="197"/>
      <c r="C7" s="663" t="s">
        <v>573</v>
      </c>
      <c r="D7" s="664"/>
      <c r="E7" s="664"/>
      <c r="F7" s="664"/>
      <c r="G7" s="665" t="s">
        <v>634</v>
      </c>
      <c r="H7" s="667">
        <v>0.4</v>
      </c>
      <c r="J7" s="490" t="s">
        <v>729</v>
      </c>
      <c r="AJ7" s="3"/>
      <c r="AK7" s="35"/>
      <c r="AT7" s="3"/>
      <c r="AU7" s="3"/>
      <c r="AV7" s="3"/>
      <c r="AW7" s="3"/>
      <c r="AX7" s="3"/>
    </row>
    <row r="8" spans="2:50" ht="15" x14ac:dyDescent="0.2">
      <c r="B8" s="197"/>
      <c r="C8" s="97"/>
      <c r="G8" s="3" t="s">
        <v>574</v>
      </c>
      <c r="H8" s="315">
        <f>H7*Principal!$G$66</f>
        <v>11.184000000000001</v>
      </c>
      <c r="J8" s="33"/>
      <c r="AJ8" s="3"/>
      <c r="AK8" s="35"/>
      <c r="AT8" s="3"/>
      <c r="AU8" s="3"/>
      <c r="AV8" s="3"/>
      <c r="AW8" s="3"/>
      <c r="AX8" s="3"/>
    </row>
    <row r="9" spans="2:50" ht="15.75" x14ac:dyDescent="0.25">
      <c r="B9" s="197"/>
      <c r="C9" s="97" t="s">
        <v>575</v>
      </c>
      <c r="G9" s="3" t="s">
        <v>574</v>
      </c>
      <c r="H9" s="661">
        <f>H8/Principal!$H$12</f>
        <v>1.1184000000000001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">
      <c r="B10" s="197"/>
      <c r="C10" s="292" t="str">
        <f>IF(AT2=1,"Caudal lado primario","Caudal fluido caloportador")</f>
        <v>Caudal fluido caloportador</v>
      </c>
      <c r="G10" s="3" t="s">
        <v>414</v>
      </c>
      <c r="H10" s="708">
        <v>120</v>
      </c>
      <c r="AJ10" s="3"/>
      <c r="AK10" s="35"/>
      <c r="AT10" s="3"/>
      <c r="AU10" s="3"/>
      <c r="AV10" s="3"/>
      <c r="AW10" s="3"/>
      <c r="AX10" s="3"/>
    </row>
    <row r="11" spans="2:50" ht="15" x14ac:dyDescent="0.2">
      <c r="B11" s="197"/>
      <c r="C11" s="332" t="str">
        <f>IF(AT2=1,"Temp de entrada a intercamb lado primario","Temp. de entrada a intercambiador")</f>
        <v>Temp. de entrada a intercambiador</v>
      </c>
      <c r="D11" s="213"/>
      <c r="E11" s="213"/>
      <c r="F11" s="3"/>
      <c r="G11" s="3" t="s">
        <v>12</v>
      </c>
      <c r="H11" s="523">
        <v>60</v>
      </c>
      <c r="J11" s="33"/>
      <c r="AT11" s="3"/>
      <c r="AU11" s="3"/>
      <c r="AV11" s="3"/>
      <c r="AW11" s="3"/>
      <c r="AX11" s="3"/>
    </row>
    <row r="12" spans="2:50" ht="15.75" thickBot="1" x14ac:dyDescent="0.25">
      <c r="B12" s="197"/>
      <c r="C12" s="428" t="s">
        <v>417</v>
      </c>
      <c r="D12" s="522"/>
      <c r="E12" s="522"/>
      <c r="F12" s="522"/>
      <c r="G12" s="666"/>
      <c r="H12" s="604" t="str">
        <f>IF(CH_AcumInd!AR35=1,"agua sin aditivos","agua con anticongelante")</f>
        <v>agua con anticongelante</v>
      </c>
      <c r="J12" s="33"/>
      <c r="AT12" s="3"/>
      <c r="AU12" s="3"/>
      <c r="AV12" s="3"/>
      <c r="AW12" s="3"/>
      <c r="AX12" s="3"/>
    </row>
    <row r="13" spans="2:50" x14ac:dyDescent="0.2">
      <c r="B13" s="197"/>
      <c r="J13" s="33"/>
      <c r="AT13" s="3"/>
      <c r="AU13" s="3"/>
      <c r="AV13" s="3"/>
      <c r="AW13" s="3"/>
      <c r="AX13" s="3"/>
    </row>
    <row r="14" spans="2:50" x14ac:dyDescent="0.2">
      <c r="B14" s="197"/>
      <c r="J14" s="33"/>
      <c r="AT14" s="3"/>
      <c r="AU14" s="3"/>
      <c r="AV14" s="3"/>
      <c r="AW14" s="3"/>
      <c r="AX14" s="3"/>
    </row>
    <row r="15" spans="2:50" ht="15.75" x14ac:dyDescent="0.25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75" x14ac:dyDescent="0.25">
      <c r="B16" s="758" t="s">
        <v>588</v>
      </c>
      <c r="C16" s="758"/>
      <c r="D16" s="758"/>
      <c r="E16" s="758"/>
      <c r="F16" s="758"/>
      <c r="G16" s="758"/>
      <c r="H16" s="758"/>
      <c r="I16" s="758"/>
      <c r="J16" s="758"/>
      <c r="K16" s="758"/>
      <c r="L16" s="758"/>
      <c r="M16" s="758"/>
      <c r="N16" s="758"/>
      <c r="O16" s="243"/>
      <c r="P16" s="243"/>
    </row>
    <row r="17" spans="1:56" x14ac:dyDescent="0.2">
      <c r="B17" s="197"/>
      <c r="AX17" s="792"/>
      <c r="AY17" s="792"/>
      <c r="AZ17" s="792"/>
      <c r="BA17" s="792"/>
      <c r="BB17" s="792"/>
      <c r="BC17" s="792"/>
      <c r="BD17" s="792"/>
    </row>
    <row r="18" spans="1:56" ht="15.75" x14ac:dyDescent="0.25">
      <c r="B18" s="197"/>
      <c r="C18" s="627" t="s">
        <v>576</v>
      </c>
      <c r="D18" s="565"/>
      <c r="E18" s="565"/>
      <c r="F18" s="565"/>
      <c r="G18" s="565" t="s">
        <v>558</v>
      </c>
      <c r="H18" s="632">
        <v>16</v>
      </c>
      <c r="I18" s="213"/>
      <c r="J18" s="213"/>
      <c r="K18" s="213"/>
      <c r="L18" s="213"/>
      <c r="M18" s="213"/>
      <c r="AY18" s="3"/>
      <c r="AZ18" s="3"/>
    </row>
    <row r="19" spans="1:56" ht="16.5" thickBot="1" x14ac:dyDescent="0.25">
      <c r="A19" s="5"/>
      <c r="B19" s="197"/>
      <c r="C19" s="668" t="s">
        <v>559</v>
      </c>
      <c r="D19" s="669"/>
      <c r="E19" s="669"/>
      <c r="F19" s="669"/>
      <c r="G19" s="670" t="s">
        <v>560</v>
      </c>
      <c r="H19" s="594">
        <f>H18*25/14.3</f>
        <v>27.97202797202797</v>
      </c>
      <c r="I19" s="197"/>
      <c r="J19" s="662" t="s">
        <v>561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">
      <c r="B20" s="197"/>
      <c r="N20" s="197"/>
      <c r="O20" s="249"/>
      <c r="AA20" s="3"/>
      <c r="AY20" s="3"/>
      <c r="AZ20" s="3"/>
      <c r="BA20" s="3"/>
      <c r="BB20" s="3"/>
    </row>
    <row r="21" spans="1:56" ht="13.5" thickBot="1" x14ac:dyDescent="0.25">
      <c r="B21" s="671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4.25" customHeight="1" thickTop="1" x14ac:dyDescent="0.2">
      <c r="B22" s="546" t="s">
        <v>722</v>
      </c>
    </row>
  </sheetData>
  <mergeCells count="3">
    <mergeCell ref="AX17:BD17"/>
    <mergeCell ref="B16:N16"/>
    <mergeCell ref="B3:N3"/>
  </mergeCells>
  <phoneticPr fontId="56" type="noConversion"/>
  <pageMargins left="0.75" right="0.75" top="1" bottom="1" header="0" footer="0"/>
  <pageSetup paperSize="9" scale="88"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E50BE-6961-43D7-A6AA-2A0780FF6C3D}">
  <sheetPr codeName="Hoja14">
    <pageSetUpPr fitToPage="1"/>
  </sheetPr>
  <dimension ref="B1:J110"/>
  <sheetViews>
    <sheetView zoomScale="145" zoomScaleNormal="145" workbookViewId="0">
      <pane xSplit="3" ySplit="7" topLeftCell="D8" activePane="bottomRight" state="frozen"/>
      <selection pane="topRight" activeCell="D1" sqref="D1"/>
      <selection pane="bottomLeft" activeCell="A7" sqref="A7"/>
      <selection pane="bottomRight" activeCell="D10" sqref="D10:H10"/>
    </sheetView>
  </sheetViews>
  <sheetFormatPr baseColWidth="10" defaultColWidth="11.42578125" defaultRowHeight="11.25" x14ac:dyDescent="0.2"/>
  <cols>
    <col min="1" max="2" width="1.7109375" style="60" customWidth="1"/>
    <col min="3" max="3" width="1.85546875" style="68" customWidth="1"/>
    <col min="4" max="4" width="32.5703125" style="60" customWidth="1"/>
    <col min="5" max="5" width="12.42578125" style="60" customWidth="1"/>
    <col min="6" max="6" width="16.7109375" style="60" customWidth="1"/>
    <col min="7" max="7" width="16.42578125" style="60" customWidth="1"/>
    <col min="8" max="8" width="14.28515625" style="60" customWidth="1"/>
    <col min="9" max="9" width="1.85546875" style="60" customWidth="1"/>
    <col min="10" max="10" width="2" style="60" customWidth="1"/>
    <col min="11" max="11" width="1.85546875" style="60" customWidth="1"/>
    <col min="12" max="16384" width="11.42578125" style="60"/>
  </cols>
  <sheetData>
    <row r="1" spans="2:10" ht="12.75" customHeight="1" x14ac:dyDescent="0.2">
      <c r="B1" s="510"/>
      <c r="C1" s="511"/>
      <c r="D1" s="800" t="s">
        <v>721</v>
      </c>
      <c r="E1" s="800"/>
      <c r="F1" s="800"/>
      <c r="G1" s="800"/>
      <c r="H1" s="800"/>
      <c r="I1" s="498"/>
      <c r="J1" s="499"/>
    </row>
    <row r="2" spans="2:10" ht="12.75" x14ac:dyDescent="0.2">
      <c r="B2" s="512"/>
      <c r="C2" s="340"/>
      <c r="D2" s="336" t="s">
        <v>630</v>
      </c>
      <c r="E2" s="342"/>
      <c r="F2" s="342"/>
      <c r="G2" s="342"/>
      <c r="H2" s="342"/>
    </row>
    <row r="3" spans="2:10" ht="12.75" x14ac:dyDescent="0.2">
      <c r="B3" s="512"/>
      <c r="C3" s="340"/>
      <c r="D3" s="341" t="s">
        <v>629</v>
      </c>
      <c r="E3" s="799"/>
      <c r="F3" s="799"/>
      <c r="G3" s="799"/>
      <c r="H3" s="799"/>
    </row>
    <row r="4" spans="2:10" ht="12.75" x14ac:dyDescent="0.2">
      <c r="B4" s="512"/>
      <c r="C4" s="340"/>
      <c r="D4" s="341" t="s">
        <v>628</v>
      </c>
      <c r="E4" s="343"/>
      <c r="F4" s="343"/>
      <c r="G4" s="343"/>
      <c r="H4" s="343"/>
    </row>
    <row r="5" spans="2:10" x14ac:dyDescent="0.2">
      <c r="D5" s="504"/>
      <c r="E5" s="337" t="s">
        <v>617</v>
      </c>
      <c r="F5" s="338"/>
      <c r="G5" s="337" t="s">
        <v>621</v>
      </c>
      <c r="H5" s="337" t="s">
        <v>625</v>
      </c>
    </row>
    <row r="6" spans="2:10" x14ac:dyDescent="0.2">
      <c r="D6" s="505" t="s">
        <v>627</v>
      </c>
      <c r="E6" s="337" t="s">
        <v>619</v>
      </c>
      <c r="F6" s="337" t="s">
        <v>620</v>
      </c>
      <c r="G6" s="337" t="s">
        <v>622</v>
      </c>
      <c r="H6" s="337" t="s">
        <v>619</v>
      </c>
    </row>
    <row r="7" spans="2:10" x14ac:dyDescent="0.2">
      <c r="D7" s="506" t="s">
        <v>626</v>
      </c>
      <c r="E7" s="339" t="s">
        <v>618</v>
      </c>
      <c r="F7" s="339"/>
      <c r="G7" s="339" t="s">
        <v>623</v>
      </c>
      <c r="H7" s="339" t="s">
        <v>624</v>
      </c>
    </row>
    <row r="8" spans="2:10" ht="12.95" customHeight="1" x14ac:dyDescent="0.2">
      <c r="B8" s="72"/>
      <c r="D8" s="507" t="s">
        <v>502</v>
      </c>
      <c r="E8" s="501" t="s">
        <v>504</v>
      </c>
      <c r="F8" s="501" t="s">
        <v>158</v>
      </c>
      <c r="G8" s="501" t="s">
        <v>505</v>
      </c>
      <c r="H8" s="500">
        <v>2</v>
      </c>
    </row>
    <row r="9" spans="2:10" ht="12.95" customHeight="1" x14ac:dyDescent="0.2">
      <c r="B9" s="72"/>
      <c r="D9" s="507" t="s">
        <v>503</v>
      </c>
      <c r="E9" s="501" t="s">
        <v>504</v>
      </c>
      <c r="F9" s="501" t="s">
        <v>601</v>
      </c>
      <c r="G9" s="501" t="s">
        <v>602</v>
      </c>
      <c r="H9" s="500">
        <v>2</v>
      </c>
    </row>
    <row r="10" spans="2:10" ht="12.95" customHeight="1" x14ac:dyDescent="0.2">
      <c r="B10" s="72"/>
      <c r="D10" s="507" t="s">
        <v>742</v>
      </c>
      <c r="E10" s="501" t="s">
        <v>748</v>
      </c>
      <c r="F10" s="501" t="s">
        <v>747</v>
      </c>
      <c r="G10" s="501" t="s">
        <v>749</v>
      </c>
      <c r="H10" s="500" t="s">
        <v>750</v>
      </c>
    </row>
    <row r="11" spans="2:10" ht="12.95" customHeight="1" x14ac:dyDescent="0.2">
      <c r="B11" s="72"/>
      <c r="C11" s="73"/>
      <c r="D11" s="507"/>
      <c r="E11" s="501"/>
      <c r="F11" s="501"/>
      <c r="G11" s="501"/>
      <c r="H11" s="500"/>
    </row>
    <row r="12" spans="2:10" ht="12.95" customHeight="1" x14ac:dyDescent="0.2">
      <c r="B12" s="72"/>
      <c r="D12" s="507"/>
      <c r="E12" s="501"/>
      <c r="F12" s="501"/>
      <c r="G12" s="501"/>
      <c r="H12" s="500"/>
    </row>
    <row r="13" spans="2:10" ht="12.95" customHeight="1" x14ac:dyDescent="0.2">
      <c r="B13" s="72"/>
      <c r="D13" s="507"/>
      <c r="E13" s="501"/>
      <c r="F13" s="501"/>
      <c r="G13" s="501"/>
      <c r="H13" s="500"/>
    </row>
    <row r="14" spans="2:10" ht="12.95" customHeight="1" x14ac:dyDescent="0.2">
      <c r="B14" s="72"/>
      <c r="D14" s="507"/>
      <c r="E14" s="501"/>
      <c r="F14" s="501"/>
      <c r="G14" s="501"/>
      <c r="H14" s="500"/>
    </row>
    <row r="15" spans="2:10" ht="12.95" customHeight="1" x14ac:dyDescent="0.2">
      <c r="B15" s="72"/>
      <c r="D15" s="507"/>
      <c r="E15" s="501"/>
      <c r="F15" s="501"/>
      <c r="G15" s="501"/>
      <c r="H15" s="500"/>
    </row>
    <row r="16" spans="2:10" ht="12.95" customHeight="1" x14ac:dyDescent="0.2">
      <c r="B16" s="72"/>
      <c r="D16" s="507"/>
      <c r="E16" s="501"/>
      <c r="F16" s="501"/>
      <c r="G16" s="501"/>
      <c r="H16" s="500"/>
    </row>
    <row r="17" spans="2:8" ht="12.95" customHeight="1" x14ac:dyDescent="0.2">
      <c r="B17" s="72"/>
      <c r="D17" s="507"/>
      <c r="E17" s="501"/>
      <c r="F17" s="501"/>
      <c r="G17" s="501"/>
      <c r="H17" s="500"/>
    </row>
    <row r="18" spans="2:8" ht="12.95" customHeight="1" x14ac:dyDescent="0.2">
      <c r="B18" s="72"/>
      <c r="D18" s="507"/>
      <c r="E18" s="501"/>
      <c r="F18" s="501"/>
      <c r="G18" s="501"/>
      <c r="H18" s="500"/>
    </row>
    <row r="19" spans="2:8" ht="12.95" customHeight="1" x14ac:dyDescent="0.2">
      <c r="B19" s="72"/>
      <c r="D19" s="507"/>
      <c r="E19" s="501"/>
      <c r="F19" s="501"/>
      <c r="G19" s="501"/>
      <c r="H19" s="500"/>
    </row>
    <row r="20" spans="2:8" ht="12.95" customHeight="1" x14ac:dyDescent="0.2">
      <c r="B20" s="72"/>
      <c r="D20" s="507"/>
      <c r="E20" s="501"/>
      <c r="F20" s="501"/>
      <c r="G20" s="501"/>
      <c r="H20" s="500"/>
    </row>
    <row r="21" spans="2:8" ht="12.95" customHeight="1" x14ac:dyDescent="0.2">
      <c r="B21" s="72"/>
      <c r="D21" s="507"/>
      <c r="E21" s="501"/>
      <c r="F21" s="501"/>
      <c r="G21" s="501"/>
      <c r="H21" s="500"/>
    </row>
    <row r="22" spans="2:8" ht="12.95" customHeight="1" x14ac:dyDescent="0.2">
      <c r="B22" s="72"/>
      <c r="D22" s="507"/>
      <c r="E22" s="501"/>
      <c r="F22" s="501"/>
      <c r="G22" s="501"/>
      <c r="H22" s="500"/>
    </row>
    <row r="23" spans="2:8" ht="12.95" customHeight="1" x14ac:dyDescent="0.2">
      <c r="B23" s="72"/>
      <c r="D23" s="507"/>
      <c r="E23" s="501"/>
      <c r="F23" s="501"/>
      <c r="G23" s="501"/>
      <c r="H23" s="500"/>
    </row>
    <row r="24" spans="2:8" ht="12.95" customHeight="1" x14ac:dyDescent="0.2">
      <c r="B24" s="72"/>
      <c r="D24" s="507"/>
      <c r="E24" s="501"/>
      <c r="F24" s="501"/>
      <c r="G24" s="501"/>
      <c r="H24" s="500"/>
    </row>
    <row r="25" spans="2:8" ht="12.95" customHeight="1" x14ac:dyDescent="0.2">
      <c r="B25" s="72"/>
      <c r="D25" s="507"/>
      <c r="E25" s="501"/>
      <c r="F25" s="501"/>
      <c r="G25" s="501"/>
      <c r="H25" s="500"/>
    </row>
    <row r="26" spans="2:8" ht="12.95" customHeight="1" x14ac:dyDescent="0.2">
      <c r="B26" s="72"/>
      <c r="D26" s="507"/>
      <c r="E26" s="501"/>
      <c r="F26" s="501"/>
      <c r="G26" s="501"/>
      <c r="H26" s="500"/>
    </row>
    <row r="27" spans="2:8" ht="12.95" customHeight="1" x14ac:dyDescent="0.2">
      <c r="B27" s="72"/>
      <c r="D27" s="507"/>
      <c r="E27" s="501"/>
      <c r="F27" s="501"/>
      <c r="G27" s="501"/>
      <c r="H27" s="500"/>
    </row>
    <row r="28" spans="2:8" ht="12.95" customHeight="1" x14ac:dyDescent="0.2">
      <c r="B28" s="72"/>
      <c r="D28" s="507"/>
      <c r="E28" s="501"/>
      <c r="F28" s="501"/>
      <c r="G28" s="501"/>
      <c r="H28" s="500"/>
    </row>
    <row r="29" spans="2:8" ht="12.95" customHeight="1" x14ac:dyDescent="0.2">
      <c r="B29" s="72"/>
      <c r="D29" s="507"/>
      <c r="E29" s="501"/>
      <c r="F29" s="501"/>
      <c r="G29" s="501"/>
      <c r="H29" s="500"/>
    </row>
    <row r="30" spans="2:8" ht="12.95" customHeight="1" x14ac:dyDescent="0.2">
      <c r="B30" s="72"/>
      <c r="D30" s="507"/>
      <c r="E30" s="501"/>
      <c r="F30" s="501"/>
      <c r="G30" s="501"/>
      <c r="H30" s="500"/>
    </row>
    <row r="31" spans="2:8" ht="12.95" customHeight="1" x14ac:dyDescent="0.2">
      <c r="B31" s="72"/>
      <c r="D31" s="507"/>
      <c r="E31" s="501"/>
      <c r="F31" s="501"/>
      <c r="G31" s="501"/>
      <c r="H31" s="500"/>
    </row>
    <row r="32" spans="2:8" ht="12.95" customHeight="1" x14ac:dyDescent="0.2">
      <c r="B32" s="72"/>
      <c r="D32" s="507"/>
      <c r="E32" s="501"/>
      <c r="F32" s="501"/>
      <c r="G32" s="501"/>
      <c r="H32" s="500"/>
    </row>
    <row r="33" spans="2:8" ht="12.95" customHeight="1" x14ac:dyDescent="0.2">
      <c r="B33" s="72"/>
      <c r="D33" s="507"/>
      <c r="E33" s="501"/>
      <c r="F33" s="501"/>
      <c r="G33" s="501"/>
      <c r="H33" s="500"/>
    </row>
    <row r="34" spans="2:8" ht="12.95" customHeight="1" x14ac:dyDescent="0.2">
      <c r="B34" s="72"/>
      <c r="D34" s="507"/>
      <c r="E34" s="501"/>
      <c r="F34" s="501"/>
      <c r="G34" s="501"/>
      <c r="H34" s="500"/>
    </row>
    <row r="35" spans="2:8" ht="12.95" customHeight="1" x14ac:dyDescent="0.2">
      <c r="B35" s="72"/>
      <c r="D35" s="507"/>
      <c r="E35" s="501"/>
      <c r="F35" s="501"/>
      <c r="G35" s="501"/>
      <c r="H35" s="500"/>
    </row>
    <row r="36" spans="2:8" ht="12.95" customHeight="1" x14ac:dyDescent="0.2">
      <c r="B36" s="72"/>
      <c r="D36" s="507"/>
      <c r="E36" s="501"/>
      <c r="F36" s="501"/>
      <c r="G36" s="501"/>
      <c r="H36" s="500"/>
    </row>
    <row r="37" spans="2:8" ht="12.95" customHeight="1" x14ac:dyDescent="0.2">
      <c r="B37" s="72"/>
      <c r="D37" s="507"/>
      <c r="E37" s="501"/>
      <c r="F37" s="501"/>
      <c r="G37" s="501"/>
      <c r="H37" s="500"/>
    </row>
    <row r="38" spans="2:8" ht="12.95" customHeight="1" x14ac:dyDescent="0.2">
      <c r="B38" s="72"/>
      <c r="D38" s="507"/>
      <c r="E38" s="501"/>
      <c r="F38" s="501"/>
      <c r="G38" s="501"/>
      <c r="H38" s="500"/>
    </row>
    <row r="39" spans="2:8" ht="12.95" customHeight="1" x14ac:dyDescent="0.2">
      <c r="B39" s="72"/>
      <c r="D39" s="507"/>
      <c r="E39" s="501"/>
      <c r="F39" s="501"/>
      <c r="G39" s="501"/>
      <c r="H39" s="500"/>
    </row>
    <row r="40" spans="2:8" ht="12.95" customHeight="1" x14ac:dyDescent="0.2">
      <c r="B40" s="72"/>
      <c r="D40" s="507"/>
      <c r="E40" s="501"/>
      <c r="F40" s="501"/>
      <c r="G40" s="501"/>
      <c r="H40" s="500"/>
    </row>
    <row r="41" spans="2:8" ht="12.95" customHeight="1" x14ac:dyDescent="0.2">
      <c r="B41" s="72"/>
      <c r="D41" s="507"/>
      <c r="E41" s="501"/>
      <c r="F41" s="501"/>
      <c r="G41" s="501"/>
      <c r="H41" s="500"/>
    </row>
    <row r="42" spans="2:8" ht="12.95" customHeight="1" x14ac:dyDescent="0.2">
      <c r="B42" s="72"/>
      <c r="D42" s="507"/>
      <c r="E42" s="501"/>
      <c r="F42" s="501"/>
      <c r="G42" s="501"/>
      <c r="H42" s="500"/>
    </row>
    <row r="43" spans="2:8" ht="12.95" customHeight="1" x14ac:dyDescent="0.2">
      <c r="B43" s="72"/>
      <c r="D43" s="508"/>
      <c r="E43" s="502"/>
      <c r="F43" s="502"/>
      <c r="G43" s="502"/>
      <c r="H43" s="500"/>
    </row>
    <row r="44" spans="2:8" ht="12.95" customHeight="1" x14ac:dyDescent="0.2">
      <c r="D44" s="507"/>
      <c r="E44" s="500"/>
      <c r="F44" s="500"/>
      <c r="G44" s="500"/>
      <c r="H44" s="500"/>
    </row>
    <row r="45" spans="2:8" ht="12.95" customHeight="1" x14ac:dyDescent="0.2">
      <c r="D45" s="507"/>
      <c r="E45" s="500"/>
      <c r="F45" s="500"/>
      <c r="G45" s="500"/>
      <c r="H45" s="500"/>
    </row>
    <row r="46" spans="2:8" ht="12.95" customHeight="1" x14ac:dyDescent="0.2">
      <c r="D46" s="507"/>
      <c r="E46" s="500"/>
      <c r="F46" s="500"/>
      <c r="G46" s="500"/>
      <c r="H46" s="500"/>
    </row>
    <row r="47" spans="2:8" ht="12.95" customHeight="1" x14ac:dyDescent="0.2">
      <c r="D47" s="507"/>
      <c r="E47" s="500"/>
      <c r="F47" s="500"/>
      <c r="G47" s="500"/>
      <c r="H47" s="500"/>
    </row>
    <row r="48" spans="2:8" ht="12.95" customHeight="1" x14ac:dyDescent="0.2">
      <c r="D48" s="507"/>
      <c r="E48" s="500"/>
      <c r="F48" s="500"/>
      <c r="G48" s="500"/>
      <c r="H48" s="500"/>
    </row>
    <row r="49" spans="4:8" ht="12.95" customHeight="1" x14ac:dyDescent="0.2">
      <c r="D49" s="507"/>
      <c r="E49" s="500"/>
      <c r="F49" s="500"/>
      <c r="G49" s="500"/>
      <c r="H49" s="500"/>
    </row>
    <row r="50" spans="4:8" ht="12.95" customHeight="1" x14ac:dyDescent="0.2">
      <c r="D50" s="507"/>
      <c r="E50" s="500"/>
      <c r="F50" s="500"/>
      <c r="G50" s="500"/>
      <c r="H50" s="500"/>
    </row>
    <row r="51" spans="4:8" ht="12.95" customHeight="1" x14ac:dyDescent="0.2">
      <c r="D51" s="507"/>
      <c r="E51" s="500"/>
      <c r="F51" s="500"/>
      <c r="G51" s="500"/>
      <c r="H51" s="500"/>
    </row>
    <row r="52" spans="4:8" ht="12.95" customHeight="1" x14ac:dyDescent="0.2">
      <c r="D52" s="507"/>
      <c r="E52" s="500"/>
      <c r="F52" s="500"/>
      <c r="G52" s="500"/>
      <c r="H52" s="500"/>
    </row>
    <row r="53" spans="4:8" ht="12.95" customHeight="1" x14ac:dyDescent="0.2">
      <c r="D53" s="507"/>
      <c r="E53" s="500"/>
      <c r="F53" s="500"/>
      <c r="G53" s="500"/>
      <c r="H53" s="500"/>
    </row>
    <row r="54" spans="4:8" ht="12.95" customHeight="1" x14ac:dyDescent="0.2">
      <c r="D54" s="507"/>
      <c r="E54" s="500"/>
      <c r="F54" s="500"/>
      <c r="G54" s="500"/>
      <c r="H54" s="500"/>
    </row>
    <row r="55" spans="4:8" ht="12.95" customHeight="1" x14ac:dyDescent="0.2">
      <c r="D55" s="507"/>
      <c r="E55" s="500"/>
      <c r="F55" s="500"/>
      <c r="G55" s="500"/>
      <c r="H55" s="500"/>
    </row>
    <row r="56" spans="4:8" ht="12.95" customHeight="1" x14ac:dyDescent="0.2">
      <c r="D56" s="507"/>
      <c r="E56" s="500"/>
      <c r="F56" s="500"/>
      <c r="G56" s="500"/>
      <c r="H56" s="500"/>
    </row>
    <row r="57" spans="4:8" ht="12.95" customHeight="1" x14ac:dyDescent="0.2">
      <c r="D57" s="507"/>
      <c r="E57" s="500"/>
      <c r="F57" s="500"/>
      <c r="G57" s="500"/>
      <c r="H57" s="500"/>
    </row>
    <row r="58" spans="4:8" ht="12.95" customHeight="1" x14ac:dyDescent="0.2">
      <c r="D58" s="507"/>
      <c r="E58" s="500"/>
      <c r="F58" s="500"/>
      <c r="G58" s="500"/>
      <c r="H58" s="500"/>
    </row>
    <row r="59" spans="4:8" ht="12.95" customHeight="1" x14ac:dyDescent="0.2">
      <c r="D59" s="507"/>
      <c r="E59" s="500"/>
      <c r="F59" s="500"/>
      <c r="G59" s="500"/>
      <c r="H59" s="500"/>
    </row>
    <row r="60" spans="4:8" ht="12.95" customHeight="1" x14ac:dyDescent="0.2">
      <c r="D60" s="507"/>
      <c r="E60" s="500"/>
      <c r="F60" s="500"/>
      <c r="G60" s="500"/>
      <c r="H60" s="500"/>
    </row>
    <row r="61" spans="4:8" ht="12.95" customHeight="1" x14ac:dyDescent="0.2">
      <c r="D61" s="507"/>
      <c r="E61" s="500"/>
      <c r="F61" s="500"/>
      <c r="G61" s="500"/>
      <c r="H61" s="500"/>
    </row>
    <row r="62" spans="4:8" ht="12.95" customHeight="1" x14ac:dyDescent="0.2">
      <c r="D62" s="507"/>
      <c r="E62" s="500"/>
      <c r="F62" s="500"/>
      <c r="G62" s="500"/>
      <c r="H62" s="500"/>
    </row>
    <row r="63" spans="4:8" ht="12.95" customHeight="1" x14ac:dyDescent="0.2">
      <c r="D63" s="507"/>
      <c r="E63" s="500"/>
      <c r="F63" s="500"/>
      <c r="G63" s="500"/>
      <c r="H63" s="500"/>
    </row>
    <row r="64" spans="4:8" ht="12.95" customHeight="1" x14ac:dyDescent="0.2">
      <c r="D64" s="507"/>
      <c r="E64" s="500"/>
      <c r="F64" s="500"/>
      <c r="G64" s="500"/>
      <c r="H64" s="500"/>
    </row>
    <row r="65" spans="4:8" ht="12.95" customHeight="1" x14ac:dyDescent="0.2">
      <c r="D65" s="507"/>
      <c r="E65" s="500"/>
      <c r="F65" s="500"/>
      <c r="G65" s="500"/>
      <c r="H65" s="500"/>
    </row>
    <row r="66" spans="4:8" ht="12.95" customHeight="1" x14ac:dyDescent="0.2">
      <c r="D66" s="507"/>
      <c r="E66" s="500"/>
      <c r="F66" s="500"/>
      <c r="G66" s="500"/>
      <c r="H66" s="500"/>
    </row>
    <row r="67" spans="4:8" ht="12.95" customHeight="1" x14ac:dyDescent="0.2">
      <c r="D67" s="507"/>
      <c r="E67" s="500"/>
      <c r="F67" s="500"/>
      <c r="G67" s="500"/>
      <c r="H67" s="500"/>
    </row>
    <row r="68" spans="4:8" ht="12.95" customHeight="1" x14ac:dyDescent="0.2">
      <c r="D68" s="507"/>
      <c r="E68" s="500"/>
      <c r="F68" s="500"/>
      <c r="G68" s="500"/>
      <c r="H68" s="500"/>
    </row>
    <row r="69" spans="4:8" ht="12.95" customHeight="1" x14ac:dyDescent="0.2">
      <c r="D69" s="507"/>
      <c r="E69" s="500"/>
      <c r="F69" s="500"/>
      <c r="G69" s="500"/>
      <c r="H69" s="500"/>
    </row>
    <row r="70" spans="4:8" ht="12.95" customHeight="1" x14ac:dyDescent="0.2">
      <c r="D70" s="507"/>
      <c r="E70" s="500"/>
      <c r="F70" s="500"/>
      <c r="G70" s="500"/>
      <c r="H70" s="500"/>
    </row>
    <row r="71" spans="4:8" ht="12.95" customHeight="1" x14ac:dyDescent="0.2">
      <c r="D71" s="507"/>
      <c r="E71" s="500"/>
      <c r="F71" s="500"/>
      <c r="G71" s="500"/>
      <c r="H71" s="500"/>
    </row>
    <row r="72" spans="4:8" ht="12.95" customHeight="1" x14ac:dyDescent="0.2">
      <c r="D72" s="507"/>
      <c r="E72" s="500"/>
      <c r="F72" s="500"/>
      <c r="G72" s="500"/>
      <c r="H72" s="500"/>
    </row>
    <row r="73" spans="4:8" ht="12.95" customHeight="1" x14ac:dyDescent="0.2">
      <c r="D73" s="507"/>
      <c r="E73" s="500"/>
      <c r="F73" s="500"/>
      <c r="G73" s="500"/>
      <c r="H73" s="500"/>
    </row>
    <row r="74" spans="4:8" ht="12.95" customHeight="1" x14ac:dyDescent="0.2">
      <c r="D74" s="507"/>
      <c r="E74" s="500"/>
      <c r="F74" s="500"/>
      <c r="G74" s="500"/>
      <c r="H74" s="500"/>
    </row>
    <row r="75" spans="4:8" ht="12.95" customHeight="1" x14ac:dyDescent="0.2">
      <c r="D75" s="507"/>
      <c r="E75" s="500"/>
      <c r="F75" s="500"/>
      <c r="G75" s="500"/>
      <c r="H75" s="500"/>
    </row>
    <row r="76" spans="4:8" ht="12.95" customHeight="1" x14ac:dyDescent="0.2">
      <c r="D76" s="507"/>
      <c r="E76" s="500"/>
      <c r="F76" s="500"/>
      <c r="G76" s="500"/>
      <c r="H76" s="500"/>
    </row>
    <row r="77" spans="4:8" ht="12.95" customHeight="1" x14ac:dyDescent="0.2">
      <c r="D77" s="507"/>
      <c r="E77" s="500"/>
      <c r="F77" s="500"/>
      <c r="G77" s="500"/>
      <c r="H77" s="500"/>
    </row>
    <row r="78" spans="4:8" ht="12.95" customHeight="1" x14ac:dyDescent="0.2">
      <c r="D78" s="507"/>
      <c r="E78" s="500"/>
      <c r="F78" s="500"/>
      <c r="G78" s="500"/>
      <c r="H78" s="500"/>
    </row>
    <row r="79" spans="4:8" ht="12.95" customHeight="1" x14ac:dyDescent="0.2">
      <c r="D79" s="507"/>
      <c r="E79" s="500"/>
      <c r="F79" s="500"/>
      <c r="G79" s="500"/>
      <c r="H79" s="500"/>
    </row>
    <row r="80" spans="4:8" ht="12.95" customHeight="1" x14ac:dyDescent="0.2">
      <c r="D80" s="507"/>
      <c r="E80" s="500"/>
      <c r="F80" s="500"/>
      <c r="G80" s="500"/>
      <c r="H80" s="500"/>
    </row>
    <row r="81" spans="4:8" ht="12.95" customHeight="1" x14ac:dyDescent="0.2">
      <c r="D81" s="507"/>
      <c r="E81" s="500"/>
      <c r="F81" s="500"/>
      <c r="G81" s="500"/>
      <c r="H81" s="500"/>
    </row>
    <row r="82" spans="4:8" ht="12.95" customHeight="1" x14ac:dyDescent="0.2">
      <c r="D82" s="507"/>
      <c r="E82" s="500"/>
      <c r="F82" s="500"/>
      <c r="G82" s="500"/>
      <c r="H82" s="500"/>
    </row>
    <row r="83" spans="4:8" ht="12.95" customHeight="1" x14ac:dyDescent="0.2">
      <c r="D83" s="507"/>
      <c r="E83" s="500"/>
      <c r="F83" s="500"/>
      <c r="G83" s="500"/>
      <c r="H83" s="500"/>
    </row>
    <row r="84" spans="4:8" ht="12.95" customHeight="1" x14ac:dyDescent="0.2">
      <c r="D84" s="507"/>
      <c r="E84" s="500"/>
      <c r="F84" s="500"/>
      <c r="G84" s="500"/>
      <c r="H84" s="500"/>
    </row>
    <row r="85" spans="4:8" ht="12.95" customHeight="1" x14ac:dyDescent="0.2">
      <c r="D85" s="507"/>
      <c r="E85" s="500"/>
      <c r="F85" s="500"/>
      <c r="G85" s="500"/>
      <c r="H85" s="500"/>
    </row>
    <row r="86" spans="4:8" ht="12.95" customHeight="1" x14ac:dyDescent="0.2">
      <c r="D86" s="507"/>
      <c r="E86" s="500"/>
      <c r="F86" s="500"/>
      <c r="G86" s="500"/>
      <c r="H86" s="500"/>
    </row>
    <row r="87" spans="4:8" ht="12.95" customHeight="1" x14ac:dyDescent="0.2">
      <c r="D87" s="507"/>
      <c r="E87" s="500"/>
      <c r="F87" s="500"/>
      <c r="G87" s="500"/>
      <c r="H87" s="500"/>
    </row>
    <row r="88" spans="4:8" ht="12.95" customHeight="1" x14ac:dyDescent="0.2">
      <c r="D88" s="507"/>
      <c r="E88" s="500"/>
      <c r="F88" s="500"/>
      <c r="G88" s="500"/>
      <c r="H88" s="500"/>
    </row>
    <row r="89" spans="4:8" ht="12.95" customHeight="1" x14ac:dyDescent="0.2">
      <c r="D89" s="507"/>
      <c r="E89" s="500"/>
      <c r="F89" s="500"/>
      <c r="G89" s="500"/>
      <c r="H89" s="500"/>
    </row>
    <row r="90" spans="4:8" ht="12.95" customHeight="1" x14ac:dyDescent="0.2">
      <c r="D90" s="507"/>
      <c r="E90" s="500"/>
      <c r="F90" s="500"/>
      <c r="G90" s="500"/>
      <c r="H90" s="500"/>
    </row>
    <row r="91" spans="4:8" ht="12.95" customHeight="1" x14ac:dyDescent="0.2">
      <c r="D91" s="507"/>
      <c r="E91" s="500"/>
      <c r="F91" s="500"/>
      <c r="G91" s="500"/>
      <c r="H91" s="500"/>
    </row>
    <row r="92" spans="4:8" ht="12.95" customHeight="1" x14ac:dyDescent="0.2">
      <c r="D92" s="507"/>
      <c r="E92" s="500"/>
      <c r="F92" s="500"/>
      <c r="G92" s="500"/>
      <c r="H92" s="500"/>
    </row>
    <row r="93" spans="4:8" ht="12.95" customHeight="1" x14ac:dyDescent="0.2">
      <c r="D93" s="507"/>
      <c r="E93" s="500"/>
      <c r="F93" s="500"/>
      <c r="G93" s="500"/>
      <c r="H93" s="500"/>
    </row>
    <row r="94" spans="4:8" ht="12.95" customHeight="1" x14ac:dyDescent="0.2">
      <c r="D94" s="507"/>
      <c r="E94" s="500"/>
      <c r="F94" s="500"/>
      <c r="G94" s="500"/>
      <c r="H94" s="500"/>
    </row>
    <row r="95" spans="4:8" ht="12.95" customHeight="1" x14ac:dyDescent="0.2">
      <c r="D95" s="507"/>
      <c r="E95" s="500"/>
      <c r="F95" s="500"/>
      <c r="G95" s="500"/>
      <c r="H95" s="500"/>
    </row>
    <row r="96" spans="4:8" ht="12.95" customHeight="1" x14ac:dyDescent="0.2">
      <c r="D96" s="507"/>
      <c r="E96" s="500"/>
      <c r="F96" s="500"/>
      <c r="G96" s="500"/>
      <c r="H96" s="500"/>
    </row>
    <row r="97" spans="2:10" ht="12.95" customHeight="1" x14ac:dyDescent="0.2">
      <c r="D97" s="507"/>
      <c r="E97" s="500"/>
      <c r="F97" s="500"/>
      <c r="G97" s="500"/>
      <c r="H97" s="500"/>
    </row>
    <row r="98" spans="2:10" ht="12.95" customHeight="1" x14ac:dyDescent="0.2">
      <c r="D98" s="507"/>
      <c r="E98" s="500"/>
      <c r="F98" s="500"/>
      <c r="G98" s="500"/>
      <c r="H98" s="500"/>
    </row>
    <row r="99" spans="2:10" ht="12.95" customHeight="1" x14ac:dyDescent="0.2">
      <c r="D99" s="507"/>
      <c r="E99" s="500"/>
      <c r="F99" s="500"/>
      <c r="G99" s="500"/>
      <c r="H99" s="500"/>
    </row>
    <row r="100" spans="2:10" ht="12.95" customHeight="1" x14ac:dyDescent="0.2">
      <c r="D100" s="507"/>
      <c r="E100" s="500"/>
      <c r="F100" s="500"/>
      <c r="G100" s="500"/>
      <c r="H100" s="500"/>
    </row>
    <row r="101" spans="2:10" ht="12.95" customHeight="1" x14ac:dyDescent="0.2">
      <c r="D101" s="507"/>
      <c r="E101" s="500"/>
      <c r="F101" s="500"/>
      <c r="G101" s="500"/>
      <c r="H101" s="500"/>
    </row>
    <row r="102" spans="2:10" ht="12.95" customHeight="1" x14ac:dyDescent="0.2">
      <c r="D102" s="507"/>
      <c r="E102" s="500"/>
      <c r="F102" s="500"/>
      <c r="G102" s="500"/>
      <c r="H102" s="500"/>
    </row>
    <row r="103" spans="2:10" ht="12.95" customHeight="1" x14ac:dyDescent="0.2">
      <c r="D103" s="507"/>
      <c r="E103" s="500"/>
      <c r="F103" s="500"/>
      <c r="G103" s="500"/>
      <c r="H103" s="500"/>
    </row>
    <row r="104" spans="2:10" ht="12.95" customHeight="1" x14ac:dyDescent="0.2">
      <c r="D104" s="507"/>
      <c r="E104" s="500"/>
      <c r="F104" s="500"/>
      <c r="G104" s="500"/>
      <c r="H104" s="500"/>
    </row>
    <row r="105" spans="2:10" ht="12.95" customHeight="1" x14ac:dyDescent="0.2">
      <c r="D105" s="507"/>
      <c r="E105" s="500"/>
      <c r="F105" s="500"/>
      <c r="G105" s="500"/>
      <c r="H105" s="500"/>
    </row>
    <row r="106" spans="2:10" ht="12.95" customHeight="1" x14ac:dyDescent="0.2">
      <c r="D106" s="509"/>
      <c r="E106" s="503"/>
      <c r="F106" s="503"/>
      <c r="G106" s="503"/>
      <c r="H106" s="503"/>
    </row>
    <row r="107" spans="2:10" ht="12.95" customHeight="1" x14ac:dyDescent="0.2">
      <c r="D107" s="509"/>
      <c r="E107" s="503"/>
      <c r="F107" s="503"/>
      <c r="G107" s="503"/>
      <c r="H107" s="503"/>
    </row>
    <row r="108" spans="2:10" ht="12.95" customHeight="1" x14ac:dyDescent="0.2">
      <c r="D108" s="509"/>
      <c r="E108" s="503"/>
      <c r="F108" s="503"/>
      <c r="G108" s="503"/>
      <c r="H108" s="503"/>
    </row>
    <row r="110" spans="2:10" ht="12.75" customHeight="1" x14ac:dyDescent="0.2">
      <c r="B110" s="801" t="s">
        <v>523</v>
      </c>
      <c r="C110" s="801"/>
      <c r="D110" s="801"/>
      <c r="E110" s="801"/>
      <c r="F110" s="801"/>
      <c r="G110" s="801"/>
      <c r="H110" s="801"/>
      <c r="I110" s="801"/>
      <c r="J110" s="801"/>
    </row>
  </sheetData>
  <mergeCells count="3">
    <mergeCell ref="E3:H3"/>
    <mergeCell ref="D1:H1"/>
    <mergeCell ref="B110:J110"/>
  </mergeCells>
  <phoneticPr fontId="56" type="noConversion"/>
  <pageMargins left="0.75" right="0.75" top="1" bottom="1" header="0" footer="0"/>
  <pageSetup paperSize="9" scale="85" fitToHeight="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GuadarDatosTablaCaptadores">
                <anchor moveWithCells="1" sizeWithCells="1">
                  <from>
                    <xdr:col>5</xdr:col>
                    <xdr:colOff>704850</xdr:colOff>
                    <xdr:row>1</xdr:row>
                    <xdr:rowOff>47625</xdr:rowOff>
                  </from>
                  <to>
                    <xdr:col>6</xdr:col>
                    <xdr:colOff>666750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SalirTablaCaptadores">
                <anchor moveWithCells="1" sizeWithCells="1">
                  <from>
                    <xdr:col>6</xdr:col>
                    <xdr:colOff>895350</xdr:colOff>
                    <xdr:row>1</xdr:row>
                    <xdr:rowOff>47625</xdr:rowOff>
                  </from>
                  <to>
                    <xdr:col>7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25F43-74FA-4ADB-B584-670F1FCA848A}">
  <sheetPr codeName="Hoja3"/>
  <dimension ref="B1:G40"/>
  <sheetViews>
    <sheetView topLeftCell="A3" workbookViewId="0">
      <selection activeCell="D21" sqref="D21"/>
    </sheetView>
  </sheetViews>
  <sheetFormatPr baseColWidth="10" defaultColWidth="11.42578125" defaultRowHeight="11.25" x14ac:dyDescent="0.2"/>
  <cols>
    <col min="1" max="1" width="2.7109375" style="60" customWidth="1"/>
    <col min="2" max="2" width="2.5703125" style="60" customWidth="1"/>
    <col min="3" max="3" width="3.42578125" style="68" customWidth="1"/>
    <col min="4" max="4" width="32.28515625" style="60" customWidth="1"/>
    <col min="5" max="5" width="12.42578125" style="60" customWidth="1"/>
    <col min="6" max="6" width="16.7109375" style="60" customWidth="1"/>
    <col min="7" max="7" width="16.42578125" style="60" customWidth="1"/>
    <col min="8" max="8" width="4.7109375" style="60" customWidth="1"/>
    <col min="9" max="16384" width="11.42578125" style="60"/>
  </cols>
  <sheetData>
    <row r="1" spans="2:7" ht="12.75" x14ac:dyDescent="0.2">
      <c r="C1" s="67"/>
      <c r="D1" s="77" t="s">
        <v>189</v>
      </c>
    </row>
    <row r="2" spans="2:7" ht="12.75" x14ac:dyDescent="0.2">
      <c r="B2" s="71"/>
      <c r="D2" s="60" t="s">
        <v>99</v>
      </c>
    </row>
    <row r="3" spans="2:7" x14ac:dyDescent="0.2">
      <c r="D3" s="61"/>
      <c r="E3" s="62" t="s">
        <v>56</v>
      </c>
      <c r="F3" s="63" t="s">
        <v>57</v>
      </c>
      <c r="G3" s="63" t="s">
        <v>58</v>
      </c>
    </row>
    <row r="4" spans="2:7" x14ac:dyDescent="0.2">
      <c r="D4" s="64" t="s">
        <v>59</v>
      </c>
      <c r="E4" s="64"/>
      <c r="F4" s="64" t="s">
        <v>60</v>
      </c>
      <c r="G4" s="64" t="s">
        <v>61</v>
      </c>
    </row>
    <row r="5" spans="2:7" ht="12.95" customHeight="1" x14ac:dyDescent="0.2">
      <c r="B5" s="72"/>
      <c r="D5" s="65" t="s">
        <v>62</v>
      </c>
      <c r="E5" s="69" t="s">
        <v>187</v>
      </c>
      <c r="F5" s="69" t="s">
        <v>188</v>
      </c>
      <c r="G5" s="69" t="s">
        <v>98</v>
      </c>
    </row>
    <row r="6" spans="2:7" ht="12.95" customHeight="1" x14ac:dyDescent="0.2">
      <c r="B6" s="72"/>
      <c r="D6" s="65" t="s">
        <v>63</v>
      </c>
      <c r="E6" s="69" t="s">
        <v>100</v>
      </c>
      <c r="F6" s="69" t="s">
        <v>101</v>
      </c>
      <c r="G6" s="69" t="s">
        <v>103</v>
      </c>
    </row>
    <row r="7" spans="2:7" ht="12.95" customHeight="1" x14ac:dyDescent="0.2">
      <c r="B7" s="72"/>
      <c r="D7" s="65" t="s">
        <v>64</v>
      </c>
      <c r="E7" s="69" t="s">
        <v>102</v>
      </c>
      <c r="F7" s="69" t="s">
        <v>101</v>
      </c>
      <c r="G7" s="69" t="s">
        <v>103</v>
      </c>
    </row>
    <row r="8" spans="2:7" ht="12.95" customHeight="1" x14ac:dyDescent="0.2">
      <c r="B8" s="72"/>
      <c r="C8" s="73"/>
      <c r="D8" s="65" t="s">
        <v>65</v>
      </c>
      <c r="E8" s="69" t="s">
        <v>114</v>
      </c>
      <c r="F8" s="69" t="s">
        <v>101</v>
      </c>
      <c r="G8" s="69" t="s">
        <v>103</v>
      </c>
    </row>
    <row r="9" spans="2:7" ht="12.95" customHeight="1" x14ac:dyDescent="0.2">
      <c r="B9" s="72"/>
      <c r="D9" s="65" t="s">
        <v>66</v>
      </c>
      <c r="E9" s="69" t="s">
        <v>115</v>
      </c>
      <c r="F9" s="69" t="s">
        <v>116</v>
      </c>
      <c r="G9" s="69" t="s">
        <v>104</v>
      </c>
    </row>
    <row r="10" spans="2:7" ht="12.95" customHeight="1" x14ac:dyDescent="0.2">
      <c r="B10" s="72"/>
      <c r="D10" s="65" t="s">
        <v>67</v>
      </c>
      <c r="E10" s="69" t="s">
        <v>117</v>
      </c>
      <c r="F10" s="69" t="s">
        <v>118</v>
      </c>
      <c r="G10" s="69" t="s">
        <v>105</v>
      </c>
    </row>
    <row r="11" spans="2:7" ht="12.95" customHeight="1" x14ac:dyDescent="0.2">
      <c r="B11" s="72"/>
      <c r="D11" s="65" t="s">
        <v>68</v>
      </c>
      <c r="E11" s="69" t="s">
        <v>120</v>
      </c>
      <c r="F11" s="69" t="s">
        <v>119</v>
      </c>
      <c r="G11" s="69" t="s">
        <v>106</v>
      </c>
    </row>
    <row r="12" spans="2:7" ht="12.95" customHeight="1" x14ac:dyDescent="0.2">
      <c r="B12" s="72"/>
      <c r="D12" s="65" t="s">
        <v>69</v>
      </c>
      <c r="E12" s="69" t="s">
        <v>121</v>
      </c>
      <c r="F12" s="69" t="s">
        <v>122</v>
      </c>
      <c r="G12" s="69" t="s">
        <v>107</v>
      </c>
    </row>
    <row r="13" spans="2:7" ht="12.95" customHeight="1" x14ac:dyDescent="0.2">
      <c r="B13" s="72"/>
      <c r="D13" s="65" t="s">
        <v>70</v>
      </c>
      <c r="E13" s="69" t="s">
        <v>123</v>
      </c>
      <c r="F13" s="69" t="s">
        <v>124</v>
      </c>
      <c r="G13" s="69" t="s">
        <v>108</v>
      </c>
    </row>
    <row r="14" spans="2:7" ht="12.95" customHeight="1" x14ac:dyDescent="0.2">
      <c r="B14" s="72"/>
      <c r="D14" s="65" t="s">
        <v>71</v>
      </c>
      <c r="E14" s="69" t="s">
        <v>133</v>
      </c>
      <c r="F14" s="69" t="s">
        <v>125</v>
      </c>
      <c r="G14" s="69" t="s">
        <v>109</v>
      </c>
    </row>
    <row r="15" spans="2:7" ht="12.95" customHeight="1" x14ac:dyDescent="0.2">
      <c r="B15" s="72"/>
      <c r="D15" s="65" t="s">
        <v>72</v>
      </c>
      <c r="E15" s="69" t="s">
        <v>134</v>
      </c>
      <c r="F15" s="69" t="s">
        <v>126</v>
      </c>
      <c r="G15" s="69" t="s">
        <v>110</v>
      </c>
    </row>
    <row r="16" spans="2:7" ht="12.95" customHeight="1" x14ac:dyDescent="0.2">
      <c r="B16" s="72"/>
      <c r="D16" s="65" t="s">
        <v>73</v>
      </c>
      <c r="E16" s="69" t="s">
        <v>135</v>
      </c>
      <c r="F16" s="69" t="s">
        <v>127</v>
      </c>
      <c r="G16" s="69" t="s">
        <v>111</v>
      </c>
    </row>
    <row r="17" spans="2:7" ht="12.95" customHeight="1" x14ac:dyDescent="0.2">
      <c r="B17" s="72"/>
      <c r="D17" s="65" t="s">
        <v>74</v>
      </c>
      <c r="E17" s="69" t="s">
        <v>120</v>
      </c>
      <c r="F17" s="69" t="s">
        <v>128</v>
      </c>
      <c r="G17" s="69" t="s">
        <v>112</v>
      </c>
    </row>
    <row r="18" spans="2:7" ht="12.95" customHeight="1" x14ac:dyDescent="0.2">
      <c r="B18" s="72"/>
      <c r="D18" s="65" t="s">
        <v>75</v>
      </c>
      <c r="E18" s="69" t="s">
        <v>136</v>
      </c>
      <c r="F18" s="69" t="s">
        <v>129</v>
      </c>
      <c r="G18" s="69" t="s">
        <v>113</v>
      </c>
    </row>
    <row r="19" spans="2:7" ht="12.95" customHeight="1" x14ac:dyDescent="0.2">
      <c r="B19" s="72"/>
      <c r="D19" s="65" t="s">
        <v>76</v>
      </c>
      <c r="E19" s="69" t="s">
        <v>137</v>
      </c>
      <c r="F19" s="69" t="s">
        <v>129</v>
      </c>
      <c r="G19" s="69">
        <v>6.22</v>
      </c>
    </row>
    <row r="20" spans="2:7" ht="12.95" customHeight="1" x14ac:dyDescent="0.2">
      <c r="B20" s="72"/>
      <c r="D20" s="65" t="s">
        <v>77</v>
      </c>
      <c r="E20" s="69" t="s">
        <v>138</v>
      </c>
      <c r="F20" s="69" t="s">
        <v>130</v>
      </c>
      <c r="G20" s="69" t="s">
        <v>141</v>
      </c>
    </row>
    <row r="21" spans="2:7" ht="12.95" customHeight="1" x14ac:dyDescent="0.2">
      <c r="B21" s="72"/>
      <c r="D21" s="65" t="s">
        <v>78</v>
      </c>
      <c r="E21" s="69" t="s">
        <v>139</v>
      </c>
      <c r="F21" s="69" t="s">
        <v>131</v>
      </c>
      <c r="G21" s="69" t="s">
        <v>142</v>
      </c>
    </row>
    <row r="22" spans="2:7" ht="12.95" customHeight="1" x14ac:dyDescent="0.2">
      <c r="B22" s="72"/>
      <c r="D22" s="65" t="s">
        <v>79</v>
      </c>
      <c r="E22" s="69" t="s">
        <v>140</v>
      </c>
      <c r="F22" s="69" t="s">
        <v>132</v>
      </c>
      <c r="G22" s="69" t="s">
        <v>143</v>
      </c>
    </row>
    <row r="23" spans="2:7" ht="12.95" customHeight="1" x14ac:dyDescent="0.2">
      <c r="B23" s="72"/>
      <c r="D23" s="65" t="s">
        <v>80</v>
      </c>
      <c r="E23" s="69" t="s">
        <v>146</v>
      </c>
      <c r="F23" s="69" t="s">
        <v>145</v>
      </c>
      <c r="G23" s="69" t="s">
        <v>144</v>
      </c>
    </row>
    <row r="24" spans="2:7" ht="12.95" customHeight="1" x14ac:dyDescent="0.2">
      <c r="B24" s="72"/>
      <c r="D24" s="65" t="s">
        <v>81</v>
      </c>
      <c r="E24" s="69" t="s">
        <v>147</v>
      </c>
      <c r="F24" s="69" t="s">
        <v>152</v>
      </c>
      <c r="G24" s="69" t="s">
        <v>171</v>
      </c>
    </row>
    <row r="25" spans="2:7" ht="12.95" customHeight="1" x14ac:dyDescent="0.2">
      <c r="B25" s="72"/>
      <c r="D25" s="65" t="s">
        <v>82</v>
      </c>
      <c r="E25" s="69" t="s">
        <v>148</v>
      </c>
      <c r="F25" s="69" t="s">
        <v>153</v>
      </c>
      <c r="G25" s="69" t="s">
        <v>172</v>
      </c>
    </row>
    <row r="26" spans="2:7" ht="12.95" customHeight="1" x14ac:dyDescent="0.2">
      <c r="B26" s="72"/>
      <c r="D26" s="65" t="s">
        <v>83</v>
      </c>
      <c r="E26" s="69" t="s">
        <v>149</v>
      </c>
      <c r="F26" s="69" t="s">
        <v>154</v>
      </c>
      <c r="G26" s="69" t="s">
        <v>173</v>
      </c>
    </row>
    <row r="27" spans="2:7" ht="12.95" customHeight="1" x14ac:dyDescent="0.2">
      <c r="B27" s="72"/>
      <c r="D27" s="65" t="s">
        <v>84</v>
      </c>
      <c r="E27" s="69" t="s">
        <v>146</v>
      </c>
      <c r="F27" s="69" t="s">
        <v>155</v>
      </c>
      <c r="G27" s="69" t="s">
        <v>174</v>
      </c>
    </row>
    <row r="28" spans="2:7" ht="12.95" customHeight="1" x14ac:dyDescent="0.2">
      <c r="B28" s="72"/>
      <c r="D28" s="65" t="s">
        <v>85</v>
      </c>
      <c r="E28" s="69" t="s">
        <v>150</v>
      </c>
      <c r="F28" s="69" t="s">
        <v>156</v>
      </c>
      <c r="G28" s="69" t="s">
        <v>175</v>
      </c>
    </row>
    <row r="29" spans="2:7" ht="12.95" customHeight="1" x14ac:dyDescent="0.2">
      <c r="B29" s="72"/>
      <c r="D29" s="65" t="s">
        <v>86</v>
      </c>
      <c r="E29" s="69" t="s">
        <v>146</v>
      </c>
      <c r="F29" s="69" t="s">
        <v>157</v>
      </c>
      <c r="G29" s="69" t="s">
        <v>176</v>
      </c>
    </row>
    <row r="30" spans="2:7" ht="12.95" customHeight="1" x14ac:dyDescent="0.2">
      <c r="B30" s="72"/>
      <c r="D30" s="65" t="s">
        <v>87</v>
      </c>
      <c r="E30" s="69" t="s">
        <v>151</v>
      </c>
      <c r="F30" s="69" t="s">
        <v>158</v>
      </c>
      <c r="G30" s="69" t="s">
        <v>177</v>
      </c>
    </row>
    <row r="31" spans="2:7" ht="12.95" customHeight="1" x14ac:dyDescent="0.2">
      <c r="B31" s="72"/>
      <c r="D31" s="65" t="s">
        <v>88</v>
      </c>
      <c r="E31" s="69" t="s">
        <v>151</v>
      </c>
      <c r="F31" s="69" t="s">
        <v>159</v>
      </c>
      <c r="G31" s="69" t="s">
        <v>178</v>
      </c>
    </row>
    <row r="32" spans="2:7" ht="12.95" customHeight="1" x14ac:dyDescent="0.2">
      <c r="B32" s="72"/>
      <c r="D32" s="65" t="s">
        <v>89</v>
      </c>
      <c r="E32" s="69" t="s">
        <v>117</v>
      </c>
      <c r="F32" s="69" t="s">
        <v>159</v>
      </c>
      <c r="G32" s="69" t="s">
        <v>179</v>
      </c>
    </row>
    <row r="33" spans="2:7" ht="12.95" customHeight="1" x14ac:dyDescent="0.2">
      <c r="B33" s="72"/>
      <c r="D33" s="65" t="s">
        <v>90</v>
      </c>
      <c r="E33" s="69" t="s">
        <v>160</v>
      </c>
      <c r="F33" s="69" t="s">
        <v>164</v>
      </c>
      <c r="G33" s="69" t="s">
        <v>180</v>
      </c>
    </row>
    <row r="34" spans="2:7" ht="12.95" customHeight="1" x14ac:dyDescent="0.2">
      <c r="B34" s="72"/>
      <c r="D34" s="65" t="s">
        <v>91</v>
      </c>
      <c r="E34" s="69" t="s">
        <v>161</v>
      </c>
      <c r="F34" s="69" t="s">
        <v>165</v>
      </c>
      <c r="G34" s="69" t="s">
        <v>181</v>
      </c>
    </row>
    <row r="35" spans="2:7" ht="12.95" customHeight="1" x14ac:dyDescent="0.2">
      <c r="B35" s="72"/>
      <c r="D35" s="65" t="s">
        <v>92</v>
      </c>
      <c r="E35" s="69" t="s">
        <v>140</v>
      </c>
      <c r="F35" s="69" t="s">
        <v>166</v>
      </c>
      <c r="G35" s="69" t="s">
        <v>182</v>
      </c>
    </row>
    <row r="36" spans="2:7" ht="12.95" customHeight="1" x14ac:dyDescent="0.2">
      <c r="B36" s="72"/>
      <c r="D36" s="65" t="s">
        <v>93</v>
      </c>
      <c r="E36" s="69" t="s">
        <v>140</v>
      </c>
      <c r="F36" s="69" t="s">
        <v>167</v>
      </c>
      <c r="G36" s="69" t="s">
        <v>183</v>
      </c>
    </row>
    <row r="37" spans="2:7" ht="12.95" customHeight="1" x14ac:dyDescent="0.2">
      <c r="B37" s="72"/>
      <c r="D37" s="65" t="s">
        <v>94</v>
      </c>
      <c r="E37" s="69" t="s">
        <v>162</v>
      </c>
      <c r="F37" s="69" t="s">
        <v>168</v>
      </c>
      <c r="G37" s="69" t="s">
        <v>184</v>
      </c>
    </row>
    <row r="38" spans="2:7" ht="12.95" customHeight="1" x14ac:dyDescent="0.2">
      <c r="B38" s="72"/>
      <c r="D38" s="65" t="s">
        <v>95</v>
      </c>
      <c r="E38" s="69" t="s">
        <v>163</v>
      </c>
      <c r="F38" s="69" t="s">
        <v>169</v>
      </c>
      <c r="G38" s="69" t="s">
        <v>185</v>
      </c>
    </row>
    <row r="39" spans="2:7" ht="12.95" customHeight="1" x14ac:dyDescent="0.2">
      <c r="B39" s="72"/>
      <c r="D39" s="65" t="s">
        <v>96</v>
      </c>
      <c r="E39" s="69" t="s">
        <v>117</v>
      </c>
      <c r="F39" s="69" t="s">
        <v>170</v>
      </c>
      <c r="G39" s="69" t="s">
        <v>186</v>
      </c>
    </row>
    <row r="40" spans="2:7" x14ac:dyDescent="0.2">
      <c r="B40" s="72"/>
      <c r="D40" s="66" t="s">
        <v>97</v>
      </c>
      <c r="E40" s="70">
        <v>2</v>
      </c>
      <c r="F40" s="70">
        <v>0.9</v>
      </c>
      <c r="G40" s="70">
        <v>6</v>
      </c>
    </row>
  </sheetData>
  <phoneticPr fontId="56" type="noConversion"/>
  <pageMargins left="0.75" right="0.75" top="1" bottom="1" header="0" footer="0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AE0AA-F89A-4EB3-9EF1-C718ED9E7690}">
  <sheetPr codeName="Hoja15"/>
  <dimension ref="B1:O56"/>
  <sheetViews>
    <sheetView showGridLines="0" zoomScale="75" workbookViewId="0">
      <selection activeCell="B2" sqref="B2"/>
    </sheetView>
  </sheetViews>
  <sheetFormatPr baseColWidth="10" defaultRowHeight="12.75" x14ac:dyDescent="0.2"/>
  <cols>
    <col min="1" max="1" width="3.85546875" customWidth="1"/>
    <col min="2" max="2" width="17.85546875" customWidth="1"/>
    <col min="3" max="14" width="6.7109375" customWidth="1"/>
  </cols>
  <sheetData>
    <row r="1" spans="2:15" x14ac:dyDescent="0.2">
      <c r="B1" s="5" t="s">
        <v>507</v>
      </c>
    </row>
    <row r="2" spans="2:15" x14ac:dyDescent="0.2">
      <c r="B2" t="s">
        <v>508</v>
      </c>
      <c r="H2" s="33"/>
    </row>
    <row r="3" spans="2:15" x14ac:dyDescent="0.2">
      <c r="C3" s="84">
        <v>31</v>
      </c>
      <c r="D3" s="84">
        <v>28</v>
      </c>
      <c r="E3" s="84">
        <v>31</v>
      </c>
      <c r="F3" s="84">
        <v>30</v>
      </c>
      <c r="G3" s="84">
        <v>31</v>
      </c>
      <c r="H3" s="84">
        <v>30</v>
      </c>
      <c r="I3" s="84">
        <v>31</v>
      </c>
      <c r="J3" s="84">
        <v>31</v>
      </c>
      <c r="K3" s="84">
        <v>30</v>
      </c>
      <c r="L3" s="84">
        <v>31</v>
      </c>
      <c r="M3" s="84">
        <v>30</v>
      </c>
      <c r="N3" s="84">
        <v>31</v>
      </c>
    </row>
    <row r="4" spans="2:15" ht="16.5" x14ac:dyDescent="0.2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266" t="s">
        <v>311</v>
      </c>
    </row>
    <row r="5" spans="2:15" x14ac:dyDescent="0.2">
      <c r="B5" s="268" t="s">
        <v>203</v>
      </c>
      <c r="C5" s="267">
        <v>5</v>
      </c>
      <c r="D5" s="267">
        <v>5</v>
      </c>
      <c r="E5" s="267">
        <v>9</v>
      </c>
      <c r="F5" s="267">
        <v>10</v>
      </c>
      <c r="G5" s="267">
        <v>13</v>
      </c>
      <c r="H5" s="267">
        <v>17</v>
      </c>
      <c r="I5" s="267">
        <v>19</v>
      </c>
      <c r="J5" s="267">
        <v>19</v>
      </c>
      <c r="K5" s="267">
        <v>17</v>
      </c>
      <c r="L5" s="267">
        <v>13</v>
      </c>
      <c r="M5" s="267">
        <v>8</v>
      </c>
      <c r="N5" s="267">
        <v>5</v>
      </c>
      <c r="O5" s="91">
        <f>+(C5*$C$3+D5*$D$3+E5*$E$3+F5*$F$3+G5*$G$3+H5*$H$3+I5*$I$3+J5*$J$3+K5*$K$3+L5*$L$3+M5*$M$3+N5*$N$3)/365</f>
        <v>11.706849315068494</v>
      </c>
    </row>
    <row r="6" spans="2:15" x14ac:dyDescent="0.2">
      <c r="B6" s="268" t="s">
        <v>204</v>
      </c>
      <c r="C6" s="84">
        <v>4</v>
      </c>
      <c r="D6" s="84">
        <v>6</v>
      </c>
      <c r="E6" s="84">
        <v>9</v>
      </c>
      <c r="F6" s="84">
        <v>11</v>
      </c>
      <c r="G6" s="84">
        <v>15</v>
      </c>
      <c r="H6" s="84">
        <v>22</v>
      </c>
      <c r="I6" s="84">
        <v>24</v>
      </c>
      <c r="J6" s="84">
        <v>24</v>
      </c>
      <c r="K6" s="84">
        <v>18</v>
      </c>
      <c r="L6" s="84">
        <v>14</v>
      </c>
      <c r="M6" s="84">
        <v>9</v>
      </c>
      <c r="N6" s="84">
        <v>5</v>
      </c>
      <c r="O6" s="92">
        <f t="shared" ref="O6:O56" si="0">+(C6*$C$3+D6*$D$3+E6*$E$3+F6*$F$3+G6*$G$3+H6*$H$3+I6*$I$3+J6*$J$3+K6*$K$3+L6*$L$3+M6*$M$3+N6*$N$3)/365</f>
        <v>13.46027397260274</v>
      </c>
    </row>
    <row r="7" spans="2:15" x14ac:dyDescent="0.2">
      <c r="B7" s="268" t="s">
        <v>205</v>
      </c>
      <c r="C7" s="84">
        <v>11</v>
      </c>
      <c r="D7" s="84">
        <v>12</v>
      </c>
      <c r="E7" s="84">
        <v>14</v>
      </c>
      <c r="F7" s="84">
        <v>16</v>
      </c>
      <c r="G7" s="84">
        <v>19</v>
      </c>
      <c r="H7" s="84">
        <v>23</v>
      </c>
      <c r="I7" s="84">
        <v>25</v>
      </c>
      <c r="J7" s="84">
        <v>26</v>
      </c>
      <c r="K7" s="84">
        <v>24</v>
      </c>
      <c r="L7" s="84">
        <v>19</v>
      </c>
      <c r="M7" s="84">
        <v>15</v>
      </c>
      <c r="N7" s="84">
        <v>12</v>
      </c>
      <c r="O7" s="92">
        <f t="shared" si="0"/>
        <v>18.032876712328768</v>
      </c>
    </row>
    <row r="8" spans="2:15" x14ac:dyDescent="0.2">
      <c r="B8" s="268" t="s">
        <v>206</v>
      </c>
      <c r="C8" s="84">
        <v>12</v>
      </c>
      <c r="D8" s="84">
        <v>12</v>
      </c>
      <c r="E8" s="84">
        <v>14</v>
      </c>
      <c r="F8" s="84">
        <v>16</v>
      </c>
      <c r="G8" s="84">
        <v>18</v>
      </c>
      <c r="H8" s="84">
        <v>22</v>
      </c>
      <c r="I8" s="84">
        <v>25</v>
      </c>
      <c r="J8" s="84">
        <v>25</v>
      </c>
      <c r="K8" s="84">
        <v>23</v>
      </c>
      <c r="L8" s="84">
        <v>19</v>
      </c>
      <c r="M8" s="84">
        <v>16</v>
      </c>
      <c r="N8" s="84">
        <v>13</v>
      </c>
      <c r="O8" s="92">
        <f t="shared" si="0"/>
        <v>17.950684931506849</v>
      </c>
    </row>
    <row r="9" spans="2:15" x14ac:dyDescent="0.2">
      <c r="B9" s="268" t="s">
        <v>207</v>
      </c>
      <c r="C9" s="84">
        <v>9</v>
      </c>
      <c r="D9" s="84">
        <v>9</v>
      </c>
      <c r="E9" s="84">
        <v>11</v>
      </c>
      <c r="F9" s="84">
        <v>12</v>
      </c>
      <c r="G9" s="84">
        <v>14</v>
      </c>
      <c r="H9" s="84">
        <v>17</v>
      </c>
      <c r="I9" s="84">
        <v>20</v>
      </c>
      <c r="J9" s="84">
        <v>19</v>
      </c>
      <c r="K9" s="84">
        <v>18</v>
      </c>
      <c r="L9" s="84">
        <v>15</v>
      </c>
      <c r="M9" s="84">
        <v>12</v>
      </c>
      <c r="N9" s="84">
        <v>10</v>
      </c>
      <c r="O9" s="92">
        <f t="shared" si="0"/>
        <v>13.863013698630137</v>
      </c>
    </row>
    <row r="10" spans="2:15" x14ac:dyDescent="0.2">
      <c r="B10" s="268" t="s">
        <v>208</v>
      </c>
      <c r="C10" s="84">
        <v>2</v>
      </c>
      <c r="D10" s="84">
        <v>3</v>
      </c>
      <c r="E10" s="84">
        <v>6</v>
      </c>
      <c r="F10" s="84">
        <v>9</v>
      </c>
      <c r="G10" s="84">
        <v>12</v>
      </c>
      <c r="H10" s="84">
        <v>16</v>
      </c>
      <c r="I10" s="84">
        <v>20</v>
      </c>
      <c r="J10" s="84">
        <v>20</v>
      </c>
      <c r="K10" s="84">
        <v>16</v>
      </c>
      <c r="L10" s="84">
        <v>11</v>
      </c>
      <c r="M10" s="84">
        <v>6</v>
      </c>
      <c r="N10" s="84">
        <v>3</v>
      </c>
      <c r="O10" s="92">
        <f t="shared" si="0"/>
        <v>10.378082191780821</v>
      </c>
    </row>
    <row r="11" spans="2:15" x14ac:dyDescent="0.2">
      <c r="B11" s="268" t="s">
        <v>209</v>
      </c>
      <c r="C11" s="84">
        <v>9</v>
      </c>
      <c r="D11" s="84">
        <v>10</v>
      </c>
      <c r="E11" s="84">
        <v>13</v>
      </c>
      <c r="F11" s="84">
        <v>15</v>
      </c>
      <c r="G11" s="84">
        <v>18</v>
      </c>
      <c r="H11" s="84">
        <v>23</v>
      </c>
      <c r="I11" s="84">
        <v>26</v>
      </c>
      <c r="J11" s="84">
        <v>25</v>
      </c>
      <c r="K11" s="84">
        <v>23</v>
      </c>
      <c r="L11" s="84">
        <v>18</v>
      </c>
      <c r="M11" s="84">
        <v>13</v>
      </c>
      <c r="N11" s="84">
        <v>9</v>
      </c>
      <c r="O11" s="92">
        <f t="shared" si="0"/>
        <v>16.87123287671233</v>
      </c>
    </row>
    <row r="12" spans="2:15" x14ac:dyDescent="0.2">
      <c r="B12" s="268" t="s">
        <v>210</v>
      </c>
      <c r="C12" s="84">
        <v>10</v>
      </c>
      <c r="D12" s="84">
        <v>10</v>
      </c>
      <c r="E12" s="84">
        <v>12</v>
      </c>
      <c r="F12" s="84">
        <v>14</v>
      </c>
      <c r="G12" s="84">
        <v>17</v>
      </c>
      <c r="H12" s="84">
        <v>21</v>
      </c>
      <c r="I12" s="84">
        <v>24</v>
      </c>
      <c r="J12" s="84">
        <v>24</v>
      </c>
      <c r="K12" s="84">
        <v>23</v>
      </c>
      <c r="L12" s="84">
        <v>18</v>
      </c>
      <c r="M12" s="84">
        <v>14</v>
      </c>
      <c r="N12" s="84">
        <v>12</v>
      </c>
      <c r="O12" s="92">
        <f t="shared" si="0"/>
        <v>16.621917808219177</v>
      </c>
    </row>
    <row r="13" spans="2:15" x14ac:dyDescent="0.2">
      <c r="B13" s="268" t="s">
        <v>211</v>
      </c>
      <c r="C13" s="84">
        <v>9</v>
      </c>
      <c r="D13" s="84">
        <v>10</v>
      </c>
      <c r="E13" s="84">
        <v>12</v>
      </c>
      <c r="F13" s="84">
        <v>15</v>
      </c>
      <c r="G13" s="84">
        <v>18</v>
      </c>
      <c r="H13" s="84">
        <v>22</v>
      </c>
      <c r="I13" s="84">
        <v>24</v>
      </c>
      <c r="J13" s="84">
        <v>24</v>
      </c>
      <c r="K13" s="84">
        <v>22</v>
      </c>
      <c r="L13" s="84">
        <v>17</v>
      </c>
      <c r="M13" s="84">
        <v>13</v>
      </c>
      <c r="N13" s="84">
        <v>10</v>
      </c>
      <c r="O13" s="92">
        <f t="shared" si="0"/>
        <v>16.367123287671234</v>
      </c>
    </row>
    <row r="14" spans="2:15" x14ac:dyDescent="0.2">
      <c r="B14" s="268" t="s">
        <v>212</v>
      </c>
      <c r="C14" s="84">
        <v>2</v>
      </c>
      <c r="D14" s="84">
        <v>5</v>
      </c>
      <c r="E14" s="84">
        <v>7</v>
      </c>
      <c r="F14" s="84">
        <v>9</v>
      </c>
      <c r="G14" s="84">
        <v>12</v>
      </c>
      <c r="H14" s="84">
        <v>16</v>
      </c>
      <c r="I14" s="84">
        <v>19</v>
      </c>
      <c r="J14" s="84">
        <v>19</v>
      </c>
      <c r="K14" s="84">
        <v>16</v>
      </c>
      <c r="L14" s="84">
        <v>11</v>
      </c>
      <c r="M14" s="84">
        <v>6</v>
      </c>
      <c r="N14" s="84">
        <v>3</v>
      </c>
      <c r="O14" s="92">
        <f t="shared" si="0"/>
        <v>10.446575342465753</v>
      </c>
    </row>
    <row r="15" spans="2:15" x14ac:dyDescent="0.2">
      <c r="B15" s="268" t="s">
        <v>213</v>
      </c>
      <c r="C15" s="84">
        <v>8</v>
      </c>
      <c r="D15" s="84">
        <v>9</v>
      </c>
      <c r="E15" s="84">
        <v>12</v>
      </c>
      <c r="F15" s="84">
        <v>14</v>
      </c>
      <c r="G15" s="84">
        <v>17</v>
      </c>
      <c r="H15" s="84">
        <v>22</v>
      </c>
      <c r="I15" s="84">
        <v>26</v>
      </c>
      <c r="J15" s="84">
        <v>26</v>
      </c>
      <c r="K15" s="84">
        <v>22</v>
      </c>
      <c r="L15" s="84">
        <v>17</v>
      </c>
      <c r="M15" s="84">
        <v>12</v>
      </c>
      <c r="N15" s="84">
        <v>8</v>
      </c>
      <c r="O15" s="92">
        <f t="shared" si="0"/>
        <v>16.126027397260273</v>
      </c>
    </row>
    <row r="16" spans="2:15" x14ac:dyDescent="0.2">
      <c r="B16" s="268" t="s">
        <v>509</v>
      </c>
      <c r="C16" s="84">
        <v>11</v>
      </c>
      <c r="D16" s="84">
        <v>12</v>
      </c>
      <c r="E16" s="84">
        <v>15</v>
      </c>
      <c r="F16" s="84">
        <v>17</v>
      </c>
      <c r="G16" s="84">
        <v>19</v>
      </c>
      <c r="H16" s="84">
        <v>22</v>
      </c>
      <c r="I16" s="84">
        <v>24</v>
      </c>
      <c r="J16" s="84">
        <v>25</v>
      </c>
      <c r="K16" s="84">
        <v>23</v>
      </c>
      <c r="L16" s="84">
        <v>19</v>
      </c>
      <c r="M16" s="84">
        <v>16</v>
      </c>
      <c r="N16" s="84">
        <v>12</v>
      </c>
      <c r="O16" s="92">
        <f t="shared" si="0"/>
        <v>17.947945205479453</v>
      </c>
    </row>
    <row r="17" spans="2:15" x14ac:dyDescent="0.2">
      <c r="B17" s="268" t="s">
        <v>215</v>
      </c>
      <c r="C17" s="84">
        <v>9</v>
      </c>
      <c r="D17" s="84">
        <v>9</v>
      </c>
      <c r="E17" s="84">
        <v>11</v>
      </c>
      <c r="F17" s="84">
        <v>12</v>
      </c>
      <c r="G17" s="84">
        <v>14</v>
      </c>
      <c r="H17" s="84">
        <v>17</v>
      </c>
      <c r="I17" s="84">
        <v>19</v>
      </c>
      <c r="J17" s="84">
        <v>19</v>
      </c>
      <c r="K17" s="84">
        <v>18</v>
      </c>
      <c r="L17" s="84">
        <v>15</v>
      </c>
      <c r="M17" s="84">
        <v>12</v>
      </c>
      <c r="N17" s="84">
        <v>10</v>
      </c>
      <c r="O17" s="92">
        <f t="shared" si="0"/>
        <v>13.778082191780822</v>
      </c>
    </row>
    <row r="18" spans="2:15" x14ac:dyDescent="0.2">
      <c r="B18" s="268" t="s">
        <v>216</v>
      </c>
      <c r="C18" s="84">
        <v>10</v>
      </c>
      <c r="D18" s="84">
        <v>11</v>
      </c>
      <c r="E18" s="84">
        <v>13</v>
      </c>
      <c r="F18" s="84">
        <v>15</v>
      </c>
      <c r="G18" s="84">
        <v>18</v>
      </c>
      <c r="H18" s="84">
        <v>22</v>
      </c>
      <c r="I18" s="84">
        <v>24</v>
      </c>
      <c r="J18" s="84">
        <v>25</v>
      </c>
      <c r="K18" s="84">
        <v>23</v>
      </c>
      <c r="L18" s="84">
        <v>19</v>
      </c>
      <c r="M18" s="84">
        <v>14</v>
      </c>
      <c r="N18" s="84">
        <v>11</v>
      </c>
      <c r="O18" s="92">
        <f t="shared" si="0"/>
        <v>17.117808219178084</v>
      </c>
    </row>
    <row r="19" spans="2:15" x14ac:dyDescent="0.2">
      <c r="B19" s="268" t="s">
        <v>217</v>
      </c>
      <c r="C19" s="84">
        <v>12</v>
      </c>
      <c r="D19" s="84">
        <v>12</v>
      </c>
      <c r="E19" s="84">
        <v>13</v>
      </c>
      <c r="F19" s="84">
        <v>15</v>
      </c>
      <c r="G19" s="84">
        <v>17</v>
      </c>
      <c r="H19" s="84">
        <v>20</v>
      </c>
      <c r="I19" s="84">
        <v>22</v>
      </c>
      <c r="J19" s="84">
        <v>23</v>
      </c>
      <c r="K19" s="84">
        <v>21</v>
      </c>
      <c r="L19" s="84">
        <v>18</v>
      </c>
      <c r="M19" s="84">
        <v>15</v>
      </c>
      <c r="N19" s="84">
        <v>13</v>
      </c>
      <c r="O19" s="92">
        <f t="shared" si="0"/>
        <v>16.778082191780822</v>
      </c>
    </row>
    <row r="20" spans="2:15" x14ac:dyDescent="0.2">
      <c r="B20" s="268" t="s">
        <v>218</v>
      </c>
      <c r="C20" s="84">
        <v>5</v>
      </c>
      <c r="D20" s="84">
        <v>7</v>
      </c>
      <c r="E20" s="84">
        <v>10</v>
      </c>
      <c r="F20" s="84">
        <v>13</v>
      </c>
      <c r="G20" s="84">
        <v>16</v>
      </c>
      <c r="H20" s="84">
        <v>21</v>
      </c>
      <c r="I20" s="84">
        <v>25</v>
      </c>
      <c r="J20" s="84">
        <v>25</v>
      </c>
      <c r="K20" s="84">
        <v>21</v>
      </c>
      <c r="L20" s="84">
        <v>15</v>
      </c>
      <c r="M20" s="84">
        <v>9</v>
      </c>
      <c r="N20" s="84">
        <v>6</v>
      </c>
      <c r="O20" s="92">
        <f t="shared" si="0"/>
        <v>14.46027397260274</v>
      </c>
    </row>
    <row r="21" spans="2:15" x14ac:dyDescent="0.2">
      <c r="B21" s="268" t="s">
        <v>219</v>
      </c>
      <c r="C21" s="84">
        <v>9</v>
      </c>
      <c r="D21" s="84">
        <v>11</v>
      </c>
      <c r="E21" s="84">
        <v>13</v>
      </c>
      <c r="F21" s="84">
        <v>16</v>
      </c>
      <c r="G21" s="84">
        <v>19</v>
      </c>
      <c r="H21" s="84">
        <v>24</v>
      </c>
      <c r="I21" s="84">
        <v>28</v>
      </c>
      <c r="J21" s="84">
        <v>28</v>
      </c>
      <c r="K21" s="84">
        <v>24</v>
      </c>
      <c r="L21" s="84">
        <v>19</v>
      </c>
      <c r="M21" s="84">
        <v>14</v>
      </c>
      <c r="N21" s="84">
        <v>10</v>
      </c>
      <c r="O21" s="92">
        <f t="shared" si="0"/>
        <v>17.956164383561642</v>
      </c>
    </row>
    <row r="22" spans="2:15" x14ac:dyDescent="0.2">
      <c r="B22" s="268" t="s">
        <v>510</v>
      </c>
      <c r="C22" s="84">
        <v>10</v>
      </c>
      <c r="D22" s="84">
        <v>10</v>
      </c>
      <c r="E22" s="84">
        <v>11</v>
      </c>
      <c r="F22" s="84">
        <v>12</v>
      </c>
      <c r="G22" s="84">
        <v>14</v>
      </c>
      <c r="H22" s="84">
        <v>16</v>
      </c>
      <c r="I22" s="84">
        <v>18</v>
      </c>
      <c r="J22" s="84">
        <v>19</v>
      </c>
      <c r="K22" s="84">
        <v>18</v>
      </c>
      <c r="L22" s="84">
        <v>15</v>
      </c>
      <c r="M22" s="84">
        <v>12</v>
      </c>
      <c r="N22" s="84">
        <v>10</v>
      </c>
      <c r="O22" s="92">
        <f t="shared" si="0"/>
        <v>13.772602739726027</v>
      </c>
    </row>
    <row r="23" spans="2:15" x14ac:dyDescent="0.2">
      <c r="B23" s="268" t="s">
        <v>221</v>
      </c>
      <c r="C23" s="84">
        <v>3</v>
      </c>
      <c r="D23" s="84">
        <v>4</v>
      </c>
      <c r="E23" s="84">
        <v>7</v>
      </c>
      <c r="F23" s="84">
        <v>10</v>
      </c>
      <c r="G23" s="84">
        <v>13</v>
      </c>
      <c r="H23" s="84">
        <v>18</v>
      </c>
      <c r="I23" s="84">
        <v>22</v>
      </c>
      <c r="J23" s="84">
        <v>21</v>
      </c>
      <c r="K23" s="84">
        <v>18</v>
      </c>
      <c r="L23" s="84">
        <v>12</v>
      </c>
      <c r="M23" s="84">
        <v>7</v>
      </c>
      <c r="N23" s="84">
        <v>4</v>
      </c>
      <c r="O23" s="92">
        <f t="shared" si="0"/>
        <v>11.627397260273973</v>
      </c>
    </row>
    <row r="24" spans="2:15" x14ac:dyDescent="0.2">
      <c r="B24" s="268" t="s">
        <v>222</v>
      </c>
      <c r="C24" s="84">
        <v>7</v>
      </c>
      <c r="D24" s="84">
        <v>8</v>
      </c>
      <c r="E24" s="84">
        <v>11</v>
      </c>
      <c r="F24" s="84">
        <v>13</v>
      </c>
      <c r="G24" s="84">
        <v>17</v>
      </c>
      <c r="H24" s="84">
        <v>21</v>
      </c>
      <c r="I24" s="84">
        <v>23</v>
      </c>
      <c r="J24" s="84">
        <v>23</v>
      </c>
      <c r="K24" s="84">
        <v>21</v>
      </c>
      <c r="L24" s="84">
        <v>16</v>
      </c>
      <c r="M24" s="84">
        <v>11</v>
      </c>
      <c r="N24" s="84">
        <v>8</v>
      </c>
      <c r="O24" s="92">
        <f t="shared" si="0"/>
        <v>14.956164383561644</v>
      </c>
    </row>
    <row r="25" spans="2:15" x14ac:dyDescent="0.2">
      <c r="B25" s="268" t="s">
        <v>223</v>
      </c>
      <c r="C25" s="84">
        <v>7</v>
      </c>
      <c r="D25" s="84">
        <v>8</v>
      </c>
      <c r="E25" s="84">
        <v>11</v>
      </c>
      <c r="F25" s="84">
        <v>13</v>
      </c>
      <c r="G25" s="84">
        <v>16</v>
      </c>
      <c r="H25" s="84">
        <v>22</v>
      </c>
      <c r="I25" s="84">
        <v>26</v>
      </c>
      <c r="J25" s="84">
        <v>25</v>
      </c>
      <c r="K25" s="84">
        <v>22</v>
      </c>
      <c r="L25" s="84">
        <v>16</v>
      </c>
      <c r="M25" s="84">
        <v>12</v>
      </c>
      <c r="N25" s="84">
        <v>8</v>
      </c>
      <c r="O25" s="92">
        <f t="shared" si="0"/>
        <v>15.542465753424658</v>
      </c>
    </row>
    <row r="26" spans="2:15" x14ac:dyDescent="0.2">
      <c r="B26" s="268" t="s">
        <v>224</v>
      </c>
      <c r="C26" s="84">
        <v>3</v>
      </c>
      <c r="D26" s="84">
        <v>6</v>
      </c>
      <c r="E26" s="84">
        <v>9</v>
      </c>
      <c r="F26" s="84">
        <v>12</v>
      </c>
      <c r="G26" s="84">
        <v>16</v>
      </c>
      <c r="H26" s="84">
        <v>20</v>
      </c>
      <c r="I26" s="84">
        <v>24</v>
      </c>
      <c r="J26" s="84">
        <v>23</v>
      </c>
      <c r="K26" s="84">
        <v>20</v>
      </c>
      <c r="L26" s="84">
        <v>14</v>
      </c>
      <c r="M26" s="84">
        <v>8</v>
      </c>
      <c r="N26" s="84">
        <v>5</v>
      </c>
      <c r="O26" s="92">
        <f t="shared" si="0"/>
        <v>13.375342465753425</v>
      </c>
    </row>
    <row r="27" spans="2:15" x14ac:dyDescent="0.2">
      <c r="B27" s="268" t="s">
        <v>225</v>
      </c>
      <c r="C27" s="84">
        <v>8</v>
      </c>
      <c r="D27" s="84">
        <v>8</v>
      </c>
      <c r="E27" s="84">
        <v>11</v>
      </c>
      <c r="F27" s="84">
        <v>12</v>
      </c>
      <c r="G27" s="84">
        <v>16</v>
      </c>
      <c r="H27" s="84">
        <v>17</v>
      </c>
      <c r="I27" s="84">
        <v>15</v>
      </c>
      <c r="J27" s="84">
        <v>19</v>
      </c>
      <c r="K27" s="84">
        <v>18</v>
      </c>
      <c r="L27" s="84">
        <v>15</v>
      </c>
      <c r="M27" s="84">
        <v>11</v>
      </c>
      <c r="N27" s="84">
        <v>8</v>
      </c>
      <c r="O27" s="92">
        <f t="shared" si="0"/>
        <v>13.194520547945206</v>
      </c>
    </row>
    <row r="28" spans="2:15" x14ac:dyDescent="0.2">
      <c r="B28" s="268" t="s">
        <v>226</v>
      </c>
      <c r="C28" s="84">
        <v>11</v>
      </c>
      <c r="D28" s="84">
        <v>12</v>
      </c>
      <c r="E28" s="84">
        <v>14</v>
      </c>
      <c r="F28" s="84">
        <v>18</v>
      </c>
      <c r="G28" s="84">
        <v>19</v>
      </c>
      <c r="H28" s="84">
        <v>22</v>
      </c>
      <c r="I28" s="84">
        <v>25</v>
      </c>
      <c r="J28" s="84">
        <v>25</v>
      </c>
      <c r="K28" s="84">
        <v>23</v>
      </c>
      <c r="L28" s="84">
        <v>19</v>
      </c>
      <c r="M28" s="84">
        <v>15</v>
      </c>
      <c r="N28" s="84">
        <v>12</v>
      </c>
      <c r="O28" s="92">
        <f t="shared" si="0"/>
        <v>17.947945205479453</v>
      </c>
    </row>
    <row r="29" spans="2:15" x14ac:dyDescent="0.2">
      <c r="B29" s="268" t="s">
        <v>227</v>
      </c>
      <c r="C29" s="84">
        <v>5</v>
      </c>
      <c r="D29" s="84">
        <v>6</v>
      </c>
      <c r="E29" s="84">
        <v>10</v>
      </c>
      <c r="F29" s="84">
        <v>12</v>
      </c>
      <c r="G29" s="84">
        <v>16</v>
      </c>
      <c r="H29" s="84">
        <v>20</v>
      </c>
      <c r="I29" s="84">
        <v>23</v>
      </c>
      <c r="J29" s="84">
        <v>22</v>
      </c>
      <c r="K29" s="84">
        <v>19</v>
      </c>
      <c r="L29" s="84">
        <v>14</v>
      </c>
      <c r="M29" s="84">
        <v>9</v>
      </c>
      <c r="N29" s="84">
        <v>5</v>
      </c>
      <c r="O29" s="92">
        <f t="shared" si="0"/>
        <v>13.46027397260274</v>
      </c>
    </row>
    <row r="30" spans="2:15" x14ac:dyDescent="0.2">
      <c r="B30" s="268" t="s">
        <v>228</v>
      </c>
      <c r="C30" s="84">
        <v>8</v>
      </c>
      <c r="D30" s="84">
        <v>10</v>
      </c>
      <c r="E30" s="84">
        <v>12</v>
      </c>
      <c r="F30" s="84">
        <v>14</v>
      </c>
      <c r="G30" s="84">
        <v>18</v>
      </c>
      <c r="H30" s="84">
        <v>24</v>
      </c>
      <c r="I30" s="84">
        <v>28</v>
      </c>
      <c r="J30" s="84">
        <v>27</v>
      </c>
      <c r="K30" s="84">
        <v>23</v>
      </c>
      <c r="L30" s="84">
        <v>18</v>
      </c>
      <c r="M30" s="84">
        <v>13</v>
      </c>
      <c r="N30" s="84">
        <v>9</v>
      </c>
      <c r="O30" s="92">
        <f t="shared" si="0"/>
        <v>17.041095890410958</v>
      </c>
    </row>
    <row r="31" spans="2:15" x14ac:dyDescent="0.2">
      <c r="B31" s="268" t="s">
        <v>229</v>
      </c>
      <c r="C31" s="84">
        <v>3</v>
      </c>
      <c r="D31" s="84">
        <v>4</v>
      </c>
      <c r="E31" s="84">
        <v>8</v>
      </c>
      <c r="F31" s="84">
        <v>10</v>
      </c>
      <c r="G31" s="84">
        <v>12</v>
      </c>
      <c r="H31" s="84">
        <v>17</v>
      </c>
      <c r="I31" s="84">
        <v>20</v>
      </c>
      <c r="J31" s="84">
        <v>19</v>
      </c>
      <c r="K31" s="84">
        <v>17</v>
      </c>
      <c r="L31" s="84">
        <v>12</v>
      </c>
      <c r="M31" s="84">
        <v>7</v>
      </c>
      <c r="N31" s="84">
        <v>4</v>
      </c>
      <c r="O31" s="92">
        <f t="shared" si="0"/>
        <v>11.123287671232877</v>
      </c>
    </row>
    <row r="32" spans="2:15" x14ac:dyDescent="0.2">
      <c r="B32" s="268" t="s">
        <v>230</v>
      </c>
      <c r="C32" s="84">
        <v>5</v>
      </c>
      <c r="D32" s="84">
        <v>9</v>
      </c>
      <c r="E32" s="84">
        <v>11</v>
      </c>
      <c r="F32" s="84">
        <v>12</v>
      </c>
      <c r="G32" s="84">
        <v>16</v>
      </c>
      <c r="H32" s="84">
        <v>20</v>
      </c>
      <c r="I32" s="84">
        <v>24</v>
      </c>
      <c r="J32" s="84">
        <v>24</v>
      </c>
      <c r="K32" s="84">
        <v>22</v>
      </c>
      <c r="L32" s="84">
        <v>15</v>
      </c>
      <c r="M32" s="84">
        <v>8</v>
      </c>
      <c r="N32" s="84">
        <v>7</v>
      </c>
      <c r="O32" s="92">
        <f t="shared" si="0"/>
        <v>14.449315068493151</v>
      </c>
    </row>
    <row r="33" spans="2:15" x14ac:dyDescent="0.2">
      <c r="B33" s="268" t="s">
        <v>231</v>
      </c>
      <c r="C33" s="84">
        <v>6</v>
      </c>
      <c r="D33" s="84">
        <v>7</v>
      </c>
      <c r="E33" s="84">
        <v>9</v>
      </c>
      <c r="F33" s="84">
        <v>11</v>
      </c>
      <c r="G33" s="84">
        <v>13</v>
      </c>
      <c r="H33" s="84">
        <v>16</v>
      </c>
      <c r="I33" s="84">
        <v>18</v>
      </c>
      <c r="J33" s="84">
        <v>17</v>
      </c>
      <c r="K33" s="84">
        <v>17</v>
      </c>
      <c r="L33" s="84">
        <v>13</v>
      </c>
      <c r="M33" s="84">
        <v>9</v>
      </c>
      <c r="N33" s="84">
        <v>6</v>
      </c>
      <c r="O33" s="92">
        <f t="shared" si="0"/>
        <v>11.857534246575343</v>
      </c>
    </row>
    <row r="34" spans="2:15" x14ac:dyDescent="0.2">
      <c r="B34" s="268" t="s">
        <v>232</v>
      </c>
      <c r="C34" s="84">
        <v>5</v>
      </c>
      <c r="D34" s="84">
        <v>6</v>
      </c>
      <c r="E34" s="84">
        <v>10</v>
      </c>
      <c r="F34" s="84">
        <v>13</v>
      </c>
      <c r="G34" s="84">
        <v>16</v>
      </c>
      <c r="H34" s="84">
        <v>21</v>
      </c>
      <c r="I34" s="84">
        <v>24</v>
      </c>
      <c r="J34" s="84">
        <v>24</v>
      </c>
      <c r="K34" s="84">
        <v>20</v>
      </c>
      <c r="L34" s="84">
        <v>14</v>
      </c>
      <c r="M34" s="84">
        <v>9</v>
      </c>
      <c r="N34" s="84">
        <v>6</v>
      </c>
      <c r="O34" s="92">
        <f t="shared" si="0"/>
        <v>14.046575342465754</v>
      </c>
    </row>
    <row r="35" spans="2:15" x14ac:dyDescent="0.2">
      <c r="B35" s="268" t="s">
        <v>233</v>
      </c>
      <c r="C35" s="84">
        <v>12</v>
      </c>
      <c r="D35" s="84">
        <v>13</v>
      </c>
      <c r="E35" s="84">
        <v>15</v>
      </c>
      <c r="F35" s="84">
        <v>16</v>
      </c>
      <c r="G35" s="84">
        <v>19</v>
      </c>
      <c r="H35" s="84">
        <v>23</v>
      </c>
      <c r="I35" s="84">
        <v>25</v>
      </c>
      <c r="J35" s="84">
        <v>26</v>
      </c>
      <c r="K35" s="84">
        <v>23</v>
      </c>
      <c r="L35" s="84">
        <v>20</v>
      </c>
      <c r="M35" s="84">
        <v>16</v>
      </c>
      <c r="N35" s="84">
        <v>13</v>
      </c>
      <c r="O35" s="92">
        <f t="shared" si="0"/>
        <v>18.449315068493149</v>
      </c>
    </row>
    <row r="36" spans="2:15" x14ac:dyDescent="0.2">
      <c r="B36" s="268" t="s">
        <v>234</v>
      </c>
      <c r="C36" s="84">
        <v>12</v>
      </c>
      <c r="D36" s="84">
        <v>13</v>
      </c>
      <c r="E36" s="84">
        <v>14</v>
      </c>
      <c r="F36" s="84">
        <v>16</v>
      </c>
      <c r="G36" s="84">
        <v>18</v>
      </c>
      <c r="H36" s="84">
        <v>22</v>
      </c>
      <c r="I36" s="84">
        <v>24</v>
      </c>
      <c r="J36" s="84">
        <v>25</v>
      </c>
      <c r="K36" s="84">
        <v>23</v>
      </c>
      <c r="L36" s="84">
        <v>19</v>
      </c>
      <c r="M36" s="84">
        <v>16</v>
      </c>
      <c r="N36" s="84">
        <v>13</v>
      </c>
      <c r="O36" s="92">
        <f t="shared" si="0"/>
        <v>17.942465753424656</v>
      </c>
    </row>
    <row r="37" spans="2:15" x14ac:dyDescent="0.2">
      <c r="B37" s="268" t="s">
        <v>235</v>
      </c>
      <c r="C37" s="84">
        <v>11</v>
      </c>
      <c r="D37" s="84">
        <v>12</v>
      </c>
      <c r="E37" s="84">
        <v>14</v>
      </c>
      <c r="F37" s="84">
        <v>16</v>
      </c>
      <c r="G37" s="84">
        <v>19</v>
      </c>
      <c r="H37" s="84">
        <v>23</v>
      </c>
      <c r="I37" s="84">
        <v>26</v>
      </c>
      <c r="J37" s="84">
        <v>26</v>
      </c>
      <c r="K37" s="84">
        <v>24</v>
      </c>
      <c r="L37" s="84">
        <v>19</v>
      </c>
      <c r="M37" s="84">
        <v>14</v>
      </c>
      <c r="N37" s="84">
        <v>12</v>
      </c>
      <c r="O37" s="92">
        <f t="shared" si="0"/>
        <v>18.035616438356165</v>
      </c>
    </row>
    <row r="38" spans="2:15" x14ac:dyDescent="0.2">
      <c r="B38" s="268" t="s">
        <v>236</v>
      </c>
      <c r="C38" s="84">
        <v>5</v>
      </c>
      <c r="D38" s="84">
        <v>5</v>
      </c>
      <c r="E38" s="84">
        <v>9</v>
      </c>
      <c r="F38" s="84">
        <v>11</v>
      </c>
      <c r="G38" s="84">
        <v>14</v>
      </c>
      <c r="H38" s="84">
        <v>18</v>
      </c>
      <c r="I38" s="84">
        <v>20</v>
      </c>
      <c r="J38" s="84">
        <v>20</v>
      </c>
      <c r="K38" s="84">
        <v>18</v>
      </c>
      <c r="L38" s="84">
        <v>13</v>
      </c>
      <c r="M38" s="84">
        <v>8</v>
      </c>
      <c r="N38" s="84">
        <v>5</v>
      </c>
      <c r="O38" s="92">
        <f t="shared" si="0"/>
        <v>12.208219178082192</v>
      </c>
    </row>
    <row r="39" spans="2:15" x14ac:dyDescent="0.2">
      <c r="B39" s="268" t="s">
        <v>511</v>
      </c>
      <c r="C39" s="84">
        <v>7</v>
      </c>
      <c r="D39" s="84">
        <v>7</v>
      </c>
      <c r="E39" s="84">
        <v>11</v>
      </c>
      <c r="F39" s="84">
        <v>13</v>
      </c>
      <c r="G39" s="84">
        <v>16</v>
      </c>
      <c r="H39" s="84">
        <v>19</v>
      </c>
      <c r="I39" s="84">
        <v>22</v>
      </c>
      <c r="J39" s="84">
        <v>21</v>
      </c>
      <c r="K39" s="84">
        <v>19</v>
      </c>
      <c r="L39" s="84">
        <v>14</v>
      </c>
      <c r="M39" s="84">
        <v>9</v>
      </c>
      <c r="N39" s="84">
        <v>7</v>
      </c>
      <c r="O39" s="92">
        <f t="shared" si="0"/>
        <v>13.791780821917808</v>
      </c>
    </row>
    <row r="40" spans="2:15" x14ac:dyDescent="0.2">
      <c r="B40" s="268" t="s">
        <v>238</v>
      </c>
      <c r="C40" s="84">
        <v>3</v>
      </c>
      <c r="D40" s="84">
        <v>5</v>
      </c>
      <c r="E40" s="84">
        <v>8</v>
      </c>
      <c r="F40" s="84">
        <v>10</v>
      </c>
      <c r="G40" s="84">
        <v>13</v>
      </c>
      <c r="H40" s="84">
        <v>18</v>
      </c>
      <c r="I40" s="84">
        <v>21</v>
      </c>
      <c r="J40" s="84">
        <v>21</v>
      </c>
      <c r="K40" s="84">
        <v>18</v>
      </c>
      <c r="L40" s="84">
        <v>12</v>
      </c>
      <c r="M40" s="84">
        <v>7</v>
      </c>
      <c r="N40" s="84">
        <v>4</v>
      </c>
      <c r="O40" s="92">
        <f t="shared" si="0"/>
        <v>11.704109589041096</v>
      </c>
    </row>
    <row r="41" spans="2:15" x14ac:dyDescent="0.2">
      <c r="B41" s="268" t="s">
        <v>239</v>
      </c>
      <c r="C41" s="84">
        <v>18</v>
      </c>
      <c r="D41" s="84">
        <v>20</v>
      </c>
      <c r="E41" s="84">
        <v>19</v>
      </c>
      <c r="F41" s="84">
        <v>20</v>
      </c>
      <c r="G41" s="84">
        <v>20</v>
      </c>
      <c r="H41" s="84">
        <v>21</v>
      </c>
      <c r="I41" s="84">
        <v>24</v>
      </c>
      <c r="J41" s="84">
        <v>24</v>
      </c>
      <c r="K41" s="84">
        <v>26</v>
      </c>
      <c r="L41" s="84">
        <v>23</v>
      </c>
      <c r="M41" s="84">
        <v>22</v>
      </c>
      <c r="N41" s="84">
        <v>20</v>
      </c>
      <c r="O41" s="92">
        <f t="shared" si="0"/>
        <v>21.419178082191781</v>
      </c>
    </row>
    <row r="42" spans="2:15" x14ac:dyDescent="0.2">
      <c r="B42" s="268" t="s">
        <v>240</v>
      </c>
      <c r="C42" s="84">
        <v>9</v>
      </c>
      <c r="D42" s="84">
        <v>10</v>
      </c>
      <c r="E42" s="84">
        <v>12</v>
      </c>
      <c r="F42" s="84">
        <v>14</v>
      </c>
      <c r="G42" s="84">
        <v>16</v>
      </c>
      <c r="H42" s="84">
        <v>18</v>
      </c>
      <c r="I42" s="84">
        <v>20</v>
      </c>
      <c r="J42" s="84">
        <v>20</v>
      </c>
      <c r="K42" s="84">
        <v>18</v>
      </c>
      <c r="L42" s="84">
        <v>15</v>
      </c>
      <c r="M42" s="84">
        <v>12</v>
      </c>
      <c r="N42" s="84">
        <v>9</v>
      </c>
      <c r="O42" s="92">
        <f t="shared" si="0"/>
        <v>14.441095890410958</v>
      </c>
    </row>
    <row r="43" spans="2:15" x14ac:dyDescent="0.2">
      <c r="B43" s="268" t="s">
        <v>241</v>
      </c>
      <c r="C43" s="84">
        <v>5</v>
      </c>
      <c r="D43" s="84">
        <v>6</v>
      </c>
      <c r="E43" s="84">
        <v>10</v>
      </c>
      <c r="F43" s="84">
        <v>12</v>
      </c>
      <c r="G43" s="84">
        <v>15</v>
      </c>
      <c r="H43" s="84">
        <v>19</v>
      </c>
      <c r="I43" s="84">
        <v>22</v>
      </c>
      <c r="J43" s="84">
        <v>21</v>
      </c>
      <c r="K43" s="84">
        <v>19</v>
      </c>
      <c r="L43" s="84">
        <v>14</v>
      </c>
      <c r="M43" s="84">
        <v>9</v>
      </c>
      <c r="N43" s="84">
        <v>6</v>
      </c>
      <c r="O43" s="92">
        <f t="shared" si="0"/>
        <v>13.208219178082192</v>
      </c>
    </row>
    <row r="44" spans="2:15" x14ac:dyDescent="0.2">
      <c r="B44" s="268" t="s">
        <v>242</v>
      </c>
      <c r="C44" s="84">
        <v>4</v>
      </c>
      <c r="D44" s="84">
        <v>5</v>
      </c>
      <c r="E44" s="84">
        <v>8</v>
      </c>
      <c r="F44" s="84">
        <v>10</v>
      </c>
      <c r="G44" s="84">
        <v>14</v>
      </c>
      <c r="H44" s="84">
        <v>18</v>
      </c>
      <c r="I44" s="84">
        <v>21</v>
      </c>
      <c r="J44" s="84">
        <v>21</v>
      </c>
      <c r="K44" s="84">
        <v>18</v>
      </c>
      <c r="L44" s="84">
        <v>12</v>
      </c>
      <c r="M44" s="84">
        <v>7</v>
      </c>
      <c r="N44" s="84">
        <v>4</v>
      </c>
      <c r="O44" s="92">
        <f t="shared" si="0"/>
        <v>11.873972602739727</v>
      </c>
    </row>
    <row r="45" spans="2:15" x14ac:dyDescent="0.2">
      <c r="B45" s="268" t="s">
        <v>243</v>
      </c>
      <c r="C45" s="84">
        <v>17</v>
      </c>
      <c r="D45" s="84">
        <v>17</v>
      </c>
      <c r="E45" s="84">
        <v>18</v>
      </c>
      <c r="F45" s="84">
        <v>19</v>
      </c>
      <c r="G45" s="84">
        <v>20</v>
      </c>
      <c r="H45" s="84">
        <v>22</v>
      </c>
      <c r="I45" s="84">
        <v>24</v>
      </c>
      <c r="J45" s="84">
        <v>25</v>
      </c>
      <c r="K45" s="84">
        <v>24</v>
      </c>
      <c r="L45" s="84">
        <v>23</v>
      </c>
      <c r="M45" s="84">
        <v>20</v>
      </c>
      <c r="N45" s="84">
        <v>18</v>
      </c>
      <c r="O45" s="92">
        <f t="shared" si="0"/>
        <v>20.605479452054794</v>
      </c>
    </row>
    <row r="46" spans="2:15" x14ac:dyDescent="0.2">
      <c r="B46" s="268" t="s">
        <v>244</v>
      </c>
      <c r="C46" s="84">
        <v>2</v>
      </c>
      <c r="D46" s="84">
        <v>4</v>
      </c>
      <c r="E46" s="84">
        <v>8</v>
      </c>
      <c r="F46" s="84">
        <v>10</v>
      </c>
      <c r="G46" s="84">
        <v>13</v>
      </c>
      <c r="H46" s="84">
        <v>18</v>
      </c>
      <c r="I46" s="84">
        <v>22</v>
      </c>
      <c r="J46" s="84">
        <v>21</v>
      </c>
      <c r="K46" s="84">
        <v>17</v>
      </c>
      <c r="L46" s="84">
        <v>12</v>
      </c>
      <c r="M46" s="84">
        <v>7</v>
      </c>
      <c r="N46" s="84">
        <v>3</v>
      </c>
      <c r="O46" s="92">
        <f t="shared" si="0"/>
        <v>11.46027397260274</v>
      </c>
    </row>
    <row r="47" spans="2:15" x14ac:dyDescent="0.2">
      <c r="B47" s="268" t="s">
        <v>245</v>
      </c>
      <c r="C47" s="84">
        <v>10</v>
      </c>
      <c r="D47" s="84">
        <v>12</v>
      </c>
      <c r="E47" s="84">
        <v>15</v>
      </c>
      <c r="F47" s="84">
        <v>17</v>
      </c>
      <c r="G47" s="84">
        <v>20</v>
      </c>
      <c r="H47" s="84">
        <v>25</v>
      </c>
      <c r="I47" s="84">
        <v>28</v>
      </c>
      <c r="J47" s="84">
        <v>28</v>
      </c>
      <c r="K47" s="84">
        <v>25</v>
      </c>
      <c r="L47" s="84">
        <v>20</v>
      </c>
      <c r="M47" s="84">
        <v>15</v>
      </c>
      <c r="N47" s="84">
        <v>11</v>
      </c>
      <c r="O47" s="92">
        <f t="shared" si="0"/>
        <v>18.87123287671233</v>
      </c>
    </row>
    <row r="48" spans="2:15" x14ac:dyDescent="0.2">
      <c r="B48" s="268" t="s">
        <v>246</v>
      </c>
      <c r="C48" s="84">
        <v>2</v>
      </c>
      <c r="D48" s="84">
        <v>3</v>
      </c>
      <c r="E48" s="84">
        <v>7</v>
      </c>
      <c r="F48" s="84">
        <v>9</v>
      </c>
      <c r="G48" s="84">
        <v>12</v>
      </c>
      <c r="H48" s="84">
        <v>16</v>
      </c>
      <c r="I48" s="84">
        <v>20</v>
      </c>
      <c r="J48" s="84">
        <v>19</v>
      </c>
      <c r="K48" s="84">
        <v>16</v>
      </c>
      <c r="L48" s="84">
        <v>11</v>
      </c>
      <c r="M48" s="84">
        <v>6</v>
      </c>
      <c r="N48" s="84">
        <v>3</v>
      </c>
      <c r="O48" s="92">
        <f t="shared" si="0"/>
        <v>10.378082191780821</v>
      </c>
    </row>
    <row r="49" spans="2:15" x14ac:dyDescent="0.2">
      <c r="B49" s="268" t="s">
        <v>247</v>
      </c>
      <c r="C49" s="84">
        <v>9</v>
      </c>
      <c r="D49" s="84">
        <v>10</v>
      </c>
      <c r="E49" s="84">
        <v>12</v>
      </c>
      <c r="F49" s="84">
        <v>14</v>
      </c>
      <c r="G49" s="84">
        <v>17</v>
      </c>
      <c r="H49" s="84">
        <v>20</v>
      </c>
      <c r="I49" s="84">
        <v>23</v>
      </c>
      <c r="J49" s="84">
        <v>23</v>
      </c>
      <c r="K49" s="84">
        <v>21</v>
      </c>
      <c r="L49" s="84">
        <v>18</v>
      </c>
      <c r="M49" s="84">
        <v>13</v>
      </c>
      <c r="N49" s="84">
        <v>10</v>
      </c>
      <c r="O49" s="92">
        <f t="shared" si="0"/>
        <v>15.868493150684932</v>
      </c>
    </row>
    <row r="50" spans="2:15" x14ac:dyDescent="0.2">
      <c r="B50" s="268" t="s">
        <v>248</v>
      </c>
      <c r="C50" s="84">
        <v>2</v>
      </c>
      <c r="D50" s="84">
        <v>3</v>
      </c>
      <c r="E50" s="84">
        <v>7</v>
      </c>
      <c r="F50" s="84">
        <v>9</v>
      </c>
      <c r="G50" s="84">
        <v>13</v>
      </c>
      <c r="H50" s="84">
        <v>17</v>
      </c>
      <c r="I50" s="84">
        <v>19</v>
      </c>
      <c r="J50" s="84">
        <v>19</v>
      </c>
      <c r="K50" s="84">
        <v>17</v>
      </c>
      <c r="L50" s="84">
        <v>11</v>
      </c>
      <c r="M50" s="84">
        <v>7</v>
      </c>
      <c r="N50" s="84">
        <v>3</v>
      </c>
      <c r="O50" s="92">
        <f t="shared" si="0"/>
        <v>10.624657534246575</v>
      </c>
    </row>
    <row r="51" spans="2:15" x14ac:dyDescent="0.2">
      <c r="B51" s="268" t="s">
        <v>249</v>
      </c>
      <c r="C51" s="84">
        <v>6</v>
      </c>
      <c r="D51" s="84">
        <v>7</v>
      </c>
      <c r="E51" s="84">
        <v>11</v>
      </c>
      <c r="F51" s="84">
        <v>13</v>
      </c>
      <c r="G51" s="84">
        <v>17</v>
      </c>
      <c r="H51" s="84">
        <v>22</v>
      </c>
      <c r="I51" s="84">
        <v>26</v>
      </c>
      <c r="J51" s="84">
        <v>25</v>
      </c>
      <c r="K51" s="84">
        <v>21</v>
      </c>
      <c r="L51" s="84">
        <v>15</v>
      </c>
      <c r="M51" s="84">
        <v>10</v>
      </c>
      <c r="N51" s="84">
        <v>6</v>
      </c>
      <c r="O51" s="92">
        <f t="shared" si="0"/>
        <v>14.964383561643835</v>
      </c>
    </row>
    <row r="52" spans="2:15" x14ac:dyDescent="0.2">
      <c r="B52" s="268" t="s">
        <v>250</v>
      </c>
      <c r="C52" s="84">
        <v>10</v>
      </c>
      <c r="D52" s="84">
        <v>11</v>
      </c>
      <c r="E52" s="84">
        <v>13</v>
      </c>
      <c r="F52" s="84">
        <v>15</v>
      </c>
      <c r="G52" s="84">
        <v>18</v>
      </c>
      <c r="H52" s="84">
        <v>22</v>
      </c>
      <c r="I52" s="84">
        <v>24</v>
      </c>
      <c r="J52" s="84">
        <v>24</v>
      </c>
      <c r="K52" s="84">
        <v>22</v>
      </c>
      <c r="L52" s="84">
        <v>18</v>
      </c>
      <c r="M52" s="84">
        <v>14</v>
      </c>
      <c r="N52" s="84">
        <v>11</v>
      </c>
      <c r="O52" s="92">
        <f t="shared" si="0"/>
        <v>16.865753424657534</v>
      </c>
    </row>
    <row r="53" spans="2:15" x14ac:dyDescent="0.2">
      <c r="B53" s="268" t="s">
        <v>251</v>
      </c>
      <c r="C53" s="84">
        <v>3</v>
      </c>
      <c r="D53" s="84">
        <v>5</v>
      </c>
      <c r="E53" s="84">
        <v>9</v>
      </c>
      <c r="F53" s="84">
        <v>11</v>
      </c>
      <c r="G53" s="84">
        <v>14</v>
      </c>
      <c r="H53" s="84">
        <v>18</v>
      </c>
      <c r="I53" s="84">
        <v>21</v>
      </c>
      <c r="J53" s="84">
        <v>20</v>
      </c>
      <c r="K53" s="84">
        <v>18</v>
      </c>
      <c r="L53" s="84">
        <v>13</v>
      </c>
      <c r="M53" s="84">
        <v>8</v>
      </c>
      <c r="N53" s="84">
        <v>4</v>
      </c>
      <c r="O53" s="92">
        <f t="shared" si="0"/>
        <v>12.038356164383561</v>
      </c>
    </row>
    <row r="54" spans="2:15" x14ac:dyDescent="0.2">
      <c r="B54" s="268" t="s">
        <v>252</v>
      </c>
      <c r="C54" s="84">
        <v>7</v>
      </c>
      <c r="D54" s="84">
        <v>11</v>
      </c>
      <c r="E54" s="84">
        <v>11</v>
      </c>
      <c r="F54" s="84">
        <v>11</v>
      </c>
      <c r="G54" s="84">
        <v>14</v>
      </c>
      <c r="H54" s="84">
        <v>16</v>
      </c>
      <c r="I54" s="84">
        <v>18</v>
      </c>
      <c r="J54" s="84">
        <v>19</v>
      </c>
      <c r="K54" s="84">
        <v>18</v>
      </c>
      <c r="L54" s="84">
        <v>16</v>
      </c>
      <c r="M54" s="84">
        <v>12</v>
      </c>
      <c r="N54" s="84">
        <v>12</v>
      </c>
      <c r="O54" s="92">
        <f t="shared" si="0"/>
        <v>13.767123287671232</v>
      </c>
    </row>
    <row r="55" spans="2:15" x14ac:dyDescent="0.2">
      <c r="B55" s="268" t="s">
        <v>253</v>
      </c>
      <c r="C55" s="84">
        <v>4</v>
      </c>
      <c r="D55" s="84">
        <v>5</v>
      </c>
      <c r="E55" s="84">
        <v>9</v>
      </c>
      <c r="F55" s="84">
        <v>11</v>
      </c>
      <c r="G55" s="84">
        <v>14</v>
      </c>
      <c r="H55" s="84">
        <v>19</v>
      </c>
      <c r="I55" s="84">
        <v>22</v>
      </c>
      <c r="J55" s="84">
        <v>21</v>
      </c>
      <c r="K55" s="84">
        <v>18</v>
      </c>
      <c r="L55" s="84">
        <v>13</v>
      </c>
      <c r="M55" s="84">
        <v>7</v>
      </c>
      <c r="N55" s="84">
        <v>4</v>
      </c>
      <c r="O55" s="92">
        <f t="shared" si="0"/>
        <v>12.293150684931506</v>
      </c>
    </row>
    <row r="56" spans="2:15" x14ac:dyDescent="0.2">
      <c r="B56" s="269" t="s">
        <v>254</v>
      </c>
      <c r="C56" s="86">
        <v>6</v>
      </c>
      <c r="D56" s="86">
        <v>8</v>
      </c>
      <c r="E56" s="86">
        <v>11</v>
      </c>
      <c r="F56" s="86">
        <v>14</v>
      </c>
      <c r="G56" s="86">
        <v>17</v>
      </c>
      <c r="H56" s="86">
        <v>21</v>
      </c>
      <c r="I56" s="86">
        <v>23</v>
      </c>
      <c r="J56" s="86">
        <v>24</v>
      </c>
      <c r="K56" s="86">
        <v>21</v>
      </c>
      <c r="L56" s="86">
        <v>15</v>
      </c>
      <c r="M56" s="86">
        <v>10</v>
      </c>
      <c r="N56" s="86">
        <v>7</v>
      </c>
      <c r="O56" s="93">
        <f t="shared" si="0"/>
        <v>14.786301369863013</v>
      </c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4EDD4-8A93-43B2-95BC-D8AA712C572A}">
  <sheetPr codeName="Hoja4"/>
  <dimension ref="B1:O56"/>
  <sheetViews>
    <sheetView showGridLines="0" topLeftCell="B1" zoomScale="75" workbookViewId="0">
      <selection activeCell="H3" sqref="H3"/>
    </sheetView>
  </sheetViews>
  <sheetFormatPr baseColWidth="10" defaultRowHeight="12.75" x14ac:dyDescent="0.2"/>
  <cols>
    <col min="1" max="1" width="3.85546875" customWidth="1"/>
    <col min="2" max="2" width="17.85546875" customWidth="1"/>
    <col min="3" max="14" width="6.7109375" customWidth="1"/>
  </cols>
  <sheetData>
    <row r="1" spans="2:15" x14ac:dyDescent="0.2">
      <c r="B1" s="5" t="s">
        <v>506</v>
      </c>
    </row>
    <row r="2" spans="2:15" x14ac:dyDescent="0.2">
      <c r="B2" t="s">
        <v>255</v>
      </c>
      <c r="H2" s="33"/>
    </row>
    <row r="4" spans="2:15" ht="16.5" x14ac:dyDescent="0.2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82"/>
    </row>
    <row r="5" spans="2:15" x14ac:dyDescent="0.2">
      <c r="B5" s="80" t="s">
        <v>203</v>
      </c>
      <c r="C5" s="80">
        <v>7</v>
      </c>
      <c r="D5" s="80">
        <v>7</v>
      </c>
      <c r="E5" s="80">
        <v>11</v>
      </c>
      <c r="F5" s="80">
        <v>12</v>
      </c>
      <c r="G5" s="80">
        <v>15</v>
      </c>
      <c r="H5" s="80">
        <v>19</v>
      </c>
      <c r="I5" s="80">
        <v>21</v>
      </c>
      <c r="J5" s="80">
        <v>21</v>
      </c>
      <c r="K5" s="80">
        <v>19</v>
      </c>
      <c r="L5" s="80">
        <v>15</v>
      </c>
      <c r="M5" s="80">
        <v>10</v>
      </c>
      <c r="N5" s="80">
        <v>7</v>
      </c>
      <c r="O5" s="83"/>
    </row>
    <row r="6" spans="2:15" x14ac:dyDescent="0.2">
      <c r="B6" s="80" t="s">
        <v>204</v>
      </c>
      <c r="C6" s="80">
        <v>6</v>
      </c>
      <c r="D6" s="80">
        <v>8</v>
      </c>
      <c r="E6" s="80">
        <v>11</v>
      </c>
      <c r="F6" s="80">
        <v>13</v>
      </c>
      <c r="G6" s="80">
        <v>17</v>
      </c>
      <c r="H6" s="80">
        <v>22</v>
      </c>
      <c r="I6" s="80">
        <v>26</v>
      </c>
      <c r="J6" s="80">
        <v>26</v>
      </c>
      <c r="K6" s="80">
        <v>22</v>
      </c>
      <c r="L6" s="80">
        <v>16</v>
      </c>
      <c r="M6" s="80">
        <v>11</v>
      </c>
      <c r="N6" s="80">
        <v>7</v>
      </c>
      <c r="O6" s="83"/>
    </row>
    <row r="7" spans="2:15" x14ac:dyDescent="0.2">
      <c r="B7" s="80" t="s">
        <v>205</v>
      </c>
      <c r="C7" s="80">
        <v>13</v>
      </c>
      <c r="D7" s="80">
        <v>14</v>
      </c>
      <c r="E7" s="80">
        <v>16</v>
      </c>
      <c r="F7" s="80">
        <v>18</v>
      </c>
      <c r="G7" s="80">
        <v>21</v>
      </c>
      <c r="H7" s="80">
        <v>25</v>
      </c>
      <c r="I7" s="80">
        <v>28</v>
      </c>
      <c r="J7" s="80">
        <v>28</v>
      </c>
      <c r="K7" s="80">
        <v>26</v>
      </c>
      <c r="L7" s="80">
        <v>21</v>
      </c>
      <c r="M7" s="80">
        <v>17</v>
      </c>
      <c r="N7" s="80">
        <v>14</v>
      </c>
      <c r="O7" s="83"/>
    </row>
    <row r="8" spans="2:15" x14ac:dyDescent="0.2">
      <c r="B8" s="80" t="s">
        <v>206</v>
      </c>
      <c r="C8" s="80">
        <v>15</v>
      </c>
      <c r="D8" s="80">
        <v>15</v>
      </c>
      <c r="E8" s="80">
        <v>16</v>
      </c>
      <c r="F8" s="80">
        <v>18</v>
      </c>
      <c r="G8" s="80">
        <v>21</v>
      </c>
      <c r="H8" s="80">
        <v>24</v>
      </c>
      <c r="I8" s="80">
        <v>27</v>
      </c>
      <c r="J8" s="80">
        <v>28</v>
      </c>
      <c r="K8" s="80">
        <v>26</v>
      </c>
      <c r="L8" s="80">
        <v>22</v>
      </c>
      <c r="M8" s="80">
        <v>18</v>
      </c>
      <c r="N8" s="80">
        <v>16</v>
      </c>
      <c r="O8" s="83"/>
    </row>
    <row r="9" spans="2:15" x14ac:dyDescent="0.2">
      <c r="B9" s="80" t="s">
        <v>207</v>
      </c>
      <c r="C9" s="80">
        <v>9</v>
      </c>
      <c r="D9" s="80">
        <v>10</v>
      </c>
      <c r="E9" s="80">
        <v>11</v>
      </c>
      <c r="F9" s="80">
        <v>12</v>
      </c>
      <c r="G9" s="80">
        <v>15</v>
      </c>
      <c r="H9" s="80">
        <v>18</v>
      </c>
      <c r="I9" s="80">
        <v>20</v>
      </c>
      <c r="J9" s="80">
        <v>20</v>
      </c>
      <c r="K9" s="80">
        <v>19</v>
      </c>
      <c r="L9" s="80">
        <v>16</v>
      </c>
      <c r="M9" s="80">
        <v>12</v>
      </c>
      <c r="N9" s="80">
        <v>10</v>
      </c>
      <c r="O9" s="83"/>
    </row>
    <row r="10" spans="2:15" x14ac:dyDescent="0.2">
      <c r="B10" s="80" t="s">
        <v>208</v>
      </c>
      <c r="C10" s="80">
        <v>4</v>
      </c>
      <c r="D10" s="80">
        <v>5</v>
      </c>
      <c r="E10" s="80">
        <v>8</v>
      </c>
      <c r="F10" s="80">
        <v>11</v>
      </c>
      <c r="G10" s="80">
        <v>14</v>
      </c>
      <c r="H10" s="80">
        <v>18</v>
      </c>
      <c r="I10" s="80">
        <v>22</v>
      </c>
      <c r="J10" s="80">
        <v>22</v>
      </c>
      <c r="K10" s="80">
        <v>18</v>
      </c>
      <c r="L10" s="80">
        <v>13</v>
      </c>
      <c r="M10" s="80">
        <v>8</v>
      </c>
      <c r="N10" s="80">
        <v>5</v>
      </c>
      <c r="O10" s="83"/>
    </row>
    <row r="11" spans="2:15" x14ac:dyDescent="0.2">
      <c r="B11" s="80" t="s">
        <v>209</v>
      </c>
      <c r="C11" s="80">
        <v>11</v>
      </c>
      <c r="D11" s="80">
        <v>12</v>
      </c>
      <c r="E11" s="80">
        <v>15</v>
      </c>
      <c r="F11" s="80">
        <v>17</v>
      </c>
      <c r="G11" s="80">
        <v>20</v>
      </c>
      <c r="H11" s="80">
        <v>25</v>
      </c>
      <c r="I11" s="80">
        <v>28</v>
      </c>
      <c r="J11" s="80">
        <v>28</v>
      </c>
      <c r="K11" s="80">
        <v>25</v>
      </c>
      <c r="L11" s="80">
        <v>20</v>
      </c>
      <c r="M11" s="80">
        <v>15</v>
      </c>
      <c r="N11" s="80">
        <v>11</v>
      </c>
      <c r="O11" s="83"/>
    </row>
    <row r="12" spans="2:15" x14ac:dyDescent="0.2">
      <c r="B12" s="80" t="s">
        <v>210</v>
      </c>
      <c r="C12" s="80">
        <v>12</v>
      </c>
      <c r="D12" s="80">
        <v>13</v>
      </c>
      <c r="E12" s="80">
        <v>14</v>
      </c>
      <c r="F12" s="80">
        <v>17</v>
      </c>
      <c r="G12" s="80">
        <v>19</v>
      </c>
      <c r="H12" s="80">
        <v>23</v>
      </c>
      <c r="I12" s="80">
        <v>26</v>
      </c>
      <c r="J12" s="80">
        <v>27</v>
      </c>
      <c r="K12" s="80">
        <v>25</v>
      </c>
      <c r="L12" s="80">
        <v>20</v>
      </c>
      <c r="M12" s="80">
        <v>16</v>
      </c>
      <c r="N12" s="80">
        <v>14</v>
      </c>
      <c r="O12" s="83"/>
    </row>
    <row r="13" spans="2:15" x14ac:dyDescent="0.2">
      <c r="B13" s="80" t="s">
        <v>211</v>
      </c>
      <c r="C13" s="80">
        <v>11</v>
      </c>
      <c r="D13" s="80">
        <v>12</v>
      </c>
      <c r="E13" s="80">
        <v>14</v>
      </c>
      <c r="F13" s="80">
        <v>17</v>
      </c>
      <c r="G13" s="80">
        <v>20</v>
      </c>
      <c r="H13" s="80">
        <v>24</v>
      </c>
      <c r="I13" s="80">
        <v>26</v>
      </c>
      <c r="J13" s="80">
        <v>26</v>
      </c>
      <c r="K13" s="80">
        <v>24</v>
      </c>
      <c r="L13" s="80">
        <v>20</v>
      </c>
      <c r="M13" s="80">
        <v>16</v>
      </c>
      <c r="N13" s="80">
        <v>12</v>
      </c>
      <c r="O13" s="83"/>
    </row>
    <row r="14" spans="2:15" x14ac:dyDescent="0.2">
      <c r="B14" s="80" t="s">
        <v>212</v>
      </c>
      <c r="C14" s="80">
        <v>5</v>
      </c>
      <c r="D14" s="80">
        <v>6</v>
      </c>
      <c r="E14" s="80">
        <v>9</v>
      </c>
      <c r="F14" s="80">
        <v>11</v>
      </c>
      <c r="G14" s="80">
        <v>14</v>
      </c>
      <c r="H14" s="80">
        <v>18</v>
      </c>
      <c r="I14" s="80">
        <v>21</v>
      </c>
      <c r="J14" s="80">
        <v>21</v>
      </c>
      <c r="K14" s="80">
        <v>18</v>
      </c>
      <c r="L14" s="80">
        <v>13</v>
      </c>
      <c r="M14" s="80">
        <v>9</v>
      </c>
      <c r="N14" s="80">
        <v>5</v>
      </c>
      <c r="O14" s="83"/>
    </row>
    <row r="15" spans="2:15" x14ac:dyDescent="0.2">
      <c r="B15" s="80" t="s">
        <v>213</v>
      </c>
      <c r="C15" s="80">
        <v>10</v>
      </c>
      <c r="D15" s="80">
        <v>11</v>
      </c>
      <c r="E15" s="80">
        <v>14</v>
      </c>
      <c r="F15" s="80">
        <v>16</v>
      </c>
      <c r="G15" s="80">
        <v>19</v>
      </c>
      <c r="H15" s="80">
        <v>25</v>
      </c>
      <c r="I15" s="80">
        <v>28</v>
      </c>
      <c r="J15" s="80">
        <v>28</v>
      </c>
      <c r="K15" s="80">
        <v>25</v>
      </c>
      <c r="L15" s="80">
        <v>19</v>
      </c>
      <c r="M15" s="80">
        <v>14</v>
      </c>
      <c r="N15" s="80">
        <v>10</v>
      </c>
      <c r="O15" s="83"/>
    </row>
    <row r="16" spans="2:15" x14ac:dyDescent="0.2">
      <c r="B16" s="80" t="s">
        <v>214</v>
      </c>
      <c r="C16" s="80">
        <v>13</v>
      </c>
      <c r="D16" s="80">
        <v>15</v>
      </c>
      <c r="E16" s="80">
        <v>17</v>
      </c>
      <c r="F16" s="80">
        <v>19</v>
      </c>
      <c r="G16" s="80">
        <v>21</v>
      </c>
      <c r="H16" s="80">
        <v>24</v>
      </c>
      <c r="I16" s="80">
        <v>27</v>
      </c>
      <c r="J16" s="80">
        <v>27</v>
      </c>
      <c r="K16" s="80">
        <v>25</v>
      </c>
      <c r="L16" s="80">
        <v>22</v>
      </c>
      <c r="M16" s="80">
        <v>18</v>
      </c>
      <c r="N16" s="80">
        <v>15</v>
      </c>
      <c r="O16" s="83"/>
    </row>
    <row r="17" spans="2:15" x14ac:dyDescent="0.2">
      <c r="B17" s="80" t="s">
        <v>215</v>
      </c>
      <c r="C17" s="80">
        <v>11</v>
      </c>
      <c r="D17" s="80">
        <v>11</v>
      </c>
      <c r="E17" s="80">
        <v>14</v>
      </c>
      <c r="F17" s="80">
        <v>14</v>
      </c>
      <c r="G17" s="80">
        <v>16</v>
      </c>
      <c r="H17" s="80">
        <v>19</v>
      </c>
      <c r="I17" s="80">
        <v>21</v>
      </c>
      <c r="J17" s="80">
        <v>21</v>
      </c>
      <c r="K17" s="80">
        <v>20</v>
      </c>
      <c r="L17" s="80">
        <v>17</v>
      </c>
      <c r="M17" s="80">
        <v>14</v>
      </c>
      <c r="N17" s="80">
        <v>12</v>
      </c>
      <c r="O17" s="83"/>
    </row>
    <row r="18" spans="2:15" x14ac:dyDescent="0.2">
      <c r="B18" s="80" t="s">
        <v>216</v>
      </c>
      <c r="C18" s="80">
        <v>13</v>
      </c>
      <c r="D18" s="80">
        <v>13</v>
      </c>
      <c r="E18" s="80">
        <v>15</v>
      </c>
      <c r="F18" s="80">
        <v>17</v>
      </c>
      <c r="G18" s="80">
        <v>20</v>
      </c>
      <c r="H18" s="80">
        <v>24</v>
      </c>
      <c r="I18" s="80">
        <v>26</v>
      </c>
      <c r="J18" s="80">
        <v>27</v>
      </c>
      <c r="K18" s="80">
        <v>25</v>
      </c>
      <c r="L18" s="80">
        <v>21</v>
      </c>
      <c r="M18" s="80">
        <v>16</v>
      </c>
      <c r="N18" s="80">
        <v>13</v>
      </c>
      <c r="O18" s="83"/>
    </row>
    <row r="19" spans="2:15" x14ac:dyDescent="0.2">
      <c r="B19" s="80" t="s">
        <v>217</v>
      </c>
      <c r="C19" s="80">
        <v>15</v>
      </c>
      <c r="D19" s="80">
        <v>15</v>
      </c>
      <c r="E19" s="80">
        <v>16</v>
      </c>
      <c r="F19" s="80">
        <v>17</v>
      </c>
      <c r="G19" s="80">
        <v>19</v>
      </c>
      <c r="H19" s="80">
        <v>23</v>
      </c>
      <c r="I19" s="80">
        <v>25</v>
      </c>
      <c r="J19" s="80">
        <v>26</v>
      </c>
      <c r="K19" s="80">
        <v>24</v>
      </c>
      <c r="L19" s="80">
        <v>21</v>
      </c>
      <c r="M19" s="80">
        <v>18</v>
      </c>
      <c r="N19" s="80">
        <v>16</v>
      </c>
      <c r="O19" s="83"/>
    </row>
    <row r="20" spans="2:15" x14ac:dyDescent="0.2">
      <c r="B20" s="80" t="s">
        <v>218</v>
      </c>
      <c r="C20" s="80">
        <v>7</v>
      </c>
      <c r="D20" s="80">
        <v>9</v>
      </c>
      <c r="E20" s="80">
        <v>12</v>
      </c>
      <c r="F20" s="80">
        <v>15</v>
      </c>
      <c r="G20" s="80">
        <v>18</v>
      </c>
      <c r="H20" s="80">
        <v>23</v>
      </c>
      <c r="I20" s="80">
        <v>28</v>
      </c>
      <c r="J20" s="80">
        <v>27</v>
      </c>
      <c r="K20" s="80">
        <v>20</v>
      </c>
      <c r="L20" s="80">
        <v>17</v>
      </c>
      <c r="M20" s="80">
        <v>11</v>
      </c>
      <c r="N20" s="80">
        <v>8</v>
      </c>
      <c r="O20" s="83"/>
    </row>
    <row r="21" spans="2:15" x14ac:dyDescent="0.2">
      <c r="B21" s="80" t="s">
        <v>219</v>
      </c>
      <c r="C21" s="80">
        <v>11</v>
      </c>
      <c r="D21" s="80">
        <v>13</v>
      </c>
      <c r="E21" s="80">
        <v>16</v>
      </c>
      <c r="F21" s="80">
        <v>18</v>
      </c>
      <c r="G21" s="80">
        <v>21</v>
      </c>
      <c r="H21" s="80">
        <v>26</v>
      </c>
      <c r="I21" s="80">
        <v>30</v>
      </c>
      <c r="J21" s="80">
        <v>30</v>
      </c>
      <c r="K21" s="80">
        <v>26</v>
      </c>
      <c r="L21" s="80">
        <v>21</v>
      </c>
      <c r="M21" s="80">
        <v>16</v>
      </c>
      <c r="N21" s="80">
        <v>12</v>
      </c>
      <c r="O21" s="83"/>
    </row>
    <row r="22" spans="2:15" x14ac:dyDescent="0.2">
      <c r="B22" s="80" t="s">
        <v>220</v>
      </c>
      <c r="C22" s="80">
        <v>12</v>
      </c>
      <c r="D22" s="80">
        <v>12</v>
      </c>
      <c r="E22" s="80">
        <v>14</v>
      </c>
      <c r="F22" s="80">
        <v>14</v>
      </c>
      <c r="G22" s="80">
        <v>16</v>
      </c>
      <c r="H22" s="80">
        <v>19</v>
      </c>
      <c r="I22" s="80">
        <v>20</v>
      </c>
      <c r="J22" s="80">
        <v>21</v>
      </c>
      <c r="K22" s="80">
        <v>20</v>
      </c>
      <c r="L22" s="80">
        <v>17</v>
      </c>
      <c r="M22" s="80">
        <v>14</v>
      </c>
      <c r="N22" s="80">
        <v>12</v>
      </c>
      <c r="O22" s="83"/>
    </row>
    <row r="23" spans="2:15" x14ac:dyDescent="0.2">
      <c r="B23" s="80" t="s">
        <v>221</v>
      </c>
      <c r="C23" s="80">
        <v>5</v>
      </c>
      <c r="D23" s="80">
        <v>6</v>
      </c>
      <c r="E23" s="80">
        <v>9</v>
      </c>
      <c r="F23" s="80">
        <v>12</v>
      </c>
      <c r="G23" s="80">
        <v>15</v>
      </c>
      <c r="H23" s="80">
        <v>20</v>
      </c>
      <c r="I23" s="80">
        <v>24</v>
      </c>
      <c r="J23" s="80">
        <v>23</v>
      </c>
      <c r="K23" s="80">
        <v>20</v>
      </c>
      <c r="L23" s="80">
        <v>14</v>
      </c>
      <c r="M23" s="80">
        <v>9</v>
      </c>
      <c r="N23" s="80">
        <v>6</v>
      </c>
      <c r="O23" s="83"/>
    </row>
    <row r="24" spans="2:15" x14ac:dyDescent="0.2">
      <c r="B24" s="80" t="s">
        <v>222</v>
      </c>
      <c r="C24" s="80">
        <v>9</v>
      </c>
      <c r="D24" s="80">
        <v>10</v>
      </c>
      <c r="E24" s="80">
        <v>13</v>
      </c>
      <c r="F24" s="80">
        <v>15</v>
      </c>
      <c r="G24" s="80">
        <v>19</v>
      </c>
      <c r="H24" s="80">
        <v>23</v>
      </c>
      <c r="I24" s="80">
        <v>26</v>
      </c>
      <c r="J24" s="80">
        <v>25</v>
      </c>
      <c r="K24" s="80">
        <v>23</v>
      </c>
      <c r="L24" s="80">
        <v>18</v>
      </c>
      <c r="M24" s="80">
        <v>13</v>
      </c>
      <c r="N24" s="80">
        <v>10</v>
      </c>
      <c r="O24" s="83"/>
    </row>
    <row r="25" spans="2:15" x14ac:dyDescent="0.2">
      <c r="B25" s="80" t="s">
        <v>223</v>
      </c>
      <c r="C25" s="80">
        <v>9</v>
      </c>
      <c r="D25" s="80">
        <v>10</v>
      </c>
      <c r="E25" s="80">
        <v>13</v>
      </c>
      <c r="F25" s="80">
        <v>16</v>
      </c>
      <c r="G25" s="80">
        <v>18</v>
      </c>
      <c r="H25" s="80">
        <v>24</v>
      </c>
      <c r="I25" s="80">
        <v>27</v>
      </c>
      <c r="J25" s="80">
        <v>27</v>
      </c>
      <c r="K25" s="80">
        <v>24</v>
      </c>
      <c r="L25" s="80">
        <v>18</v>
      </c>
      <c r="M25" s="80">
        <v>13</v>
      </c>
      <c r="N25" s="80">
        <v>9</v>
      </c>
      <c r="O25" s="83"/>
    </row>
    <row r="26" spans="2:15" x14ac:dyDescent="0.2">
      <c r="B26" s="80" t="s">
        <v>224</v>
      </c>
      <c r="C26" s="80">
        <v>7</v>
      </c>
      <c r="D26" s="80">
        <v>8</v>
      </c>
      <c r="E26" s="80">
        <v>12</v>
      </c>
      <c r="F26" s="80">
        <v>14</v>
      </c>
      <c r="G26" s="80">
        <v>18</v>
      </c>
      <c r="H26" s="80">
        <v>22</v>
      </c>
      <c r="I26" s="80">
        <v>26</v>
      </c>
      <c r="J26" s="80">
        <v>26</v>
      </c>
      <c r="K26" s="80">
        <v>22</v>
      </c>
      <c r="L26" s="80">
        <v>16</v>
      </c>
      <c r="M26" s="80">
        <v>10</v>
      </c>
      <c r="N26" s="80">
        <v>8</v>
      </c>
      <c r="O26" s="83"/>
    </row>
    <row r="27" spans="2:15" x14ac:dyDescent="0.2">
      <c r="B27" s="80" t="s">
        <v>225</v>
      </c>
      <c r="C27" s="80">
        <v>10</v>
      </c>
      <c r="D27" s="80">
        <v>10</v>
      </c>
      <c r="E27" s="80">
        <v>13</v>
      </c>
      <c r="F27" s="80">
        <v>14</v>
      </c>
      <c r="G27" s="80">
        <v>16</v>
      </c>
      <c r="H27" s="80">
        <v>19</v>
      </c>
      <c r="I27" s="80">
        <v>21</v>
      </c>
      <c r="J27" s="80">
        <v>21</v>
      </c>
      <c r="K27" s="80">
        <v>20</v>
      </c>
      <c r="L27" s="80">
        <v>17</v>
      </c>
      <c r="M27" s="80">
        <v>13</v>
      </c>
      <c r="N27" s="80">
        <v>10</v>
      </c>
      <c r="O27" s="83"/>
    </row>
    <row r="28" spans="2:15" x14ac:dyDescent="0.2">
      <c r="B28" s="80" t="s">
        <v>226</v>
      </c>
      <c r="C28" s="80">
        <v>13</v>
      </c>
      <c r="D28" s="80">
        <v>14</v>
      </c>
      <c r="E28" s="80">
        <v>16</v>
      </c>
      <c r="F28" s="80">
        <v>20</v>
      </c>
      <c r="G28" s="80">
        <v>21</v>
      </c>
      <c r="H28" s="80">
        <v>24</v>
      </c>
      <c r="I28" s="80">
        <v>27</v>
      </c>
      <c r="J28" s="80">
        <v>27</v>
      </c>
      <c r="K28" s="80">
        <v>25</v>
      </c>
      <c r="L28" s="80">
        <v>21</v>
      </c>
      <c r="M28" s="80">
        <v>17</v>
      </c>
      <c r="N28" s="80">
        <v>14</v>
      </c>
      <c r="O28" s="83"/>
    </row>
    <row r="29" spans="2:15" x14ac:dyDescent="0.2">
      <c r="B29" s="80" t="s">
        <v>227</v>
      </c>
      <c r="C29" s="80">
        <v>7</v>
      </c>
      <c r="D29" s="80">
        <v>8</v>
      </c>
      <c r="E29" s="80">
        <v>12</v>
      </c>
      <c r="F29" s="80">
        <v>15</v>
      </c>
      <c r="G29" s="80">
        <v>18</v>
      </c>
      <c r="H29" s="80">
        <v>22</v>
      </c>
      <c r="I29" s="80">
        <v>25</v>
      </c>
      <c r="J29" s="80">
        <v>25</v>
      </c>
      <c r="K29" s="80">
        <v>21</v>
      </c>
      <c r="L29" s="80">
        <v>16</v>
      </c>
      <c r="M29" s="80">
        <v>11</v>
      </c>
      <c r="N29" s="80">
        <v>7</v>
      </c>
      <c r="O29" s="83"/>
    </row>
    <row r="30" spans="2:15" x14ac:dyDescent="0.2">
      <c r="B30" s="80" t="s">
        <v>228</v>
      </c>
      <c r="C30" s="80">
        <v>11</v>
      </c>
      <c r="D30" s="80">
        <v>11</v>
      </c>
      <c r="E30" s="80">
        <v>14</v>
      </c>
      <c r="F30" s="80">
        <v>17</v>
      </c>
      <c r="G30" s="80">
        <v>21</v>
      </c>
      <c r="H30" s="80">
        <v>26</v>
      </c>
      <c r="I30" s="80">
        <v>30</v>
      </c>
      <c r="J30" s="80">
        <v>29</v>
      </c>
      <c r="K30" s="80">
        <v>25</v>
      </c>
      <c r="L30" s="80">
        <v>19</v>
      </c>
      <c r="M30" s="80">
        <v>15</v>
      </c>
      <c r="N30" s="80">
        <v>10</v>
      </c>
      <c r="O30" s="83"/>
    </row>
    <row r="31" spans="2:15" x14ac:dyDescent="0.2">
      <c r="B31" s="80" t="s">
        <v>229</v>
      </c>
      <c r="C31" s="80">
        <v>5</v>
      </c>
      <c r="D31" s="80">
        <v>6</v>
      </c>
      <c r="E31" s="80">
        <v>10</v>
      </c>
      <c r="F31" s="80">
        <v>12</v>
      </c>
      <c r="G31" s="80">
        <v>15</v>
      </c>
      <c r="H31" s="80">
        <v>19</v>
      </c>
      <c r="I31" s="80">
        <v>22</v>
      </c>
      <c r="J31" s="80">
        <v>22</v>
      </c>
      <c r="K31" s="80">
        <v>19</v>
      </c>
      <c r="L31" s="80">
        <v>14</v>
      </c>
      <c r="M31" s="80">
        <v>9</v>
      </c>
      <c r="N31" s="80">
        <v>6</v>
      </c>
      <c r="O31" s="83"/>
    </row>
    <row r="32" spans="2:15" x14ac:dyDescent="0.2">
      <c r="B32" s="80" t="s">
        <v>230</v>
      </c>
      <c r="C32" s="80">
        <v>7</v>
      </c>
      <c r="D32" s="80">
        <v>10</v>
      </c>
      <c r="E32" s="80">
        <v>14</v>
      </c>
      <c r="F32" s="80">
        <v>15</v>
      </c>
      <c r="G32" s="80">
        <v>21</v>
      </c>
      <c r="H32" s="80">
        <v>24</v>
      </c>
      <c r="I32" s="80">
        <v>27</v>
      </c>
      <c r="J32" s="80">
        <v>27</v>
      </c>
      <c r="K32" s="80">
        <v>23</v>
      </c>
      <c r="L32" s="80">
        <v>18</v>
      </c>
      <c r="M32" s="80">
        <v>11</v>
      </c>
      <c r="N32" s="80">
        <v>8</v>
      </c>
      <c r="O32" s="83"/>
    </row>
    <row r="33" spans="2:15" x14ac:dyDescent="0.2">
      <c r="B33" s="80" t="s">
        <v>231</v>
      </c>
      <c r="C33" s="80">
        <v>8</v>
      </c>
      <c r="D33" s="80">
        <v>9</v>
      </c>
      <c r="E33" s="80">
        <v>11</v>
      </c>
      <c r="F33" s="80">
        <v>13</v>
      </c>
      <c r="G33" s="80">
        <v>15</v>
      </c>
      <c r="H33" s="80">
        <v>18</v>
      </c>
      <c r="I33" s="80">
        <v>20</v>
      </c>
      <c r="J33" s="80">
        <v>21</v>
      </c>
      <c r="K33" s="80">
        <v>19</v>
      </c>
      <c r="L33" s="80">
        <v>15</v>
      </c>
      <c r="M33" s="80">
        <v>11</v>
      </c>
      <c r="N33" s="80">
        <v>8</v>
      </c>
      <c r="O33" s="83"/>
    </row>
    <row r="34" spans="2:15" x14ac:dyDescent="0.2">
      <c r="B34" s="80" t="s">
        <v>232</v>
      </c>
      <c r="C34" s="80">
        <v>6</v>
      </c>
      <c r="D34" s="80">
        <v>8</v>
      </c>
      <c r="E34" s="80">
        <v>11</v>
      </c>
      <c r="F34" s="80">
        <v>13</v>
      </c>
      <c r="G34" s="80">
        <v>18</v>
      </c>
      <c r="H34" s="80">
        <v>23</v>
      </c>
      <c r="I34" s="80">
        <v>28</v>
      </c>
      <c r="J34" s="80">
        <v>26</v>
      </c>
      <c r="K34" s="80">
        <v>21</v>
      </c>
      <c r="L34" s="80">
        <v>15</v>
      </c>
      <c r="M34" s="80">
        <v>11</v>
      </c>
      <c r="N34" s="80">
        <v>7</v>
      </c>
      <c r="O34" s="83"/>
    </row>
    <row r="35" spans="2:15" x14ac:dyDescent="0.2">
      <c r="B35" s="80" t="s">
        <v>233</v>
      </c>
      <c r="C35" s="80">
        <v>15</v>
      </c>
      <c r="D35" s="80">
        <v>15</v>
      </c>
      <c r="E35" s="80">
        <v>17</v>
      </c>
      <c r="F35" s="80">
        <v>19</v>
      </c>
      <c r="G35" s="80">
        <v>21</v>
      </c>
      <c r="H35" s="80">
        <v>25</v>
      </c>
      <c r="I35" s="80">
        <v>27</v>
      </c>
      <c r="J35" s="80">
        <v>28</v>
      </c>
      <c r="K35" s="80">
        <v>26</v>
      </c>
      <c r="L35" s="80">
        <v>22</v>
      </c>
      <c r="M35" s="80">
        <v>18</v>
      </c>
      <c r="N35" s="80">
        <v>15</v>
      </c>
      <c r="O35" s="83"/>
    </row>
    <row r="36" spans="2:15" x14ac:dyDescent="0.2">
      <c r="B36" s="80" t="s">
        <v>234</v>
      </c>
      <c r="C36" s="80">
        <v>15</v>
      </c>
      <c r="D36" s="80">
        <v>15</v>
      </c>
      <c r="E36" s="80">
        <v>16</v>
      </c>
      <c r="F36" s="80">
        <v>18</v>
      </c>
      <c r="G36" s="80">
        <v>21</v>
      </c>
      <c r="H36" s="80">
        <v>25</v>
      </c>
      <c r="I36" s="80">
        <v>27</v>
      </c>
      <c r="J36" s="80">
        <v>28</v>
      </c>
      <c r="K36" s="80">
        <v>26</v>
      </c>
      <c r="L36" s="80">
        <v>22</v>
      </c>
      <c r="M36" s="80">
        <v>18</v>
      </c>
      <c r="N36" s="80">
        <v>16</v>
      </c>
      <c r="O36" s="83"/>
    </row>
    <row r="37" spans="2:15" x14ac:dyDescent="0.2">
      <c r="B37" s="80" t="s">
        <v>235</v>
      </c>
      <c r="C37" s="80">
        <v>12</v>
      </c>
      <c r="D37" s="80">
        <v>12</v>
      </c>
      <c r="E37" s="80">
        <v>15</v>
      </c>
      <c r="F37" s="80">
        <v>17</v>
      </c>
      <c r="G37" s="80">
        <v>21</v>
      </c>
      <c r="H37" s="80">
        <v>25</v>
      </c>
      <c r="I37" s="80">
        <v>28</v>
      </c>
      <c r="J37" s="80">
        <v>28</v>
      </c>
      <c r="K37" s="80">
        <v>25</v>
      </c>
      <c r="L37" s="80">
        <v>20</v>
      </c>
      <c r="M37" s="80">
        <v>16</v>
      </c>
      <c r="N37" s="80">
        <v>12</v>
      </c>
      <c r="O37" s="83"/>
    </row>
    <row r="38" spans="2:15" x14ac:dyDescent="0.2">
      <c r="B38" s="80" t="s">
        <v>236</v>
      </c>
      <c r="C38" s="80">
        <v>7</v>
      </c>
      <c r="D38" s="80">
        <v>7</v>
      </c>
      <c r="E38" s="80">
        <v>11</v>
      </c>
      <c r="F38" s="80">
        <v>13</v>
      </c>
      <c r="G38" s="80">
        <v>16</v>
      </c>
      <c r="H38" s="80">
        <v>20</v>
      </c>
      <c r="I38" s="80">
        <v>22</v>
      </c>
      <c r="J38" s="80">
        <v>23</v>
      </c>
      <c r="K38" s="80">
        <v>20</v>
      </c>
      <c r="L38" s="80">
        <v>15</v>
      </c>
      <c r="M38" s="80">
        <v>10</v>
      </c>
      <c r="N38" s="80">
        <v>8</v>
      </c>
      <c r="O38" s="83"/>
    </row>
    <row r="39" spans="2:15" x14ac:dyDescent="0.2">
      <c r="B39" s="80" t="s">
        <v>237</v>
      </c>
      <c r="C39" s="80">
        <v>9</v>
      </c>
      <c r="D39" s="80">
        <v>9</v>
      </c>
      <c r="E39" s="80">
        <v>13</v>
      </c>
      <c r="F39" s="80">
        <v>15</v>
      </c>
      <c r="G39" s="80">
        <v>18</v>
      </c>
      <c r="H39" s="80">
        <v>21</v>
      </c>
      <c r="I39" s="80">
        <v>24</v>
      </c>
      <c r="J39" s="80">
        <v>23</v>
      </c>
      <c r="K39" s="80">
        <v>21</v>
      </c>
      <c r="L39" s="80">
        <v>16</v>
      </c>
      <c r="M39" s="80">
        <v>12</v>
      </c>
      <c r="N39" s="80">
        <v>9</v>
      </c>
      <c r="O39" s="83"/>
    </row>
    <row r="40" spans="2:15" x14ac:dyDescent="0.2">
      <c r="B40" s="80" t="s">
        <v>238</v>
      </c>
      <c r="C40" s="80">
        <v>5</v>
      </c>
      <c r="D40" s="80">
        <v>7</v>
      </c>
      <c r="E40" s="80">
        <v>10</v>
      </c>
      <c r="F40" s="80">
        <v>13</v>
      </c>
      <c r="G40" s="80">
        <v>16</v>
      </c>
      <c r="H40" s="80">
        <v>20</v>
      </c>
      <c r="I40" s="80">
        <v>23</v>
      </c>
      <c r="J40" s="80">
        <v>23</v>
      </c>
      <c r="K40" s="80">
        <v>20</v>
      </c>
      <c r="L40" s="80">
        <v>14</v>
      </c>
      <c r="M40" s="80">
        <v>9</v>
      </c>
      <c r="N40" s="80">
        <v>6</v>
      </c>
      <c r="O40" s="83"/>
    </row>
    <row r="41" spans="2:15" x14ac:dyDescent="0.2">
      <c r="B41" s="80" t="s">
        <v>239</v>
      </c>
      <c r="C41" s="80">
        <v>20</v>
      </c>
      <c r="D41" s="80">
        <v>20</v>
      </c>
      <c r="E41" s="80">
        <v>21</v>
      </c>
      <c r="F41" s="80">
        <v>22</v>
      </c>
      <c r="G41" s="80">
        <v>23</v>
      </c>
      <c r="H41" s="80">
        <v>24</v>
      </c>
      <c r="I41" s="80">
        <v>25</v>
      </c>
      <c r="J41" s="80">
        <v>25</v>
      </c>
      <c r="K41" s="80">
        <v>26</v>
      </c>
      <c r="L41" s="80">
        <v>25</v>
      </c>
      <c r="M41" s="80">
        <v>23</v>
      </c>
      <c r="N41" s="80">
        <v>21</v>
      </c>
      <c r="O41" s="83"/>
    </row>
    <row r="42" spans="2:15" x14ac:dyDescent="0.2">
      <c r="B42" s="80" t="s">
        <v>240</v>
      </c>
      <c r="C42" s="80">
        <v>11</v>
      </c>
      <c r="D42" s="80">
        <v>12</v>
      </c>
      <c r="E42" s="80">
        <v>14</v>
      </c>
      <c r="F42" s="80">
        <v>16</v>
      </c>
      <c r="G42" s="80">
        <v>18</v>
      </c>
      <c r="H42" s="80">
        <v>20</v>
      </c>
      <c r="I42" s="80">
        <v>22</v>
      </c>
      <c r="J42" s="80">
        <v>23</v>
      </c>
      <c r="K42" s="80">
        <v>20</v>
      </c>
      <c r="L42" s="80">
        <v>17</v>
      </c>
      <c r="M42" s="80">
        <v>14</v>
      </c>
      <c r="N42" s="80">
        <v>12</v>
      </c>
      <c r="O42" s="83"/>
    </row>
    <row r="43" spans="2:15" x14ac:dyDescent="0.2">
      <c r="B43" s="80" t="s">
        <v>241</v>
      </c>
      <c r="C43" s="80">
        <v>7</v>
      </c>
      <c r="D43" s="80">
        <v>9</v>
      </c>
      <c r="E43" s="80">
        <v>12</v>
      </c>
      <c r="F43" s="80">
        <v>14</v>
      </c>
      <c r="G43" s="80">
        <v>17</v>
      </c>
      <c r="H43" s="80">
        <v>21</v>
      </c>
      <c r="I43" s="80">
        <v>24</v>
      </c>
      <c r="J43" s="80">
        <v>24</v>
      </c>
      <c r="K43" s="80">
        <v>21</v>
      </c>
      <c r="L43" s="80">
        <v>16</v>
      </c>
      <c r="M43" s="80">
        <v>11</v>
      </c>
      <c r="N43" s="80">
        <v>8</v>
      </c>
      <c r="O43" s="83"/>
    </row>
    <row r="44" spans="2:15" x14ac:dyDescent="0.2">
      <c r="B44" s="80" t="s">
        <v>242</v>
      </c>
      <c r="C44" s="80">
        <v>6</v>
      </c>
      <c r="D44" s="80">
        <v>7</v>
      </c>
      <c r="E44" s="80">
        <v>10</v>
      </c>
      <c r="F44" s="80">
        <v>13</v>
      </c>
      <c r="G44" s="80">
        <v>16</v>
      </c>
      <c r="H44" s="80">
        <v>20</v>
      </c>
      <c r="I44" s="80">
        <v>24</v>
      </c>
      <c r="J44" s="80">
        <v>23</v>
      </c>
      <c r="K44" s="80">
        <v>20</v>
      </c>
      <c r="L44" s="80">
        <v>14</v>
      </c>
      <c r="M44" s="80">
        <v>9</v>
      </c>
      <c r="N44" s="80">
        <v>6</v>
      </c>
      <c r="O44" s="83"/>
    </row>
    <row r="45" spans="2:15" x14ac:dyDescent="0.2">
      <c r="B45" s="80" t="s">
        <v>243</v>
      </c>
      <c r="C45" s="80">
        <v>19</v>
      </c>
      <c r="D45" s="80">
        <v>20</v>
      </c>
      <c r="E45" s="80">
        <v>20</v>
      </c>
      <c r="F45" s="80">
        <v>21</v>
      </c>
      <c r="G45" s="80">
        <v>22</v>
      </c>
      <c r="H45" s="80">
        <v>24</v>
      </c>
      <c r="I45" s="80">
        <v>26</v>
      </c>
      <c r="J45" s="80">
        <v>27</v>
      </c>
      <c r="K45" s="80">
        <v>26</v>
      </c>
      <c r="L45" s="80">
        <v>25</v>
      </c>
      <c r="M45" s="80">
        <v>23</v>
      </c>
      <c r="N45" s="80">
        <v>20</v>
      </c>
      <c r="O45" s="83"/>
    </row>
    <row r="46" spans="2:15" x14ac:dyDescent="0.2">
      <c r="B46" s="80" t="s">
        <v>244</v>
      </c>
      <c r="C46" s="80">
        <v>4</v>
      </c>
      <c r="D46" s="80">
        <v>6</v>
      </c>
      <c r="E46" s="80">
        <v>10</v>
      </c>
      <c r="F46" s="80">
        <v>12</v>
      </c>
      <c r="G46" s="80">
        <v>15</v>
      </c>
      <c r="H46" s="80">
        <v>20</v>
      </c>
      <c r="I46" s="80">
        <v>24</v>
      </c>
      <c r="J46" s="80">
        <v>23</v>
      </c>
      <c r="K46" s="80">
        <v>20</v>
      </c>
      <c r="L46" s="80">
        <v>14</v>
      </c>
      <c r="M46" s="80">
        <v>9</v>
      </c>
      <c r="N46" s="80">
        <v>5</v>
      </c>
      <c r="O46" s="83"/>
    </row>
    <row r="47" spans="2:15" x14ac:dyDescent="0.2">
      <c r="B47" s="80" t="s">
        <v>245</v>
      </c>
      <c r="C47" s="80">
        <v>11</v>
      </c>
      <c r="D47" s="80">
        <v>13</v>
      </c>
      <c r="E47" s="80">
        <v>14</v>
      </c>
      <c r="F47" s="80">
        <v>17</v>
      </c>
      <c r="G47" s="80">
        <v>21</v>
      </c>
      <c r="H47" s="80">
        <v>25</v>
      </c>
      <c r="I47" s="80">
        <v>29</v>
      </c>
      <c r="J47" s="80">
        <v>29</v>
      </c>
      <c r="K47" s="80">
        <v>24</v>
      </c>
      <c r="L47" s="80">
        <v>20</v>
      </c>
      <c r="M47" s="80">
        <v>16</v>
      </c>
      <c r="N47" s="80">
        <v>12</v>
      </c>
      <c r="O47" s="83"/>
    </row>
    <row r="48" spans="2:15" x14ac:dyDescent="0.2">
      <c r="B48" s="80" t="s">
        <v>246</v>
      </c>
      <c r="C48" s="80">
        <v>4</v>
      </c>
      <c r="D48" s="80">
        <v>6</v>
      </c>
      <c r="E48" s="80">
        <v>9</v>
      </c>
      <c r="F48" s="80">
        <v>11</v>
      </c>
      <c r="G48" s="80">
        <v>14</v>
      </c>
      <c r="H48" s="80">
        <v>19</v>
      </c>
      <c r="I48" s="80">
        <v>22</v>
      </c>
      <c r="J48" s="80">
        <v>22</v>
      </c>
      <c r="K48" s="80">
        <v>18</v>
      </c>
      <c r="L48" s="80">
        <v>13</v>
      </c>
      <c r="M48" s="80">
        <v>8</v>
      </c>
      <c r="N48" s="80">
        <v>5</v>
      </c>
      <c r="O48" s="83"/>
    </row>
    <row r="49" spans="2:15" x14ac:dyDescent="0.2">
      <c r="B49" s="80" t="s">
        <v>247</v>
      </c>
      <c r="C49" s="80">
        <v>11</v>
      </c>
      <c r="D49" s="80">
        <v>12</v>
      </c>
      <c r="E49" s="80">
        <v>14</v>
      </c>
      <c r="F49" s="80">
        <v>16</v>
      </c>
      <c r="G49" s="80">
        <v>19</v>
      </c>
      <c r="H49" s="80">
        <v>22</v>
      </c>
      <c r="I49" s="80">
        <v>25</v>
      </c>
      <c r="J49" s="80">
        <v>26</v>
      </c>
      <c r="K49" s="80">
        <v>23</v>
      </c>
      <c r="L49" s="80">
        <v>20</v>
      </c>
      <c r="M49" s="80">
        <v>15</v>
      </c>
      <c r="N49" s="80">
        <v>12</v>
      </c>
      <c r="O49" s="83"/>
    </row>
    <row r="50" spans="2:15" x14ac:dyDescent="0.2">
      <c r="B50" s="80" t="s">
        <v>248</v>
      </c>
      <c r="C50" s="80">
        <v>5</v>
      </c>
      <c r="D50" s="80">
        <v>6</v>
      </c>
      <c r="E50" s="80">
        <v>9</v>
      </c>
      <c r="F50" s="80">
        <v>12</v>
      </c>
      <c r="G50" s="80">
        <v>16</v>
      </c>
      <c r="H50" s="80">
        <v>20</v>
      </c>
      <c r="I50" s="80">
        <v>23</v>
      </c>
      <c r="J50" s="80">
        <v>24</v>
      </c>
      <c r="K50" s="80">
        <v>19</v>
      </c>
      <c r="L50" s="80">
        <v>14</v>
      </c>
      <c r="M50" s="80">
        <v>9</v>
      </c>
      <c r="N50" s="80">
        <v>6</v>
      </c>
      <c r="O50" s="83"/>
    </row>
    <row r="51" spans="2:15" x14ac:dyDescent="0.2">
      <c r="B51" s="80" t="s">
        <v>249</v>
      </c>
      <c r="C51" s="80">
        <v>8</v>
      </c>
      <c r="D51" s="80">
        <v>9</v>
      </c>
      <c r="E51" s="80">
        <v>13</v>
      </c>
      <c r="F51" s="80">
        <v>15</v>
      </c>
      <c r="G51" s="80">
        <v>19</v>
      </c>
      <c r="H51" s="80">
        <v>24</v>
      </c>
      <c r="I51" s="80">
        <v>28</v>
      </c>
      <c r="J51" s="80">
        <v>27</v>
      </c>
      <c r="K51" s="80">
        <v>23</v>
      </c>
      <c r="L51" s="80">
        <v>17</v>
      </c>
      <c r="M51" s="80">
        <v>12</v>
      </c>
      <c r="N51" s="80">
        <v>8</v>
      </c>
      <c r="O51" s="83"/>
    </row>
    <row r="52" spans="2:15" x14ac:dyDescent="0.2">
      <c r="B52" s="80" t="s">
        <v>250</v>
      </c>
      <c r="C52" s="80">
        <v>12</v>
      </c>
      <c r="D52" s="80">
        <v>13</v>
      </c>
      <c r="E52" s="80">
        <v>15</v>
      </c>
      <c r="F52" s="80">
        <v>17</v>
      </c>
      <c r="G52" s="80">
        <v>20</v>
      </c>
      <c r="H52" s="80">
        <v>23</v>
      </c>
      <c r="I52" s="80">
        <v>26</v>
      </c>
      <c r="J52" s="80">
        <v>27</v>
      </c>
      <c r="K52" s="80">
        <v>24</v>
      </c>
      <c r="L52" s="80">
        <v>20</v>
      </c>
      <c r="M52" s="80">
        <v>16</v>
      </c>
      <c r="N52" s="80">
        <v>13</v>
      </c>
      <c r="O52" s="83"/>
    </row>
    <row r="53" spans="2:15" x14ac:dyDescent="0.2">
      <c r="B53" s="80" t="s">
        <v>251</v>
      </c>
      <c r="C53" s="80">
        <v>4</v>
      </c>
      <c r="D53" s="80">
        <v>6</v>
      </c>
      <c r="E53" s="80">
        <v>9</v>
      </c>
      <c r="F53" s="80">
        <v>12</v>
      </c>
      <c r="G53" s="80">
        <v>17</v>
      </c>
      <c r="H53" s="80">
        <v>21</v>
      </c>
      <c r="I53" s="80">
        <v>24</v>
      </c>
      <c r="J53" s="80">
        <v>23</v>
      </c>
      <c r="K53" s="80">
        <v>18</v>
      </c>
      <c r="L53" s="80">
        <v>13</v>
      </c>
      <c r="M53" s="80">
        <v>8</v>
      </c>
      <c r="N53" s="80">
        <v>4</v>
      </c>
      <c r="O53" s="83"/>
    </row>
    <row r="54" spans="2:15" x14ac:dyDescent="0.2">
      <c r="B54" s="80" t="s">
        <v>252</v>
      </c>
      <c r="C54" s="80">
        <v>10</v>
      </c>
      <c r="D54" s="80">
        <v>11</v>
      </c>
      <c r="E54" s="80">
        <v>12</v>
      </c>
      <c r="F54" s="80">
        <v>13</v>
      </c>
      <c r="G54" s="80">
        <v>16</v>
      </c>
      <c r="H54" s="80">
        <v>20</v>
      </c>
      <c r="I54" s="80">
        <v>22</v>
      </c>
      <c r="J54" s="80">
        <v>22</v>
      </c>
      <c r="K54" s="80">
        <v>20</v>
      </c>
      <c r="L54" s="80">
        <v>16</v>
      </c>
      <c r="M54" s="80">
        <v>13</v>
      </c>
      <c r="N54" s="80">
        <v>8</v>
      </c>
      <c r="O54" s="83"/>
    </row>
    <row r="55" spans="2:15" x14ac:dyDescent="0.2">
      <c r="B55" s="80" t="s">
        <v>253</v>
      </c>
      <c r="C55" s="80">
        <v>6</v>
      </c>
      <c r="D55" s="80">
        <v>7</v>
      </c>
      <c r="E55" s="80">
        <v>11</v>
      </c>
      <c r="F55" s="80">
        <v>13</v>
      </c>
      <c r="G55" s="80">
        <v>16</v>
      </c>
      <c r="H55" s="80">
        <v>21</v>
      </c>
      <c r="I55" s="80">
        <v>24</v>
      </c>
      <c r="J55" s="80">
        <v>23</v>
      </c>
      <c r="K55" s="80">
        <v>20</v>
      </c>
      <c r="L55" s="80">
        <v>15</v>
      </c>
      <c r="M55" s="80">
        <v>10</v>
      </c>
      <c r="N55" s="80">
        <v>6</v>
      </c>
      <c r="O55" s="83"/>
    </row>
    <row r="56" spans="2:15" x14ac:dyDescent="0.2">
      <c r="B56" s="81" t="s">
        <v>254</v>
      </c>
      <c r="C56" s="81">
        <v>8</v>
      </c>
      <c r="D56" s="81">
        <v>10</v>
      </c>
      <c r="E56" s="81">
        <v>13</v>
      </c>
      <c r="F56" s="81">
        <v>16</v>
      </c>
      <c r="G56" s="81">
        <v>19</v>
      </c>
      <c r="H56" s="81">
        <v>23</v>
      </c>
      <c r="I56" s="81">
        <v>26</v>
      </c>
      <c r="J56" s="81">
        <v>26</v>
      </c>
      <c r="K56" s="81">
        <v>23</v>
      </c>
      <c r="L56" s="81">
        <v>17</v>
      </c>
      <c r="M56" s="81">
        <v>12</v>
      </c>
      <c r="N56" s="81">
        <v>9</v>
      </c>
      <c r="O56" s="83"/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F480B-9F8D-4003-ABF7-8C8E4695F9CF}">
  <sheetPr codeName="Hoja5"/>
  <dimension ref="B1:O56"/>
  <sheetViews>
    <sheetView showGridLines="0" zoomScale="75" workbookViewId="0">
      <selection activeCell="P7" sqref="P7"/>
    </sheetView>
  </sheetViews>
  <sheetFormatPr baseColWidth="10" defaultRowHeight="12.75" x14ac:dyDescent="0.2"/>
  <cols>
    <col min="1" max="1" width="2.7109375" customWidth="1"/>
    <col min="2" max="2" width="15.5703125" customWidth="1"/>
    <col min="3" max="14" width="6.7109375" customWidth="1"/>
  </cols>
  <sheetData>
    <row r="1" spans="2:15" x14ac:dyDescent="0.2">
      <c r="B1" s="5" t="s">
        <v>256</v>
      </c>
    </row>
    <row r="2" spans="2:15" x14ac:dyDescent="0.2">
      <c r="B2" t="s">
        <v>257</v>
      </c>
    </row>
    <row r="3" spans="2:15" x14ac:dyDescent="0.2">
      <c r="C3" s="84">
        <v>31</v>
      </c>
      <c r="D3" s="84">
        <v>28</v>
      </c>
      <c r="E3" s="84">
        <v>31</v>
      </c>
      <c r="F3" s="84">
        <v>30</v>
      </c>
      <c r="G3" s="84">
        <v>31</v>
      </c>
      <c r="H3" s="84">
        <v>30</v>
      </c>
      <c r="I3" s="84">
        <v>31</v>
      </c>
      <c r="J3" s="84">
        <v>31</v>
      </c>
      <c r="K3" s="84">
        <v>30</v>
      </c>
      <c r="L3" s="84">
        <v>31</v>
      </c>
      <c r="M3" s="84">
        <v>30</v>
      </c>
      <c r="N3" s="84">
        <v>31</v>
      </c>
    </row>
    <row r="4" spans="2:15" ht="16.5" x14ac:dyDescent="0.2">
      <c r="B4" s="8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266" t="s">
        <v>311</v>
      </c>
    </row>
    <row r="5" spans="2:15" x14ac:dyDescent="0.2">
      <c r="B5" s="80" t="s">
        <v>203</v>
      </c>
      <c r="C5" s="80">
        <v>5</v>
      </c>
      <c r="D5" s="80">
        <v>6</v>
      </c>
      <c r="E5" s="80">
        <v>8</v>
      </c>
      <c r="F5" s="80">
        <v>10</v>
      </c>
      <c r="G5" s="80">
        <v>11</v>
      </c>
      <c r="H5" s="80">
        <v>12</v>
      </c>
      <c r="I5" s="80">
        <v>13</v>
      </c>
      <c r="J5" s="80">
        <v>12</v>
      </c>
      <c r="K5" s="80">
        <v>11</v>
      </c>
      <c r="L5" s="80">
        <v>10</v>
      </c>
      <c r="M5" s="80">
        <v>8</v>
      </c>
      <c r="N5" s="80">
        <v>5</v>
      </c>
      <c r="O5" s="91">
        <f>+(C5*$C$3+D5*$D$3+E5*$E$3+F5*$F$3+G5*$G$3+H5*$H$3+I5*$I$3+J5*$J$3+K5*$K$3+L5*$L$3+M5*$M$3+N5*$N$3)/365</f>
        <v>9.2657534246575342</v>
      </c>
    </row>
    <row r="6" spans="2:15" x14ac:dyDescent="0.2">
      <c r="B6" s="80" t="s">
        <v>204</v>
      </c>
      <c r="C6" s="80">
        <v>5</v>
      </c>
      <c r="D6" s="80">
        <v>6</v>
      </c>
      <c r="E6" s="80">
        <v>8</v>
      </c>
      <c r="F6" s="80">
        <v>10</v>
      </c>
      <c r="G6" s="80">
        <v>11</v>
      </c>
      <c r="H6" s="80">
        <v>12</v>
      </c>
      <c r="I6" s="80">
        <v>13</v>
      </c>
      <c r="J6" s="80">
        <v>12</v>
      </c>
      <c r="K6" s="80">
        <v>11</v>
      </c>
      <c r="L6" s="80">
        <v>10</v>
      </c>
      <c r="M6" s="80">
        <v>8</v>
      </c>
      <c r="N6" s="80">
        <v>5</v>
      </c>
      <c r="O6" s="92">
        <f t="shared" ref="O6:O56" si="0">+(C6*$C$3+D6*$D$3+E6*$E$3+F6*$F$3+G6*$G$3+H6*$H$3+I6*$I$3+J6*$J$3+K6*$K$3+L6*$L$3+M6*$M$3+N6*$N$3)/365</f>
        <v>9.2657534246575342</v>
      </c>
    </row>
    <row r="7" spans="2:15" x14ac:dyDescent="0.2">
      <c r="B7" s="80" t="s">
        <v>205</v>
      </c>
      <c r="C7" s="80">
        <v>8</v>
      </c>
      <c r="D7" s="80">
        <v>9</v>
      </c>
      <c r="E7" s="80">
        <v>11</v>
      </c>
      <c r="F7" s="80">
        <v>13</v>
      </c>
      <c r="G7" s="80">
        <v>14</v>
      </c>
      <c r="H7" s="80">
        <v>15</v>
      </c>
      <c r="I7" s="80">
        <v>16</v>
      </c>
      <c r="J7" s="80">
        <v>15</v>
      </c>
      <c r="K7" s="80">
        <v>14</v>
      </c>
      <c r="L7" s="80">
        <v>13</v>
      </c>
      <c r="M7" s="80">
        <v>11</v>
      </c>
      <c r="N7" s="80">
        <v>8</v>
      </c>
      <c r="O7" s="92">
        <f t="shared" si="0"/>
        <v>12.265753424657534</v>
      </c>
    </row>
    <row r="8" spans="2:15" x14ac:dyDescent="0.2">
      <c r="B8" s="80" t="s">
        <v>206</v>
      </c>
      <c r="C8" s="80">
        <v>8</v>
      </c>
      <c r="D8" s="80">
        <v>9</v>
      </c>
      <c r="E8" s="80">
        <v>11</v>
      </c>
      <c r="F8" s="80">
        <v>13</v>
      </c>
      <c r="G8" s="80">
        <v>14</v>
      </c>
      <c r="H8" s="80">
        <v>15</v>
      </c>
      <c r="I8" s="80">
        <v>16</v>
      </c>
      <c r="J8" s="80">
        <v>15</v>
      </c>
      <c r="K8" s="80">
        <v>14</v>
      </c>
      <c r="L8" s="80">
        <v>13</v>
      </c>
      <c r="M8" s="80">
        <v>11</v>
      </c>
      <c r="N8" s="80">
        <v>8</v>
      </c>
      <c r="O8" s="92">
        <f t="shared" si="0"/>
        <v>12.265753424657534</v>
      </c>
    </row>
    <row r="9" spans="2:15" x14ac:dyDescent="0.2">
      <c r="B9" s="80" t="s">
        <v>207</v>
      </c>
      <c r="C9" s="80">
        <v>6</v>
      </c>
      <c r="D9" s="80">
        <v>7</v>
      </c>
      <c r="E9" s="80">
        <v>9</v>
      </c>
      <c r="F9" s="80">
        <v>11</v>
      </c>
      <c r="G9" s="80">
        <v>12</v>
      </c>
      <c r="H9" s="80">
        <v>13</v>
      </c>
      <c r="I9" s="80">
        <v>14</v>
      </c>
      <c r="J9" s="80">
        <v>13</v>
      </c>
      <c r="K9" s="80">
        <v>12</v>
      </c>
      <c r="L9" s="80">
        <v>11</v>
      </c>
      <c r="M9" s="80">
        <v>9</v>
      </c>
      <c r="N9" s="80">
        <v>6</v>
      </c>
      <c r="O9" s="92">
        <f t="shared" si="0"/>
        <v>10.265753424657534</v>
      </c>
    </row>
    <row r="10" spans="2:15" x14ac:dyDescent="0.2">
      <c r="B10" s="80" t="s">
        <v>208</v>
      </c>
      <c r="C10" s="80">
        <v>4</v>
      </c>
      <c r="D10" s="80">
        <v>5</v>
      </c>
      <c r="E10" s="80">
        <v>7</v>
      </c>
      <c r="F10" s="80">
        <v>9</v>
      </c>
      <c r="G10" s="80">
        <v>10</v>
      </c>
      <c r="H10" s="80">
        <v>11</v>
      </c>
      <c r="I10" s="80">
        <v>12</v>
      </c>
      <c r="J10" s="80">
        <v>11</v>
      </c>
      <c r="K10" s="80">
        <v>10</v>
      </c>
      <c r="L10" s="80">
        <v>9</v>
      </c>
      <c r="M10" s="80">
        <v>7</v>
      </c>
      <c r="N10" s="80">
        <v>4</v>
      </c>
      <c r="O10" s="92">
        <f t="shared" si="0"/>
        <v>8.2657534246575342</v>
      </c>
    </row>
    <row r="11" spans="2:15" x14ac:dyDescent="0.2">
      <c r="B11" s="80" t="s">
        <v>209</v>
      </c>
      <c r="C11" s="80">
        <v>6</v>
      </c>
      <c r="D11" s="80">
        <v>7</v>
      </c>
      <c r="E11" s="80">
        <v>9</v>
      </c>
      <c r="F11" s="80">
        <v>11</v>
      </c>
      <c r="G11" s="80">
        <v>12</v>
      </c>
      <c r="H11" s="80">
        <v>13</v>
      </c>
      <c r="I11" s="80">
        <v>14</v>
      </c>
      <c r="J11" s="80">
        <v>13</v>
      </c>
      <c r="K11" s="80">
        <v>12</v>
      </c>
      <c r="L11" s="80">
        <v>11</v>
      </c>
      <c r="M11" s="80">
        <v>9</v>
      </c>
      <c r="N11" s="80">
        <v>6</v>
      </c>
      <c r="O11" s="92">
        <f t="shared" si="0"/>
        <v>10.265753424657534</v>
      </c>
    </row>
    <row r="12" spans="2:15" x14ac:dyDescent="0.2">
      <c r="B12" s="80" t="s">
        <v>210</v>
      </c>
      <c r="C12" s="80">
        <v>8</v>
      </c>
      <c r="D12" s="80">
        <v>9</v>
      </c>
      <c r="E12" s="80">
        <v>11</v>
      </c>
      <c r="F12" s="80">
        <v>13</v>
      </c>
      <c r="G12" s="80">
        <v>14</v>
      </c>
      <c r="H12" s="80">
        <v>15</v>
      </c>
      <c r="I12" s="80">
        <v>16</v>
      </c>
      <c r="J12" s="80">
        <v>15</v>
      </c>
      <c r="K12" s="80">
        <v>14</v>
      </c>
      <c r="L12" s="80">
        <v>13</v>
      </c>
      <c r="M12" s="80">
        <v>11</v>
      </c>
      <c r="N12" s="80">
        <v>8</v>
      </c>
      <c r="O12" s="92">
        <f t="shared" si="0"/>
        <v>12.265753424657534</v>
      </c>
    </row>
    <row r="13" spans="2:15" x14ac:dyDescent="0.2">
      <c r="B13" s="80" t="s">
        <v>211</v>
      </c>
      <c r="C13" s="80">
        <v>8</v>
      </c>
      <c r="D13" s="80">
        <v>9</v>
      </c>
      <c r="E13" s="80">
        <v>11</v>
      </c>
      <c r="F13" s="80">
        <v>13</v>
      </c>
      <c r="G13" s="80">
        <v>14</v>
      </c>
      <c r="H13" s="80">
        <v>15</v>
      </c>
      <c r="I13" s="80">
        <v>16</v>
      </c>
      <c r="J13" s="80">
        <v>15</v>
      </c>
      <c r="K13" s="80">
        <v>14</v>
      </c>
      <c r="L13" s="80">
        <v>13</v>
      </c>
      <c r="M13" s="80">
        <v>11</v>
      </c>
      <c r="N13" s="80">
        <v>8</v>
      </c>
      <c r="O13" s="92">
        <f t="shared" si="0"/>
        <v>12.265753424657534</v>
      </c>
    </row>
    <row r="14" spans="2:15" x14ac:dyDescent="0.2">
      <c r="B14" s="80" t="s">
        <v>212</v>
      </c>
      <c r="C14" s="80">
        <v>4</v>
      </c>
      <c r="D14" s="80">
        <v>5</v>
      </c>
      <c r="E14" s="80">
        <v>7</v>
      </c>
      <c r="F14" s="80">
        <v>9</v>
      </c>
      <c r="G14" s="80">
        <v>10</v>
      </c>
      <c r="H14" s="80">
        <v>11</v>
      </c>
      <c r="I14" s="80">
        <v>12</v>
      </c>
      <c r="J14" s="80">
        <v>11</v>
      </c>
      <c r="K14" s="80">
        <v>10</v>
      </c>
      <c r="L14" s="80">
        <v>9</v>
      </c>
      <c r="M14" s="80">
        <v>7</v>
      </c>
      <c r="N14" s="80">
        <v>4</v>
      </c>
      <c r="O14" s="92">
        <f t="shared" si="0"/>
        <v>8.2657534246575342</v>
      </c>
    </row>
    <row r="15" spans="2:15" x14ac:dyDescent="0.2">
      <c r="B15" s="80" t="s">
        <v>213</v>
      </c>
      <c r="C15" s="80">
        <v>6</v>
      </c>
      <c r="D15" s="80">
        <v>7</v>
      </c>
      <c r="E15" s="80">
        <v>9</v>
      </c>
      <c r="F15" s="80">
        <v>11</v>
      </c>
      <c r="G15" s="80">
        <v>12</v>
      </c>
      <c r="H15" s="80">
        <v>13</v>
      </c>
      <c r="I15" s="80">
        <v>14</v>
      </c>
      <c r="J15" s="80">
        <v>13</v>
      </c>
      <c r="K15" s="80">
        <v>12</v>
      </c>
      <c r="L15" s="80">
        <v>11</v>
      </c>
      <c r="M15" s="80">
        <v>9</v>
      </c>
      <c r="N15" s="80">
        <v>6</v>
      </c>
      <c r="O15" s="92">
        <f t="shared" si="0"/>
        <v>10.265753424657534</v>
      </c>
    </row>
    <row r="16" spans="2:15" x14ac:dyDescent="0.2">
      <c r="B16" s="80" t="s">
        <v>214</v>
      </c>
      <c r="C16" s="80">
        <v>8</v>
      </c>
      <c r="D16" s="80">
        <v>9</v>
      </c>
      <c r="E16" s="80">
        <v>11</v>
      </c>
      <c r="F16" s="80">
        <v>13</v>
      </c>
      <c r="G16" s="80">
        <v>14</v>
      </c>
      <c r="H16" s="80">
        <v>15</v>
      </c>
      <c r="I16" s="80">
        <v>16</v>
      </c>
      <c r="J16" s="80">
        <v>15</v>
      </c>
      <c r="K16" s="80">
        <v>14</v>
      </c>
      <c r="L16" s="80">
        <v>13</v>
      </c>
      <c r="M16" s="80">
        <v>11</v>
      </c>
      <c r="N16" s="80">
        <v>8</v>
      </c>
      <c r="O16" s="92">
        <f t="shared" si="0"/>
        <v>12.265753424657534</v>
      </c>
    </row>
    <row r="17" spans="2:15" x14ac:dyDescent="0.2">
      <c r="B17" s="80" t="s">
        <v>215</v>
      </c>
      <c r="C17" s="80">
        <v>8</v>
      </c>
      <c r="D17" s="80">
        <v>9</v>
      </c>
      <c r="E17" s="80">
        <v>11</v>
      </c>
      <c r="F17" s="80">
        <v>13</v>
      </c>
      <c r="G17" s="80">
        <v>14</v>
      </c>
      <c r="H17" s="80">
        <v>15</v>
      </c>
      <c r="I17" s="80">
        <v>16</v>
      </c>
      <c r="J17" s="80">
        <v>15</v>
      </c>
      <c r="K17" s="80">
        <v>14</v>
      </c>
      <c r="L17" s="80">
        <v>13</v>
      </c>
      <c r="M17" s="80">
        <v>11</v>
      </c>
      <c r="N17" s="80">
        <v>8</v>
      </c>
      <c r="O17" s="92">
        <f t="shared" si="0"/>
        <v>12.265753424657534</v>
      </c>
    </row>
    <row r="18" spans="2:15" x14ac:dyDescent="0.2">
      <c r="B18" s="80" t="s">
        <v>216</v>
      </c>
      <c r="C18" s="80">
        <v>8</v>
      </c>
      <c r="D18" s="80">
        <v>9</v>
      </c>
      <c r="E18" s="80">
        <v>11</v>
      </c>
      <c r="F18" s="80">
        <v>13</v>
      </c>
      <c r="G18" s="80">
        <v>14</v>
      </c>
      <c r="H18" s="80">
        <v>15</v>
      </c>
      <c r="I18" s="80">
        <v>16</v>
      </c>
      <c r="J18" s="80">
        <v>15</v>
      </c>
      <c r="K18" s="80">
        <v>14</v>
      </c>
      <c r="L18" s="80">
        <v>13</v>
      </c>
      <c r="M18" s="80">
        <v>11</v>
      </c>
      <c r="N18" s="80">
        <v>8</v>
      </c>
      <c r="O18" s="92">
        <f t="shared" si="0"/>
        <v>12.265753424657534</v>
      </c>
    </row>
    <row r="19" spans="2:15" x14ac:dyDescent="0.2">
      <c r="B19" s="80" t="s">
        <v>217</v>
      </c>
      <c r="C19" s="80">
        <v>8</v>
      </c>
      <c r="D19" s="80">
        <v>9</v>
      </c>
      <c r="E19" s="80">
        <v>10</v>
      </c>
      <c r="F19" s="80">
        <v>12</v>
      </c>
      <c r="G19" s="80">
        <v>13</v>
      </c>
      <c r="H19" s="80">
        <v>13</v>
      </c>
      <c r="I19" s="80">
        <v>14</v>
      </c>
      <c r="J19" s="80">
        <v>13</v>
      </c>
      <c r="K19" s="80">
        <v>13</v>
      </c>
      <c r="L19" s="80">
        <v>12</v>
      </c>
      <c r="M19" s="80">
        <v>11</v>
      </c>
      <c r="N19" s="80">
        <v>8</v>
      </c>
      <c r="O19" s="92">
        <f t="shared" si="0"/>
        <v>11.342465753424657</v>
      </c>
    </row>
    <row r="20" spans="2:15" x14ac:dyDescent="0.2">
      <c r="B20" s="80" t="s">
        <v>218</v>
      </c>
      <c r="C20" s="80">
        <v>5</v>
      </c>
      <c r="D20" s="80">
        <v>6</v>
      </c>
      <c r="E20" s="80">
        <v>8</v>
      </c>
      <c r="F20" s="80">
        <v>10</v>
      </c>
      <c r="G20" s="80">
        <v>11</v>
      </c>
      <c r="H20" s="80">
        <v>12</v>
      </c>
      <c r="I20" s="80">
        <v>13</v>
      </c>
      <c r="J20" s="80">
        <v>12</v>
      </c>
      <c r="K20" s="80">
        <v>11</v>
      </c>
      <c r="L20" s="80">
        <v>10</v>
      </c>
      <c r="M20" s="80">
        <v>8</v>
      </c>
      <c r="N20" s="80">
        <v>5</v>
      </c>
      <c r="O20" s="92">
        <f t="shared" si="0"/>
        <v>9.2657534246575342</v>
      </c>
    </row>
    <row r="21" spans="2:15" x14ac:dyDescent="0.2">
      <c r="B21" s="80" t="s">
        <v>219</v>
      </c>
      <c r="C21" s="80">
        <v>6</v>
      </c>
      <c r="D21" s="80">
        <v>7</v>
      </c>
      <c r="E21" s="80">
        <v>9</v>
      </c>
      <c r="F21" s="80">
        <v>11</v>
      </c>
      <c r="G21" s="80">
        <v>12</v>
      </c>
      <c r="H21" s="80">
        <v>13</v>
      </c>
      <c r="I21" s="80">
        <v>14</v>
      </c>
      <c r="J21" s="80">
        <v>13</v>
      </c>
      <c r="K21" s="80">
        <v>12</v>
      </c>
      <c r="L21" s="80">
        <v>11</v>
      </c>
      <c r="M21" s="80">
        <v>9</v>
      </c>
      <c r="N21" s="80">
        <v>6</v>
      </c>
      <c r="O21" s="92">
        <f t="shared" si="0"/>
        <v>10.265753424657534</v>
      </c>
    </row>
    <row r="22" spans="2:15" x14ac:dyDescent="0.2">
      <c r="B22" s="80" t="s">
        <v>220</v>
      </c>
      <c r="C22" s="80">
        <v>8</v>
      </c>
      <c r="D22" s="80">
        <v>9</v>
      </c>
      <c r="E22" s="80">
        <v>11</v>
      </c>
      <c r="F22" s="80">
        <v>13</v>
      </c>
      <c r="G22" s="80">
        <v>14</v>
      </c>
      <c r="H22" s="80">
        <v>15</v>
      </c>
      <c r="I22" s="80">
        <v>16</v>
      </c>
      <c r="J22" s="80">
        <v>15</v>
      </c>
      <c r="K22" s="80">
        <v>14</v>
      </c>
      <c r="L22" s="80">
        <v>13</v>
      </c>
      <c r="M22" s="80">
        <v>11</v>
      </c>
      <c r="N22" s="80">
        <v>8</v>
      </c>
      <c r="O22" s="92">
        <f t="shared" si="0"/>
        <v>12.265753424657534</v>
      </c>
    </row>
    <row r="23" spans="2:15" x14ac:dyDescent="0.2">
      <c r="B23" s="80" t="s">
        <v>221</v>
      </c>
      <c r="C23" s="80">
        <v>4</v>
      </c>
      <c r="D23" s="80">
        <v>5</v>
      </c>
      <c r="E23" s="80">
        <v>7</v>
      </c>
      <c r="F23" s="80">
        <v>9</v>
      </c>
      <c r="G23" s="80">
        <v>10</v>
      </c>
      <c r="H23" s="80">
        <v>11</v>
      </c>
      <c r="I23" s="80">
        <v>12</v>
      </c>
      <c r="J23" s="80">
        <v>11</v>
      </c>
      <c r="K23" s="80">
        <v>10</v>
      </c>
      <c r="L23" s="80">
        <v>9</v>
      </c>
      <c r="M23" s="80">
        <v>7</v>
      </c>
      <c r="N23" s="80">
        <v>4</v>
      </c>
      <c r="O23" s="92">
        <f t="shared" si="0"/>
        <v>8.2657534246575342</v>
      </c>
    </row>
    <row r="24" spans="2:15" x14ac:dyDescent="0.2">
      <c r="B24" s="80" t="s">
        <v>222</v>
      </c>
      <c r="C24" s="80">
        <v>6</v>
      </c>
      <c r="D24" s="80">
        <v>7</v>
      </c>
      <c r="E24" s="80">
        <v>9</v>
      </c>
      <c r="F24" s="80">
        <v>11</v>
      </c>
      <c r="G24" s="80">
        <v>12</v>
      </c>
      <c r="H24" s="80">
        <v>13</v>
      </c>
      <c r="I24" s="80">
        <v>14</v>
      </c>
      <c r="J24" s="80">
        <v>13</v>
      </c>
      <c r="K24" s="80">
        <v>12</v>
      </c>
      <c r="L24" s="80">
        <v>11</v>
      </c>
      <c r="M24" s="80">
        <v>9</v>
      </c>
      <c r="N24" s="80">
        <v>6</v>
      </c>
      <c r="O24" s="92">
        <f t="shared" si="0"/>
        <v>10.265753424657534</v>
      </c>
    </row>
    <row r="25" spans="2:15" x14ac:dyDescent="0.2">
      <c r="B25" s="80" t="s">
        <v>223</v>
      </c>
      <c r="C25" s="80">
        <v>6</v>
      </c>
      <c r="D25" s="80">
        <v>7</v>
      </c>
      <c r="E25" s="80">
        <v>9</v>
      </c>
      <c r="F25" s="80">
        <v>11</v>
      </c>
      <c r="G25" s="80">
        <v>12</v>
      </c>
      <c r="H25" s="80">
        <v>13</v>
      </c>
      <c r="I25" s="80">
        <v>14</v>
      </c>
      <c r="J25" s="80">
        <v>13</v>
      </c>
      <c r="K25" s="80">
        <v>12</v>
      </c>
      <c r="L25" s="80">
        <v>11</v>
      </c>
      <c r="M25" s="80">
        <v>9</v>
      </c>
      <c r="N25" s="80">
        <v>6</v>
      </c>
      <c r="O25" s="92">
        <f t="shared" si="0"/>
        <v>10.265753424657534</v>
      </c>
    </row>
    <row r="26" spans="2:15" x14ac:dyDescent="0.2">
      <c r="B26" s="80" t="s">
        <v>224</v>
      </c>
      <c r="C26" s="80">
        <v>6</v>
      </c>
      <c r="D26" s="80">
        <v>7</v>
      </c>
      <c r="E26" s="80">
        <v>9</v>
      </c>
      <c r="F26" s="80">
        <v>11</v>
      </c>
      <c r="G26" s="80">
        <v>12</v>
      </c>
      <c r="H26" s="80">
        <v>13</v>
      </c>
      <c r="I26" s="80">
        <v>14</v>
      </c>
      <c r="J26" s="80">
        <v>13</v>
      </c>
      <c r="K26" s="80">
        <v>12</v>
      </c>
      <c r="L26" s="80">
        <v>11</v>
      </c>
      <c r="M26" s="80">
        <v>9</v>
      </c>
      <c r="N26" s="80">
        <v>6</v>
      </c>
      <c r="O26" s="92">
        <f t="shared" si="0"/>
        <v>10.265753424657534</v>
      </c>
    </row>
    <row r="27" spans="2:15" x14ac:dyDescent="0.2">
      <c r="B27" s="80" t="s">
        <v>225</v>
      </c>
      <c r="C27" s="80">
        <v>8</v>
      </c>
      <c r="D27" s="80">
        <v>9</v>
      </c>
      <c r="E27" s="80">
        <v>11</v>
      </c>
      <c r="F27" s="80">
        <v>13</v>
      </c>
      <c r="G27" s="80">
        <v>14</v>
      </c>
      <c r="H27" s="80">
        <v>15</v>
      </c>
      <c r="I27" s="80">
        <v>16</v>
      </c>
      <c r="J27" s="80">
        <v>15</v>
      </c>
      <c r="K27" s="80">
        <v>14</v>
      </c>
      <c r="L27" s="80">
        <v>13</v>
      </c>
      <c r="M27" s="80">
        <v>11</v>
      </c>
      <c r="N27" s="80">
        <v>8</v>
      </c>
      <c r="O27" s="92">
        <f t="shared" si="0"/>
        <v>12.265753424657534</v>
      </c>
    </row>
    <row r="28" spans="2:15" x14ac:dyDescent="0.2">
      <c r="B28" s="80" t="s">
        <v>226</v>
      </c>
      <c r="C28" s="80">
        <v>8</v>
      </c>
      <c r="D28" s="80">
        <v>9</v>
      </c>
      <c r="E28" s="80">
        <v>11</v>
      </c>
      <c r="F28" s="80">
        <v>13</v>
      </c>
      <c r="G28" s="80">
        <v>14</v>
      </c>
      <c r="H28" s="80">
        <v>15</v>
      </c>
      <c r="I28" s="80">
        <v>16</v>
      </c>
      <c r="J28" s="80">
        <v>15</v>
      </c>
      <c r="K28" s="80">
        <v>14</v>
      </c>
      <c r="L28" s="80">
        <v>13</v>
      </c>
      <c r="M28" s="80">
        <v>11</v>
      </c>
      <c r="N28" s="80">
        <v>8</v>
      </c>
      <c r="O28" s="92">
        <f t="shared" si="0"/>
        <v>12.265753424657534</v>
      </c>
    </row>
    <row r="29" spans="2:15" x14ac:dyDescent="0.2">
      <c r="B29" s="80" t="s">
        <v>227</v>
      </c>
      <c r="C29" s="80">
        <v>5</v>
      </c>
      <c r="D29" s="80">
        <v>6</v>
      </c>
      <c r="E29" s="80">
        <v>8</v>
      </c>
      <c r="F29" s="80">
        <v>10</v>
      </c>
      <c r="G29" s="80">
        <v>11</v>
      </c>
      <c r="H29" s="80">
        <v>12</v>
      </c>
      <c r="I29" s="80">
        <v>13</v>
      </c>
      <c r="J29" s="80">
        <v>12</v>
      </c>
      <c r="K29" s="80">
        <v>11</v>
      </c>
      <c r="L29" s="80">
        <v>10</v>
      </c>
      <c r="M29" s="80">
        <v>8</v>
      </c>
      <c r="N29" s="80">
        <v>5</v>
      </c>
      <c r="O29" s="92">
        <f t="shared" si="0"/>
        <v>9.2657534246575342</v>
      </c>
    </row>
    <row r="30" spans="2:15" x14ac:dyDescent="0.2">
      <c r="B30" s="80" t="s">
        <v>228</v>
      </c>
      <c r="C30" s="80">
        <v>8</v>
      </c>
      <c r="D30" s="80">
        <v>9</v>
      </c>
      <c r="E30" s="80">
        <v>11</v>
      </c>
      <c r="F30" s="80">
        <v>13</v>
      </c>
      <c r="G30" s="80">
        <v>14</v>
      </c>
      <c r="H30" s="80">
        <v>15</v>
      </c>
      <c r="I30" s="80">
        <v>16</v>
      </c>
      <c r="J30" s="80">
        <v>15</v>
      </c>
      <c r="K30" s="80">
        <v>14</v>
      </c>
      <c r="L30" s="80">
        <v>13</v>
      </c>
      <c r="M30" s="80">
        <v>11</v>
      </c>
      <c r="N30" s="80">
        <v>8</v>
      </c>
      <c r="O30" s="92">
        <f t="shared" si="0"/>
        <v>12.265753424657534</v>
      </c>
    </row>
    <row r="31" spans="2:15" x14ac:dyDescent="0.2">
      <c r="B31" s="80" t="s">
        <v>229</v>
      </c>
      <c r="C31" s="80">
        <v>4</v>
      </c>
      <c r="D31" s="80">
        <v>5</v>
      </c>
      <c r="E31" s="80">
        <v>7</v>
      </c>
      <c r="F31" s="80">
        <v>9</v>
      </c>
      <c r="G31" s="80">
        <v>10</v>
      </c>
      <c r="H31" s="80">
        <v>11</v>
      </c>
      <c r="I31" s="80">
        <v>12</v>
      </c>
      <c r="J31" s="80">
        <v>11</v>
      </c>
      <c r="K31" s="80">
        <v>10</v>
      </c>
      <c r="L31" s="80">
        <v>9</v>
      </c>
      <c r="M31" s="80">
        <v>7</v>
      </c>
      <c r="N31" s="80">
        <v>4</v>
      </c>
      <c r="O31" s="92">
        <f t="shared" si="0"/>
        <v>8.2657534246575342</v>
      </c>
    </row>
    <row r="32" spans="2:15" x14ac:dyDescent="0.2">
      <c r="B32" s="80" t="s">
        <v>230</v>
      </c>
      <c r="C32" s="80">
        <v>5</v>
      </c>
      <c r="D32" s="80">
        <v>6</v>
      </c>
      <c r="E32" s="80">
        <v>8</v>
      </c>
      <c r="F32" s="80">
        <v>10</v>
      </c>
      <c r="G32" s="80">
        <v>11</v>
      </c>
      <c r="H32" s="80">
        <v>12</v>
      </c>
      <c r="I32" s="80">
        <v>13</v>
      </c>
      <c r="J32" s="80">
        <v>12</v>
      </c>
      <c r="K32" s="80">
        <v>11</v>
      </c>
      <c r="L32" s="80">
        <v>10</v>
      </c>
      <c r="M32" s="80">
        <v>8</v>
      </c>
      <c r="N32" s="80">
        <v>5</v>
      </c>
      <c r="O32" s="92">
        <f t="shared" si="0"/>
        <v>9.2657534246575342</v>
      </c>
    </row>
    <row r="33" spans="2:15" x14ac:dyDescent="0.2">
      <c r="B33" s="80" t="s">
        <v>231</v>
      </c>
      <c r="C33" s="80">
        <v>6</v>
      </c>
      <c r="D33" s="80">
        <v>7</v>
      </c>
      <c r="E33" s="80">
        <v>9</v>
      </c>
      <c r="F33" s="80">
        <v>11</v>
      </c>
      <c r="G33" s="80">
        <v>12</v>
      </c>
      <c r="H33" s="80">
        <v>13</v>
      </c>
      <c r="I33" s="80">
        <v>14</v>
      </c>
      <c r="J33" s="80">
        <v>13</v>
      </c>
      <c r="K33" s="80">
        <v>12</v>
      </c>
      <c r="L33" s="80">
        <v>11</v>
      </c>
      <c r="M33" s="80">
        <v>9</v>
      </c>
      <c r="N33" s="80">
        <v>6</v>
      </c>
      <c r="O33" s="92">
        <f t="shared" si="0"/>
        <v>10.265753424657534</v>
      </c>
    </row>
    <row r="34" spans="2:15" x14ac:dyDescent="0.2">
      <c r="B34" s="80" t="s">
        <v>232</v>
      </c>
      <c r="C34" s="80">
        <v>6</v>
      </c>
      <c r="D34" s="80">
        <v>7</v>
      </c>
      <c r="E34" s="80">
        <v>9</v>
      </c>
      <c r="F34" s="80">
        <v>11</v>
      </c>
      <c r="G34" s="80">
        <v>12</v>
      </c>
      <c r="H34" s="80">
        <v>13</v>
      </c>
      <c r="I34" s="80">
        <v>14</v>
      </c>
      <c r="J34" s="80">
        <v>13</v>
      </c>
      <c r="K34" s="80">
        <v>12</v>
      </c>
      <c r="L34" s="80">
        <v>11</v>
      </c>
      <c r="M34" s="80">
        <v>9</v>
      </c>
      <c r="N34" s="80">
        <v>6</v>
      </c>
      <c r="O34" s="92">
        <f t="shared" si="0"/>
        <v>10.265753424657534</v>
      </c>
    </row>
    <row r="35" spans="2:15" x14ac:dyDescent="0.2">
      <c r="B35" s="80" t="s">
        <v>233</v>
      </c>
      <c r="C35" s="80">
        <v>8</v>
      </c>
      <c r="D35" s="80">
        <v>9</v>
      </c>
      <c r="E35" s="80">
        <v>11</v>
      </c>
      <c r="F35" s="80">
        <v>13</v>
      </c>
      <c r="G35" s="80">
        <v>14</v>
      </c>
      <c r="H35" s="80">
        <v>15</v>
      </c>
      <c r="I35" s="80">
        <v>16</v>
      </c>
      <c r="J35" s="80">
        <v>15</v>
      </c>
      <c r="K35" s="80">
        <v>14</v>
      </c>
      <c r="L35" s="80">
        <v>13</v>
      </c>
      <c r="M35" s="80">
        <v>11</v>
      </c>
      <c r="N35" s="80">
        <v>8</v>
      </c>
      <c r="O35" s="92">
        <f t="shared" si="0"/>
        <v>12.265753424657534</v>
      </c>
    </row>
    <row r="36" spans="2:15" x14ac:dyDescent="0.2">
      <c r="B36" s="80" t="s">
        <v>234</v>
      </c>
      <c r="C36" s="80">
        <v>8</v>
      </c>
      <c r="D36" s="80">
        <v>9</v>
      </c>
      <c r="E36" s="80">
        <v>11</v>
      </c>
      <c r="F36" s="80">
        <v>13</v>
      </c>
      <c r="G36" s="80">
        <v>14</v>
      </c>
      <c r="H36" s="80">
        <v>15</v>
      </c>
      <c r="I36" s="80">
        <v>16</v>
      </c>
      <c r="J36" s="80">
        <v>15</v>
      </c>
      <c r="K36" s="80">
        <v>14</v>
      </c>
      <c r="L36" s="80">
        <v>13</v>
      </c>
      <c r="M36" s="80">
        <v>11</v>
      </c>
      <c r="N36" s="80">
        <v>8</v>
      </c>
      <c r="O36" s="92">
        <f t="shared" si="0"/>
        <v>12.265753424657534</v>
      </c>
    </row>
    <row r="37" spans="2:15" x14ac:dyDescent="0.2">
      <c r="B37" s="80" t="s">
        <v>235</v>
      </c>
      <c r="C37" s="80">
        <v>8</v>
      </c>
      <c r="D37" s="80">
        <v>9</v>
      </c>
      <c r="E37" s="80">
        <v>11</v>
      </c>
      <c r="F37" s="80">
        <v>13</v>
      </c>
      <c r="G37" s="80">
        <v>14</v>
      </c>
      <c r="H37" s="80">
        <v>15</v>
      </c>
      <c r="I37" s="80">
        <v>16</v>
      </c>
      <c r="J37" s="80">
        <v>15</v>
      </c>
      <c r="K37" s="80">
        <v>14</v>
      </c>
      <c r="L37" s="80">
        <v>13</v>
      </c>
      <c r="M37" s="80">
        <v>11</v>
      </c>
      <c r="N37" s="80">
        <v>8</v>
      </c>
      <c r="O37" s="92">
        <f t="shared" si="0"/>
        <v>12.265753424657534</v>
      </c>
    </row>
    <row r="38" spans="2:15" x14ac:dyDescent="0.2">
      <c r="B38" s="80" t="s">
        <v>236</v>
      </c>
      <c r="C38" s="80">
        <v>5</v>
      </c>
      <c r="D38" s="80">
        <v>6</v>
      </c>
      <c r="E38" s="80">
        <v>8</v>
      </c>
      <c r="F38" s="80">
        <v>10</v>
      </c>
      <c r="G38" s="80">
        <v>11</v>
      </c>
      <c r="H38" s="80">
        <v>12</v>
      </c>
      <c r="I38" s="80">
        <v>13</v>
      </c>
      <c r="J38" s="80">
        <v>12</v>
      </c>
      <c r="K38" s="80">
        <v>11</v>
      </c>
      <c r="L38" s="80">
        <v>10</v>
      </c>
      <c r="M38" s="80">
        <v>8</v>
      </c>
      <c r="N38" s="80">
        <v>5</v>
      </c>
      <c r="O38" s="92">
        <f t="shared" si="0"/>
        <v>9.2657534246575342</v>
      </c>
    </row>
    <row r="39" spans="2:15" x14ac:dyDescent="0.2">
      <c r="B39" s="80" t="s">
        <v>237</v>
      </c>
      <c r="C39" s="80">
        <v>5</v>
      </c>
      <c r="D39" s="80">
        <v>7</v>
      </c>
      <c r="E39" s="80">
        <v>9</v>
      </c>
      <c r="F39" s="80">
        <v>11</v>
      </c>
      <c r="G39" s="80">
        <v>12</v>
      </c>
      <c r="H39" s="80">
        <v>13</v>
      </c>
      <c r="I39" s="80">
        <v>14</v>
      </c>
      <c r="J39" s="80">
        <v>13</v>
      </c>
      <c r="K39" s="80">
        <v>12</v>
      </c>
      <c r="L39" s="80">
        <v>11</v>
      </c>
      <c r="M39" s="80">
        <v>9</v>
      </c>
      <c r="N39" s="80">
        <v>6</v>
      </c>
      <c r="O39" s="92">
        <f t="shared" si="0"/>
        <v>10.180821917808219</v>
      </c>
    </row>
    <row r="40" spans="2:15" x14ac:dyDescent="0.2">
      <c r="B40" s="80" t="s">
        <v>238</v>
      </c>
      <c r="C40" s="80">
        <v>5</v>
      </c>
      <c r="D40" s="80">
        <v>6</v>
      </c>
      <c r="E40" s="80">
        <v>8</v>
      </c>
      <c r="F40" s="80">
        <v>10</v>
      </c>
      <c r="G40" s="80">
        <v>11</v>
      </c>
      <c r="H40" s="80">
        <v>12</v>
      </c>
      <c r="I40" s="80">
        <v>13</v>
      </c>
      <c r="J40" s="80">
        <v>12</v>
      </c>
      <c r="K40" s="80">
        <v>11</v>
      </c>
      <c r="L40" s="80">
        <v>10</v>
      </c>
      <c r="M40" s="80">
        <v>8</v>
      </c>
      <c r="N40" s="80">
        <v>5</v>
      </c>
      <c r="O40" s="92">
        <f t="shared" si="0"/>
        <v>9.2657534246575342</v>
      </c>
    </row>
    <row r="41" spans="2:15" x14ac:dyDescent="0.2">
      <c r="B41" s="80" t="s">
        <v>239</v>
      </c>
      <c r="C41" s="80">
        <v>8</v>
      </c>
      <c r="D41" s="80">
        <v>9</v>
      </c>
      <c r="E41" s="80">
        <v>11</v>
      </c>
      <c r="F41" s="80">
        <v>13</v>
      </c>
      <c r="G41" s="80">
        <v>14</v>
      </c>
      <c r="H41" s="80">
        <v>15</v>
      </c>
      <c r="I41" s="80">
        <v>16</v>
      </c>
      <c r="J41" s="80">
        <v>15</v>
      </c>
      <c r="K41" s="80">
        <v>14</v>
      </c>
      <c r="L41" s="80">
        <v>13</v>
      </c>
      <c r="M41" s="80">
        <v>11</v>
      </c>
      <c r="N41" s="80">
        <v>8</v>
      </c>
      <c r="O41" s="92">
        <f t="shared" si="0"/>
        <v>12.265753424657534</v>
      </c>
    </row>
    <row r="42" spans="2:15" x14ac:dyDescent="0.2">
      <c r="B42" s="80" t="s">
        <v>240</v>
      </c>
      <c r="C42" s="80">
        <v>8</v>
      </c>
      <c r="D42" s="80">
        <v>9</v>
      </c>
      <c r="E42" s="80">
        <v>11</v>
      </c>
      <c r="F42" s="80">
        <v>13</v>
      </c>
      <c r="G42" s="80">
        <v>14</v>
      </c>
      <c r="H42" s="80">
        <v>15</v>
      </c>
      <c r="I42" s="80">
        <v>16</v>
      </c>
      <c r="J42" s="80">
        <v>15</v>
      </c>
      <c r="K42" s="80">
        <v>14</v>
      </c>
      <c r="L42" s="80">
        <v>13</v>
      </c>
      <c r="M42" s="80">
        <v>11</v>
      </c>
      <c r="N42" s="80">
        <v>8</v>
      </c>
      <c r="O42" s="92">
        <f t="shared" si="0"/>
        <v>12.265753424657534</v>
      </c>
    </row>
    <row r="43" spans="2:15" x14ac:dyDescent="0.2">
      <c r="B43" s="80" t="s">
        <v>241</v>
      </c>
      <c r="C43" s="80">
        <v>6</v>
      </c>
      <c r="D43" s="80">
        <v>7</v>
      </c>
      <c r="E43" s="80">
        <v>9</v>
      </c>
      <c r="F43" s="80">
        <v>11</v>
      </c>
      <c r="G43" s="80">
        <v>12</v>
      </c>
      <c r="H43" s="80">
        <v>13</v>
      </c>
      <c r="I43" s="80">
        <v>14</v>
      </c>
      <c r="J43" s="80">
        <v>13</v>
      </c>
      <c r="K43" s="80">
        <v>12</v>
      </c>
      <c r="L43" s="80">
        <v>11</v>
      </c>
      <c r="M43" s="80">
        <v>9</v>
      </c>
      <c r="N43" s="80">
        <v>6</v>
      </c>
      <c r="O43" s="92">
        <f t="shared" si="0"/>
        <v>10.265753424657534</v>
      </c>
    </row>
    <row r="44" spans="2:15" x14ac:dyDescent="0.2">
      <c r="B44" s="80" t="s">
        <v>242</v>
      </c>
      <c r="C44" s="80">
        <v>5</v>
      </c>
      <c r="D44" s="80">
        <v>6</v>
      </c>
      <c r="E44" s="80">
        <v>8</v>
      </c>
      <c r="F44" s="80">
        <v>10</v>
      </c>
      <c r="G44" s="80">
        <v>11</v>
      </c>
      <c r="H44" s="80">
        <v>12</v>
      </c>
      <c r="I44" s="80">
        <v>13</v>
      </c>
      <c r="J44" s="80">
        <v>12</v>
      </c>
      <c r="K44" s="80">
        <v>11</v>
      </c>
      <c r="L44" s="80">
        <v>10</v>
      </c>
      <c r="M44" s="80">
        <v>8</v>
      </c>
      <c r="N44" s="80">
        <v>5</v>
      </c>
      <c r="O44" s="92">
        <f t="shared" si="0"/>
        <v>9.2657534246575342</v>
      </c>
    </row>
    <row r="45" spans="2:15" x14ac:dyDescent="0.2">
      <c r="B45" s="80" t="s">
        <v>243</v>
      </c>
      <c r="C45" s="80">
        <v>8</v>
      </c>
      <c r="D45" s="80">
        <v>9</v>
      </c>
      <c r="E45" s="80">
        <v>11</v>
      </c>
      <c r="F45" s="80">
        <v>13</v>
      </c>
      <c r="G45" s="80">
        <v>14</v>
      </c>
      <c r="H45" s="80">
        <v>15</v>
      </c>
      <c r="I45" s="80">
        <v>16</v>
      </c>
      <c r="J45" s="80">
        <v>15</v>
      </c>
      <c r="K45" s="80">
        <v>14</v>
      </c>
      <c r="L45" s="80">
        <v>13</v>
      </c>
      <c r="M45" s="80">
        <v>11</v>
      </c>
      <c r="N45" s="80">
        <v>8</v>
      </c>
      <c r="O45" s="92">
        <f t="shared" si="0"/>
        <v>12.265753424657534</v>
      </c>
    </row>
    <row r="46" spans="2:15" x14ac:dyDescent="0.2">
      <c r="B46" s="80" t="s">
        <v>244</v>
      </c>
      <c r="C46" s="80">
        <v>4</v>
      </c>
      <c r="D46" s="80">
        <v>5</v>
      </c>
      <c r="E46" s="80">
        <v>7</v>
      </c>
      <c r="F46" s="80">
        <v>9</v>
      </c>
      <c r="G46" s="80">
        <v>10</v>
      </c>
      <c r="H46" s="80">
        <v>11</v>
      </c>
      <c r="I46" s="80">
        <v>12</v>
      </c>
      <c r="J46" s="80">
        <v>11</v>
      </c>
      <c r="K46" s="80">
        <v>10</v>
      </c>
      <c r="L46" s="80">
        <v>9</v>
      </c>
      <c r="M46" s="80">
        <v>7</v>
      </c>
      <c r="N46" s="80">
        <v>4</v>
      </c>
      <c r="O46" s="92">
        <f t="shared" si="0"/>
        <v>8.2657534246575342</v>
      </c>
    </row>
    <row r="47" spans="2:15" x14ac:dyDescent="0.2">
      <c r="B47" s="80" t="s">
        <v>245</v>
      </c>
      <c r="C47" s="80">
        <v>8</v>
      </c>
      <c r="D47" s="80">
        <v>9</v>
      </c>
      <c r="E47" s="80">
        <v>11</v>
      </c>
      <c r="F47" s="80">
        <v>13</v>
      </c>
      <c r="G47" s="80">
        <v>14</v>
      </c>
      <c r="H47" s="80">
        <v>15</v>
      </c>
      <c r="I47" s="80">
        <v>16</v>
      </c>
      <c r="J47" s="80">
        <v>15</v>
      </c>
      <c r="K47" s="80">
        <v>14</v>
      </c>
      <c r="L47" s="80">
        <v>13</v>
      </c>
      <c r="M47" s="80">
        <v>11</v>
      </c>
      <c r="N47" s="80">
        <v>8</v>
      </c>
      <c r="O47" s="92">
        <f t="shared" si="0"/>
        <v>12.265753424657534</v>
      </c>
    </row>
    <row r="48" spans="2:15" x14ac:dyDescent="0.2">
      <c r="B48" s="80" t="s">
        <v>246</v>
      </c>
      <c r="C48" s="80">
        <v>4</v>
      </c>
      <c r="D48" s="80">
        <v>5</v>
      </c>
      <c r="E48" s="80">
        <v>7</v>
      </c>
      <c r="F48" s="80">
        <v>9</v>
      </c>
      <c r="G48" s="80">
        <v>10</v>
      </c>
      <c r="H48" s="80">
        <v>11</v>
      </c>
      <c r="I48" s="80">
        <v>12</v>
      </c>
      <c r="J48" s="80">
        <v>11</v>
      </c>
      <c r="K48" s="80">
        <v>10</v>
      </c>
      <c r="L48" s="80">
        <v>9</v>
      </c>
      <c r="M48" s="80">
        <v>7</v>
      </c>
      <c r="N48" s="80">
        <v>4</v>
      </c>
      <c r="O48" s="92">
        <f t="shared" si="0"/>
        <v>8.2657534246575342</v>
      </c>
    </row>
    <row r="49" spans="2:15" x14ac:dyDescent="0.2">
      <c r="B49" s="80" t="s">
        <v>247</v>
      </c>
      <c r="C49" s="80">
        <v>6</v>
      </c>
      <c r="D49" s="80">
        <v>7</v>
      </c>
      <c r="E49" s="80">
        <v>9</v>
      </c>
      <c r="F49" s="80">
        <v>11</v>
      </c>
      <c r="G49" s="80">
        <v>12</v>
      </c>
      <c r="H49" s="80">
        <v>13</v>
      </c>
      <c r="I49" s="80">
        <v>14</v>
      </c>
      <c r="J49" s="80">
        <v>13</v>
      </c>
      <c r="K49" s="80">
        <v>12</v>
      </c>
      <c r="L49" s="80">
        <v>11</v>
      </c>
      <c r="M49" s="80">
        <v>9</v>
      </c>
      <c r="N49" s="80">
        <v>6</v>
      </c>
      <c r="O49" s="92">
        <f t="shared" si="0"/>
        <v>10.265753424657534</v>
      </c>
    </row>
    <row r="50" spans="2:15" x14ac:dyDescent="0.2">
      <c r="B50" s="80" t="s">
        <v>248</v>
      </c>
      <c r="C50" s="80">
        <v>4</v>
      </c>
      <c r="D50" s="80">
        <v>5</v>
      </c>
      <c r="E50" s="80">
        <v>7</v>
      </c>
      <c r="F50" s="80">
        <v>9</v>
      </c>
      <c r="G50" s="80">
        <v>10</v>
      </c>
      <c r="H50" s="80">
        <v>11</v>
      </c>
      <c r="I50" s="80">
        <v>12</v>
      </c>
      <c r="J50" s="80">
        <v>11</v>
      </c>
      <c r="K50" s="80">
        <v>10</v>
      </c>
      <c r="L50" s="80">
        <v>9</v>
      </c>
      <c r="M50" s="80">
        <v>7</v>
      </c>
      <c r="N50" s="80">
        <v>4</v>
      </c>
      <c r="O50" s="92">
        <f t="shared" si="0"/>
        <v>8.2657534246575342</v>
      </c>
    </row>
    <row r="51" spans="2:15" x14ac:dyDescent="0.2">
      <c r="B51" s="80" t="s">
        <v>249</v>
      </c>
      <c r="C51" s="80">
        <v>6</v>
      </c>
      <c r="D51" s="80">
        <v>7</v>
      </c>
      <c r="E51" s="80">
        <v>9</v>
      </c>
      <c r="F51" s="80">
        <v>11</v>
      </c>
      <c r="G51" s="80">
        <v>12</v>
      </c>
      <c r="H51" s="80">
        <v>13</v>
      </c>
      <c r="I51" s="80">
        <v>14</v>
      </c>
      <c r="J51" s="80">
        <v>13</v>
      </c>
      <c r="K51" s="80">
        <v>12</v>
      </c>
      <c r="L51" s="80">
        <v>11</v>
      </c>
      <c r="M51" s="80">
        <v>9</v>
      </c>
      <c r="N51" s="80">
        <v>6</v>
      </c>
      <c r="O51" s="92">
        <f t="shared" si="0"/>
        <v>10.265753424657534</v>
      </c>
    </row>
    <row r="52" spans="2:15" x14ac:dyDescent="0.2">
      <c r="B52" s="80" t="s">
        <v>250</v>
      </c>
      <c r="C52" s="80">
        <v>8</v>
      </c>
      <c r="D52" s="80">
        <v>9</v>
      </c>
      <c r="E52" s="80">
        <v>11</v>
      </c>
      <c r="F52" s="80">
        <v>13</v>
      </c>
      <c r="G52" s="80">
        <v>14</v>
      </c>
      <c r="H52" s="80">
        <v>15</v>
      </c>
      <c r="I52" s="80">
        <v>16</v>
      </c>
      <c r="J52" s="80">
        <v>15</v>
      </c>
      <c r="K52" s="80">
        <v>14</v>
      </c>
      <c r="L52" s="80">
        <v>13</v>
      </c>
      <c r="M52" s="80">
        <v>11</v>
      </c>
      <c r="N52" s="80">
        <v>8</v>
      </c>
      <c r="O52" s="92">
        <f t="shared" si="0"/>
        <v>12.265753424657534</v>
      </c>
    </row>
    <row r="53" spans="2:15" x14ac:dyDescent="0.2">
      <c r="B53" s="80" t="s">
        <v>251</v>
      </c>
      <c r="C53" s="80">
        <v>5</v>
      </c>
      <c r="D53" s="80">
        <v>6</v>
      </c>
      <c r="E53" s="80">
        <v>8</v>
      </c>
      <c r="F53" s="80">
        <v>10</v>
      </c>
      <c r="G53" s="80">
        <v>11</v>
      </c>
      <c r="H53" s="80">
        <v>12</v>
      </c>
      <c r="I53" s="80">
        <v>13</v>
      </c>
      <c r="J53" s="80">
        <v>12</v>
      </c>
      <c r="K53" s="80">
        <v>11</v>
      </c>
      <c r="L53" s="80">
        <v>10</v>
      </c>
      <c r="M53" s="80">
        <v>8</v>
      </c>
      <c r="N53" s="80">
        <v>5</v>
      </c>
      <c r="O53" s="92">
        <f t="shared" si="0"/>
        <v>9.2657534246575342</v>
      </c>
    </row>
    <row r="54" spans="2:15" x14ac:dyDescent="0.2">
      <c r="B54" s="80" t="s">
        <v>252</v>
      </c>
      <c r="C54" s="80">
        <v>6</v>
      </c>
      <c r="D54" s="80">
        <v>7</v>
      </c>
      <c r="E54" s="80">
        <v>9</v>
      </c>
      <c r="F54" s="80">
        <v>11</v>
      </c>
      <c r="G54" s="80">
        <v>12</v>
      </c>
      <c r="H54" s="80">
        <v>13</v>
      </c>
      <c r="I54" s="80">
        <v>14</v>
      </c>
      <c r="J54" s="80">
        <v>13</v>
      </c>
      <c r="K54" s="80">
        <v>12</v>
      </c>
      <c r="L54" s="80">
        <v>11</v>
      </c>
      <c r="M54" s="80">
        <v>9</v>
      </c>
      <c r="N54" s="80">
        <v>6</v>
      </c>
      <c r="O54" s="92">
        <f t="shared" si="0"/>
        <v>10.265753424657534</v>
      </c>
    </row>
    <row r="55" spans="2:15" x14ac:dyDescent="0.2">
      <c r="B55" s="80" t="s">
        <v>253</v>
      </c>
      <c r="C55" s="80">
        <v>5</v>
      </c>
      <c r="D55" s="80">
        <v>6</v>
      </c>
      <c r="E55" s="80">
        <v>8</v>
      </c>
      <c r="F55" s="80">
        <v>10</v>
      </c>
      <c r="G55" s="80">
        <v>11</v>
      </c>
      <c r="H55" s="80">
        <v>12</v>
      </c>
      <c r="I55" s="80">
        <v>13</v>
      </c>
      <c r="J55" s="80">
        <v>12</v>
      </c>
      <c r="K55" s="80">
        <v>11</v>
      </c>
      <c r="L55" s="80">
        <v>10</v>
      </c>
      <c r="M55" s="80">
        <v>8</v>
      </c>
      <c r="N55" s="80">
        <v>5</v>
      </c>
      <c r="O55" s="92">
        <f t="shared" si="0"/>
        <v>9.2657534246575342</v>
      </c>
    </row>
    <row r="56" spans="2:15" x14ac:dyDescent="0.2">
      <c r="B56" s="81" t="s">
        <v>254</v>
      </c>
      <c r="C56" s="81">
        <v>5</v>
      </c>
      <c r="D56" s="81">
        <v>6</v>
      </c>
      <c r="E56" s="81">
        <v>8</v>
      </c>
      <c r="F56" s="81">
        <v>10</v>
      </c>
      <c r="G56" s="81">
        <v>11</v>
      </c>
      <c r="H56" s="81">
        <v>12</v>
      </c>
      <c r="I56" s="81">
        <v>13</v>
      </c>
      <c r="J56" s="81">
        <v>12</v>
      </c>
      <c r="K56" s="81">
        <v>11</v>
      </c>
      <c r="L56" s="81">
        <v>10</v>
      </c>
      <c r="M56" s="81">
        <v>8</v>
      </c>
      <c r="N56" s="81">
        <v>5</v>
      </c>
      <c r="O56" s="93">
        <f t="shared" si="0"/>
        <v>9.2657534246575342</v>
      </c>
    </row>
  </sheetData>
  <phoneticPr fontId="56" type="noConversion"/>
  <pageMargins left="0.75" right="0.75" top="1" bottom="1" header="0" footer="0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ED52F-A16D-4984-964C-01B3E0CC9397}">
  <sheetPr codeName="Hoja9"/>
  <dimension ref="A1:Y86"/>
  <sheetViews>
    <sheetView showGridLines="0" topLeftCell="E3" zoomScale="75" workbookViewId="0">
      <selection activeCell="G21" sqref="G21"/>
    </sheetView>
  </sheetViews>
  <sheetFormatPr baseColWidth="10" defaultRowHeight="12.75" x14ac:dyDescent="0.2"/>
  <cols>
    <col min="1" max="1" width="3.5703125" customWidth="1"/>
    <col min="2" max="2" width="14.28515625" customWidth="1"/>
    <col min="3" max="3" width="26.140625" customWidth="1"/>
    <col min="4" max="4" width="12.42578125" customWidth="1"/>
    <col min="6" max="6" width="15.85546875" customWidth="1"/>
    <col min="7" max="7" width="15" customWidth="1"/>
    <col min="8" max="8" width="15.28515625" customWidth="1"/>
    <col min="9" max="9" width="15.42578125" customWidth="1"/>
    <col min="10" max="10" width="13.7109375" customWidth="1"/>
    <col min="11" max="11" width="15" customWidth="1"/>
    <col min="12" max="12" width="17" customWidth="1"/>
    <col min="13" max="13" width="18.140625" customWidth="1"/>
    <col min="14" max="14" width="13.5703125" customWidth="1"/>
    <col min="15" max="15" width="17.140625" customWidth="1"/>
    <col min="16" max="16" width="12" customWidth="1"/>
    <col min="18" max="18" width="17.28515625" customWidth="1"/>
    <col min="20" max="20" width="16.140625" customWidth="1"/>
  </cols>
  <sheetData>
    <row r="1" spans="1:13" ht="15.75" x14ac:dyDescent="0.25">
      <c r="A1" s="25" t="s">
        <v>55</v>
      </c>
      <c r="D1" s="7" t="s">
        <v>52</v>
      </c>
      <c r="K1" s="119" t="s">
        <v>320</v>
      </c>
      <c r="L1" s="120" t="s">
        <v>321</v>
      </c>
    </row>
    <row r="2" spans="1:13" ht="15.75" x14ac:dyDescent="0.25">
      <c r="A2" s="25"/>
      <c r="B2" s="5" t="s">
        <v>322</v>
      </c>
      <c r="C2" s="5" t="str">
        <f>Datos!G5</f>
        <v>SALAMANCA</v>
      </c>
      <c r="D2" s="33" t="s">
        <v>54</v>
      </c>
      <c r="I2" s="121" t="s">
        <v>323</v>
      </c>
      <c r="J2" s="122"/>
      <c r="K2" s="35">
        <v>50</v>
      </c>
      <c r="L2" s="123">
        <v>180</v>
      </c>
    </row>
    <row r="3" spans="1:13" x14ac:dyDescent="0.2">
      <c r="I3" s="124" t="s">
        <v>324</v>
      </c>
      <c r="J3" s="125"/>
      <c r="K3" s="35">
        <v>0.8</v>
      </c>
      <c r="L3" s="123">
        <v>1.2</v>
      </c>
    </row>
    <row r="4" spans="1:13" x14ac:dyDescent="0.2">
      <c r="B4" s="5" t="s">
        <v>325</v>
      </c>
      <c r="I4" s="126" t="s">
        <v>326</v>
      </c>
      <c r="J4" s="127"/>
      <c r="K4" s="40">
        <v>60</v>
      </c>
      <c r="L4" s="128">
        <v>100</v>
      </c>
    </row>
    <row r="5" spans="1:13" x14ac:dyDescent="0.2">
      <c r="B5" s="5"/>
      <c r="I5" s="54"/>
      <c r="J5" s="15"/>
      <c r="K5" s="35"/>
      <c r="L5" s="35"/>
    </row>
    <row r="6" spans="1:13" x14ac:dyDescent="0.2">
      <c r="B6" s="5"/>
      <c r="I6" s="174" t="s">
        <v>704</v>
      </c>
      <c r="J6" s="270">
        <f>Datos!AA51</f>
        <v>1</v>
      </c>
      <c r="K6" s="271"/>
      <c r="L6" s="270"/>
      <c r="M6" s="156"/>
    </row>
    <row r="7" spans="1:13" x14ac:dyDescent="0.2">
      <c r="B7" s="5"/>
      <c r="I7" s="802" t="s">
        <v>516</v>
      </c>
      <c r="J7" s="802"/>
      <c r="K7" s="802"/>
      <c r="L7" s="802"/>
    </row>
    <row r="8" spans="1:13" x14ac:dyDescent="0.2">
      <c r="B8" s="5"/>
      <c r="I8" s="172" t="s">
        <v>514</v>
      </c>
      <c r="J8" s="15"/>
      <c r="K8" s="172" t="s">
        <v>517</v>
      </c>
      <c r="L8" s="198" t="s">
        <v>515</v>
      </c>
    </row>
    <row r="9" spans="1:13" x14ac:dyDescent="0.2">
      <c r="B9" s="5"/>
      <c r="G9">
        <f>IF(OR(J6=1,J6=4),IF(I9&lt;500,IF(((I9-FLOOR(I9,50))/FLOOR(I9,50))&gt;0.04,CEILING(I9,50),FLOOR(I9,50)),IF(((I9-FLOOR(I9,500))/FLOOR(I9,500))&gt;0.04,CEILING(I9,500),FLOOR(I9,500))),Datos!F73)</f>
        <v>1500</v>
      </c>
      <c r="I9" s="27">
        <f>G15*G17</f>
        <v>1556.3051440962238</v>
      </c>
      <c r="J9" s="19" t="s">
        <v>18</v>
      </c>
      <c r="K9">
        <f>G15*K18</f>
        <v>1747.5</v>
      </c>
      <c r="L9" s="35"/>
    </row>
    <row r="10" spans="1:13" x14ac:dyDescent="0.2">
      <c r="B10" s="5"/>
      <c r="I10" s="803"/>
      <c r="J10" s="803"/>
      <c r="K10" s="803"/>
      <c r="L10" s="803"/>
    </row>
    <row r="11" spans="1:13" x14ac:dyDescent="0.2">
      <c r="I11" s="195"/>
      <c r="K11" s="18"/>
    </row>
    <row r="12" spans="1:13" x14ac:dyDescent="0.2">
      <c r="I12" s="18"/>
      <c r="K12" s="18"/>
    </row>
    <row r="13" spans="1:13" x14ac:dyDescent="0.2">
      <c r="F13" t="s">
        <v>679</v>
      </c>
      <c r="G13">
        <v>45</v>
      </c>
      <c r="H13" t="s">
        <v>12</v>
      </c>
      <c r="I13" s="217"/>
      <c r="J13" t="s">
        <v>519</v>
      </c>
      <c r="K13" s="272"/>
      <c r="L13" s="274"/>
    </row>
    <row r="14" spans="1:13" x14ac:dyDescent="0.2">
      <c r="B14" s="20" t="s">
        <v>28</v>
      </c>
      <c r="C14" s="163" t="str">
        <f>Principal!G40</f>
        <v>FABRICANTE</v>
      </c>
      <c r="D14" s="16"/>
      <c r="F14" t="s">
        <v>17</v>
      </c>
      <c r="G14" s="32">
        <f>(G15/75)^-0.25</f>
        <v>1</v>
      </c>
      <c r="J14" s="6" t="s">
        <v>520</v>
      </c>
      <c r="K14" s="176"/>
      <c r="L14" s="176"/>
      <c r="M14" s="5"/>
    </row>
    <row r="15" spans="1:13" x14ac:dyDescent="0.2">
      <c r="B15" s="74" t="s">
        <v>14</v>
      </c>
      <c r="C15" s="164">
        <f>Principal!G42</f>
        <v>0.82</v>
      </c>
      <c r="D15" s="75"/>
      <c r="F15" t="s">
        <v>41</v>
      </c>
      <c r="G15" s="26">
        <f>Principal!G48</f>
        <v>75</v>
      </c>
      <c r="H15" t="s">
        <v>21</v>
      </c>
      <c r="I15" s="19"/>
      <c r="J15" s="273" t="s">
        <v>518</v>
      </c>
      <c r="K15" s="173">
        <f>IF(J6=1,IF(I9&lt;500,IF(((I9-FLOOR(I9,50))/FLOOR(I9,50))&gt;0.04,CEILING(I9,50),FLOOR(I9,50)),IF(((I9-FLOOR(I9,500))/FLOOR(I9,500))&gt;0.04,CEILING(I9,500),FLOOR(I9,500))),IF(OR(J6=4,J6=5), IF(Datos!E52=0,"0",IF(I9&lt;150,150,IF((I9-FLOOR(I9,50))/FLOOR(I9,50)&gt;0.02,CEILING(I9,50),FLOOR(I9,50)))), Datos!F73))</f>
        <v>1500</v>
      </c>
      <c r="L15" s="251">
        <f>Principal!G65</f>
        <v>2000</v>
      </c>
      <c r="M15" s="5"/>
    </row>
    <row r="16" spans="1:13" x14ac:dyDescent="0.2">
      <c r="B16" s="74" t="s">
        <v>13</v>
      </c>
      <c r="C16" s="164">
        <f>Principal!G43</f>
        <v>4.75</v>
      </c>
      <c r="D16" s="76" t="s">
        <v>327</v>
      </c>
      <c r="F16" t="s">
        <v>35</v>
      </c>
      <c r="G16" s="19">
        <f>Principal!H15</f>
        <v>60</v>
      </c>
      <c r="H16" t="s">
        <v>12</v>
      </c>
      <c r="K16" s="5" t="s">
        <v>328</v>
      </c>
      <c r="L16" s="5"/>
      <c r="M16" s="5" t="s">
        <v>329</v>
      </c>
    </row>
    <row r="17" spans="2:25" x14ac:dyDescent="0.2">
      <c r="B17" s="38" t="s">
        <v>15</v>
      </c>
      <c r="C17" s="165">
        <v>0.95</v>
      </c>
      <c r="D17" s="39"/>
      <c r="F17" s="1" t="s">
        <v>40</v>
      </c>
      <c r="G17" s="57">
        <v>20.750735254616316</v>
      </c>
      <c r="H17" s="16" t="s">
        <v>16</v>
      </c>
      <c r="I17" s="15">
        <f>G17/C19</f>
        <v>8.9058949590627972</v>
      </c>
      <c r="J17" t="s">
        <v>330</v>
      </c>
      <c r="K17" s="129">
        <f>IF(I17&lt;=1,1,IF(((I17-INT(I17))/INT(I17))&lt;0.01,EVEN(INT(I17)),EVEN(I17)))</f>
        <v>10</v>
      </c>
      <c r="L17" s="130" t="s">
        <v>330</v>
      </c>
      <c r="M17" s="131">
        <f>Principal!G63</f>
        <v>12</v>
      </c>
      <c r="N17" s="132" t="s">
        <v>330</v>
      </c>
    </row>
    <row r="18" spans="2:25" x14ac:dyDescent="0.2">
      <c r="B18" s="38" t="s">
        <v>22</v>
      </c>
      <c r="C18" s="165">
        <v>0.96</v>
      </c>
      <c r="D18" s="39"/>
      <c r="F18" s="4"/>
      <c r="G18" s="58"/>
      <c r="H18" s="59"/>
      <c r="K18" s="133">
        <f>K17*C19</f>
        <v>23.3</v>
      </c>
      <c r="L18" s="134" t="s">
        <v>16</v>
      </c>
      <c r="M18" s="135">
        <f>M17*C19</f>
        <v>27.96</v>
      </c>
      <c r="N18" s="136" t="s">
        <v>16</v>
      </c>
    </row>
    <row r="19" spans="2:25" x14ac:dyDescent="0.2">
      <c r="B19" s="74" t="s">
        <v>36</v>
      </c>
      <c r="C19" s="164">
        <f>Principal!G41</f>
        <v>2.33</v>
      </c>
      <c r="D19" s="76" t="s">
        <v>27</v>
      </c>
      <c r="F19" s="1" t="s">
        <v>20</v>
      </c>
      <c r="G19" s="55">
        <f>Q40/G40</f>
        <v>0.63369255322866203</v>
      </c>
      <c r="H19" s="16"/>
      <c r="I19" s="5"/>
      <c r="J19" s="137" t="s">
        <v>331</v>
      </c>
      <c r="K19" s="138">
        <f>Q55/G55</f>
        <v>0.67768233272436562</v>
      </c>
      <c r="L19" s="139"/>
      <c r="M19" s="140" t="s">
        <v>332</v>
      </c>
      <c r="N19" s="141">
        <f>Q70/G70</f>
        <v>0.75339393313157499</v>
      </c>
      <c r="O19" s="142"/>
    </row>
    <row r="20" spans="2:25" x14ac:dyDescent="0.2">
      <c r="B20" s="74" t="s">
        <v>29</v>
      </c>
      <c r="C20" s="164">
        <f>Principal!G44</f>
        <v>2.38</v>
      </c>
      <c r="D20" s="76" t="s">
        <v>30</v>
      </c>
      <c r="F20" s="4" t="s">
        <v>53</v>
      </c>
      <c r="G20" s="56">
        <f>R40</f>
        <v>697.97330221904019</v>
      </c>
      <c r="H20" s="17" t="s">
        <v>26</v>
      </c>
      <c r="J20" s="143" t="s">
        <v>333</v>
      </c>
      <c r="K20" s="144">
        <f>R55</f>
        <v>664.75856184051463</v>
      </c>
      <c r="L20" s="134" t="s">
        <v>26</v>
      </c>
      <c r="M20" s="145" t="s">
        <v>334</v>
      </c>
      <c r="N20" s="146">
        <f>R70</f>
        <v>615.85525068770858</v>
      </c>
      <c r="O20" s="147" t="s">
        <v>26</v>
      </c>
    </row>
    <row r="21" spans="2:25" x14ac:dyDescent="0.2">
      <c r="B21" s="29" t="s">
        <v>335</v>
      </c>
      <c r="C21" s="166" t="s">
        <v>33</v>
      </c>
      <c r="D21" s="28"/>
      <c r="F21" t="s">
        <v>34</v>
      </c>
      <c r="G21" s="148">
        <f>Principal!G49</f>
        <v>0.6</v>
      </c>
      <c r="H21" s="19"/>
      <c r="K21" s="42"/>
      <c r="L21" s="19"/>
    </row>
    <row r="22" spans="2:25" x14ac:dyDescent="0.2">
      <c r="B22" s="30" t="s">
        <v>31</v>
      </c>
      <c r="C22" s="19">
        <f>Datos!G8</f>
        <v>60</v>
      </c>
      <c r="D22" s="31" t="s">
        <v>32</v>
      </c>
      <c r="G22" s="18"/>
      <c r="H22" s="19"/>
      <c r="J22" s="5" t="s">
        <v>336</v>
      </c>
      <c r="K22" s="18"/>
      <c r="L22" s="19"/>
    </row>
    <row r="23" spans="2:25" x14ac:dyDescent="0.2">
      <c r="B23" s="149" t="s">
        <v>265</v>
      </c>
      <c r="C23" s="167">
        <f>Datos!G7</f>
        <v>40.968975</v>
      </c>
      <c r="D23" s="150" t="s">
        <v>32</v>
      </c>
      <c r="E23" s="151" t="s">
        <v>337</v>
      </c>
      <c r="F23" s="152">
        <f>67-C23</f>
        <v>26.031025</v>
      </c>
      <c r="G23" s="153" t="s">
        <v>32</v>
      </c>
      <c r="H23" s="19"/>
      <c r="J23" t="s">
        <v>338</v>
      </c>
      <c r="K23" s="32">
        <f>C20*SIN(C22*PI()/180)</f>
        <v>2.0611404610069637</v>
      </c>
      <c r="L23" s="19" t="s">
        <v>30</v>
      </c>
      <c r="M23" s="6" t="s">
        <v>339</v>
      </c>
      <c r="N23">
        <f>Principal!G70</f>
        <v>1</v>
      </c>
      <c r="O23" t="s">
        <v>30</v>
      </c>
    </row>
    <row r="24" spans="2:25" x14ac:dyDescent="0.2">
      <c r="G24" s="18"/>
      <c r="H24" s="19"/>
      <c r="J24" s="36" t="s">
        <v>340</v>
      </c>
      <c r="K24" s="154">
        <f>K23/TAN(F23*PI()/180)</f>
        <v>4.2201628297878377</v>
      </c>
      <c r="L24" s="37" t="s">
        <v>30</v>
      </c>
      <c r="M24" s="155" t="s">
        <v>340</v>
      </c>
      <c r="N24" s="259">
        <f>N23/TAN(F23*PI()/180)</f>
        <v>2.0474891981529928</v>
      </c>
      <c r="O24" s="156" t="s">
        <v>30</v>
      </c>
    </row>
    <row r="25" spans="2:25" x14ac:dyDescent="0.2">
      <c r="B25" s="5" t="s">
        <v>43</v>
      </c>
      <c r="G25" s="18"/>
      <c r="H25" s="19"/>
      <c r="J25" s="7"/>
      <c r="P25" s="46"/>
    </row>
    <row r="26" spans="2:25" x14ac:dyDescent="0.2">
      <c r="B26" s="20" t="s">
        <v>42</v>
      </c>
      <c r="C26" s="21"/>
      <c r="D26" s="21"/>
      <c r="E26" s="47" t="s">
        <v>51</v>
      </c>
      <c r="F26" s="21"/>
      <c r="G26" s="21"/>
      <c r="H26" s="21"/>
      <c r="I26" s="21"/>
      <c r="J26" s="43" t="s">
        <v>343</v>
      </c>
      <c r="K26" s="21"/>
      <c r="L26" s="21"/>
      <c r="M26" s="21"/>
      <c r="N26" s="21"/>
      <c r="O26" s="21"/>
      <c r="P26" s="21"/>
      <c r="Q26" s="21"/>
      <c r="R26" s="16"/>
    </row>
    <row r="27" spans="2:25" x14ac:dyDescent="0.2">
      <c r="B27" s="2"/>
      <c r="C27" s="44" t="s">
        <v>23</v>
      </c>
      <c r="D27" s="44" t="s">
        <v>47</v>
      </c>
      <c r="E27" s="44" t="s">
        <v>24</v>
      </c>
      <c r="F27" s="44" t="s">
        <v>25</v>
      </c>
      <c r="G27" s="44" t="s">
        <v>37</v>
      </c>
      <c r="H27" s="44" t="s">
        <v>17</v>
      </c>
      <c r="I27" s="44" t="s">
        <v>19</v>
      </c>
      <c r="J27" s="48" t="s">
        <v>44</v>
      </c>
      <c r="K27" s="48" t="s">
        <v>46</v>
      </c>
      <c r="L27" s="48" t="s">
        <v>45</v>
      </c>
      <c r="M27" s="44" t="s">
        <v>38</v>
      </c>
      <c r="N27" s="44" t="s">
        <v>48</v>
      </c>
      <c r="O27" s="44" t="s">
        <v>39</v>
      </c>
      <c r="P27" s="44" t="s">
        <v>20</v>
      </c>
      <c r="Q27" s="48" t="s">
        <v>49</v>
      </c>
      <c r="R27" s="49" t="s">
        <v>50</v>
      </c>
      <c r="T27" s="7"/>
      <c r="U27" s="7"/>
      <c r="X27" s="3"/>
    </row>
    <row r="28" spans="2:25" x14ac:dyDescent="0.2">
      <c r="B28" s="2" t="s">
        <v>0</v>
      </c>
      <c r="C28" s="35">
        <v>31</v>
      </c>
      <c r="D28" s="12">
        <f>C28*24</f>
        <v>744</v>
      </c>
      <c r="E28" s="45">
        <f>Datos!F16</f>
        <v>4</v>
      </c>
      <c r="F28" s="35">
        <f>Datos!E16</f>
        <v>5</v>
      </c>
      <c r="G28" s="12">
        <f>Principal!$H$17*C28*($G$16-F28)*0.00116</f>
        <v>2104.3791999999999</v>
      </c>
      <c r="H28" s="10">
        <f>$G$14</f>
        <v>1</v>
      </c>
      <c r="I28" s="10">
        <f>(11.6+1.18*$G$13+3.86*F28-2.32*E28)/(100-E28)</f>
        <v>0.77833333333333321</v>
      </c>
      <c r="J28" s="168">
        <f>Datos!I16</f>
        <v>2.3557183333333329</v>
      </c>
      <c r="K28" s="12">
        <f t="shared" ref="K28:K39" si="0">J28*C28</f>
        <v>73.027268333333325</v>
      </c>
      <c r="L28" s="11">
        <f>$G$17*$C$15*$C$17*$C$18*K28</f>
        <v>1133.2539355196648</v>
      </c>
      <c r="M28" s="10">
        <f t="shared" ref="M28:M39" si="1">L28/G28</f>
        <v>0.53852173387746127</v>
      </c>
      <c r="N28" s="11">
        <f>$G$17*$C$16*$C$17*(100-E28)*D28*H28*I28/1000</f>
        <v>5205.4766561025608</v>
      </c>
      <c r="O28" s="46">
        <f t="shared" ref="O28:O39" si="2">N28/G28</f>
        <v>2.4736400436302359</v>
      </c>
      <c r="P28" s="46">
        <f>1.029*M28-0.065*O28-0.245*M28^2+0.0018*O28^2+0.0215*M28^3</f>
        <v>0.33667263478508891</v>
      </c>
      <c r="Q28" s="11">
        <f>IF(P28&gt;1,1*G28,P28*G28)</f>
        <v>708.48688985093747</v>
      </c>
      <c r="R28" s="50">
        <f>Q28/$G$17</f>
        <v>34.14273668656265</v>
      </c>
      <c r="T28" s="3"/>
      <c r="U28" s="3"/>
      <c r="V28" s="3"/>
      <c r="W28" s="3"/>
      <c r="X28" s="3"/>
    </row>
    <row r="29" spans="2:25" x14ac:dyDescent="0.2">
      <c r="B29" s="2" t="s">
        <v>1</v>
      </c>
      <c r="C29" s="35">
        <v>28</v>
      </c>
      <c r="D29" s="12">
        <f t="shared" ref="D29:D39" si="3">C29*24</f>
        <v>672</v>
      </c>
      <c r="E29" s="45">
        <f>Datos!F17</f>
        <v>5</v>
      </c>
      <c r="F29" s="35">
        <f>Datos!E17</f>
        <v>6</v>
      </c>
      <c r="G29" s="12">
        <f>Principal!$H$17*C29*($G$16-F29)*0.00116</f>
        <v>1866.1708799999999</v>
      </c>
      <c r="H29" s="10">
        <f t="shared" ref="H29:H39" si="4">$G$14</f>
        <v>1</v>
      </c>
      <c r="I29" s="10">
        <f t="shared" ref="I29:I39" si="5">(11.6+1.18*$G$13+3.86*F29-2.32*E29)/(100-E29)</f>
        <v>0.80273684210526308</v>
      </c>
      <c r="J29" s="168">
        <f>Datos!I17</f>
        <v>3.2784500000000003</v>
      </c>
      <c r="K29" s="12">
        <f t="shared" si="0"/>
        <v>91.796600000000012</v>
      </c>
      <c r="L29" s="11">
        <f t="shared" ref="L29:L39" si="6">$G$17*$C$15*$C$17*$C$18*K29</f>
        <v>1424.5207385066665</v>
      </c>
      <c r="M29" s="10">
        <f t="shared" si="1"/>
        <v>0.76333885271356638</v>
      </c>
      <c r="N29" s="11">
        <f t="shared" ref="N29:N39" si="7">$G$17*$C$16*$C$17*(100-E29)*D29*H29*I29/1000</f>
        <v>4798.6246262358727</v>
      </c>
      <c r="O29" s="46">
        <f t="shared" si="2"/>
        <v>2.5713747211808777</v>
      </c>
      <c r="P29" s="46">
        <f t="shared" ref="P29:P39" si="8">1.029*M29-0.065*O29-0.245*M29^2+0.0018*O29^2+0.0215*M29^3</f>
        <v>0.49704266579017387</v>
      </c>
      <c r="Q29" s="11">
        <f t="shared" ref="Q29:Q39" si="9">IF(P29&gt;1,1*G29,P29*G29)</f>
        <v>927.5665490151946</v>
      </c>
      <c r="R29" s="50">
        <f t="shared" ref="R29:R39" si="10">Q29/$G$17</f>
        <v>44.700418449454382</v>
      </c>
      <c r="T29" s="8"/>
      <c r="U29" s="8"/>
      <c r="V29" s="41"/>
      <c r="W29" s="34"/>
      <c r="X29" s="11"/>
      <c r="Y29" s="11"/>
    </row>
    <row r="30" spans="2:25" x14ac:dyDescent="0.2">
      <c r="B30" s="2" t="s">
        <v>2</v>
      </c>
      <c r="C30" s="35">
        <v>31</v>
      </c>
      <c r="D30" s="12">
        <f t="shared" si="3"/>
        <v>744</v>
      </c>
      <c r="E30" s="45">
        <f>Datos!F18</f>
        <v>8</v>
      </c>
      <c r="F30" s="35">
        <f>Datos!E18</f>
        <v>8</v>
      </c>
      <c r="G30" s="12">
        <f>Principal!$H$17*C30*($G$16-F30)*0.00116</f>
        <v>1989.5948800000001</v>
      </c>
      <c r="H30" s="10">
        <f t="shared" si="4"/>
        <v>1</v>
      </c>
      <c r="I30" s="10">
        <f t="shared" si="5"/>
        <v>0.8371739130434781</v>
      </c>
      <c r="J30" s="168">
        <f>Datos!I18</f>
        <v>3.9933000000000005</v>
      </c>
      <c r="K30" s="12">
        <f t="shared" si="0"/>
        <v>123.79230000000001</v>
      </c>
      <c r="L30" s="11">
        <f t="shared" si="6"/>
        <v>1921.0373654082916</v>
      </c>
      <c r="M30" s="10">
        <f t="shared" si="1"/>
        <v>0.96554197274989551</v>
      </c>
      <c r="N30" s="11">
        <f t="shared" si="7"/>
        <v>5365.7094760843047</v>
      </c>
      <c r="O30" s="46">
        <f t="shared" si="2"/>
        <v>2.6968854463901235</v>
      </c>
      <c r="P30" s="46">
        <f t="shared" si="8"/>
        <v>0.62228357319597905</v>
      </c>
      <c r="Q30" s="11">
        <f t="shared" si="9"/>
        <v>1238.0922111388252</v>
      </c>
      <c r="R30" s="50">
        <f t="shared" si="10"/>
        <v>59.664980346341835</v>
      </c>
      <c r="T30" s="8"/>
      <c r="U30" s="8"/>
      <c r="V30" s="41"/>
      <c r="W30" s="34"/>
      <c r="X30" s="11"/>
      <c r="Y30" s="11"/>
    </row>
    <row r="31" spans="2:25" x14ac:dyDescent="0.2">
      <c r="B31" s="2" t="s">
        <v>3</v>
      </c>
      <c r="C31" s="35">
        <v>30</v>
      </c>
      <c r="D31" s="12">
        <f t="shared" si="3"/>
        <v>720</v>
      </c>
      <c r="E31" s="45">
        <f>Datos!F19</f>
        <v>10</v>
      </c>
      <c r="F31" s="35">
        <f>Datos!E19</f>
        <v>10</v>
      </c>
      <c r="G31" s="12">
        <f>Principal!$H$17*C31*($G$16-F31)*0.00116</f>
        <v>1851.36</v>
      </c>
      <c r="H31" s="10">
        <f t="shared" si="4"/>
        <v>1</v>
      </c>
      <c r="I31" s="10">
        <f t="shared" si="5"/>
        <v>0.88999999999999979</v>
      </c>
      <c r="J31" s="168">
        <f>Datos!I19</f>
        <v>4.2619850000000001</v>
      </c>
      <c r="K31" s="12">
        <f t="shared" si="0"/>
        <v>127.85955</v>
      </c>
      <c r="L31" s="11">
        <f t="shared" si="6"/>
        <v>1984.1538857771422</v>
      </c>
      <c r="M31" s="10">
        <f t="shared" si="1"/>
        <v>1.0717277492098469</v>
      </c>
      <c r="N31" s="11">
        <f t="shared" si="7"/>
        <v>5400.2730212640963</v>
      </c>
      <c r="O31" s="46">
        <f t="shared" si="2"/>
        <v>2.9169221660099045</v>
      </c>
      <c r="P31" s="46">
        <f t="shared" si="8"/>
        <v>0.67358222382572486</v>
      </c>
      <c r="Q31" s="11">
        <f t="shared" si="9"/>
        <v>1247.0431859019939</v>
      </c>
      <c r="R31" s="50">
        <f t="shared" si="10"/>
        <v>60.096337339399582</v>
      </c>
      <c r="T31" s="8"/>
      <c r="U31" s="8"/>
      <c r="V31" s="41"/>
      <c r="W31" s="34"/>
      <c r="X31" s="11"/>
      <c r="Y31" s="11"/>
    </row>
    <row r="32" spans="2:25" x14ac:dyDescent="0.2">
      <c r="B32" s="2" t="s">
        <v>4</v>
      </c>
      <c r="C32" s="35">
        <v>31</v>
      </c>
      <c r="D32" s="12">
        <f t="shared" si="3"/>
        <v>744</v>
      </c>
      <c r="E32" s="45">
        <f>Datos!F20</f>
        <v>14</v>
      </c>
      <c r="F32" s="35">
        <f>Datos!E20</f>
        <v>11</v>
      </c>
      <c r="G32" s="12">
        <f>Principal!$H$17*C32*($G$16-F32)*0.00116</f>
        <v>1874.8105600000001</v>
      </c>
      <c r="H32" s="10">
        <f t="shared" si="4"/>
        <v>1</v>
      </c>
      <c r="I32" s="10">
        <f t="shared" si="5"/>
        <v>0.86837209302325591</v>
      </c>
      <c r="J32" s="168">
        <f>Datos!I20</f>
        <v>4.2085766666666666</v>
      </c>
      <c r="K32" s="12">
        <f t="shared" si="0"/>
        <v>130.46587666666667</v>
      </c>
      <c r="L32" s="11">
        <f t="shared" si="6"/>
        <v>2024.5994620619897</v>
      </c>
      <c r="M32" s="10">
        <f t="shared" si="1"/>
        <v>1.0798954866469226</v>
      </c>
      <c r="N32" s="11">
        <f t="shared" si="7"/>
        <v>5202.6899983637486</v>
      </c>
      <c r="O32" s="46">
        <f t="shared" si="2"/>
        <v>2.7750483752149062</v>
      </c>
      <c r="P32" s="46">
        <f t="shared" si="8"/>
        <v>0.6860591713623122</v>
      </c>
      <c r="Q32" s="11">
        <f t="shared" si="9"/>
        <v>1286.2309792549127</v>
      </c>
      <c r="R32" s="50">
        <f t="shared" si="10"/>
        <v>61.984838776677613</v>
      </c>
      <c r="T32" s="8"/>
      <c r="U32" s="8"/>
      <c r="V32" s="41"/>
      <c r="W32" s="34"/>
      <c r="X32" s="11"/>
      <c r="Y32" s="11"/>
    </row>
    <row r="33" spans="2:25" x14ac:dyDescent="0.2">
      <c r="B33" s="2" t="s">
        <v>5</v>
      </c>
      <c r="C33" s="35">
        <v>30</v>
      </c>
      <c r="D33" s="12">
        <f t="shared" si="3"/>
        <v>720</v>
      </c>
      <c r="E33" s="45">
        <f>Datos!F21</f>
        <v>18</v>
      </c>
      <c r="F33" s="35">
        <f>Datos!E21</f>
        <v>12</v>
      </c>
      <c r="G33" s="12">
        <f>Principal!$H$17*C33*($G$16-F33)*0.00116</f>
        <v>1777.3055999999999</v>
      </c>
      <c r="H33" s="10">
        <f t="shared" si="4"/>
        <v>1</v>
      </c>
      <c r="I33" s="10">
        <f t="shared" si="5"/>
        <v>0.84463414634146328</v>
      </c>
      <c r="J33" s="168">
        <f>Datos!I21</f>
        <v>4.558606666666666</v>
      </c>
      <c r="K33" s="12">
        <f t="shared" si="0"/>
        <v>136.75819999999999</v>
      </c>
      <c r="L33" s="11">
        <f t="shared" si="6"/>
        <v>2122.2451818568697</v>
      </c>
      <c r="M33" s="10">
        <f t="shared" si="1"/>
        <v>1.1940800624590784</v>
      </c>
      <c r="N33" s="11">
        <f t="shared" si="7"/>
        <v>4669.4495562141237</v>
      </c>
      <c r="O33" s="46">
        <f t="shared" si="2"/>
        <v>2.6272631764701151</v>
      </c>
      <c r="P33" s="46">
        <f t="shared" si="8"/>
        <v>0.75763800039901741</v>
      </c>
      <c r="Q33" s="11">
        <f t="shared" si="9"/>
        <v>1346.5542608819758</v>
      </c>
      <c r="R33" s="50">
        <f t="shared" si="10"/>
        <v>64.891881871145472</v>
      </c>
      <c r="T33" s="8"/>
      <c r="U33" s="8"/>
      <c r="V33" s="41"/>
      <c r="W33" s="34"/>
      <c r="X33" s="11"/>
      <c r="Y33" s="11"/>
    </row>
    <row r="34" spans="2:25" x14ac:dyDescent="0.2">
      <c r="B34" s="2" t="s">
        <v>6</v>
      </c>
      <c r="C34" s="35">
        <v>31</v>
      </c>
      <c r="D34" s="12">
        <f t="shared" si="3"/>
        <v>744</v>
      </c>
      <c r="E34" s="45">
        <f>Datos!F22</f>
        <v>21</v>
      </c>
      <c r="F34" s="35">
        <f>Datos!E22</f>
        <v>13</v>
      </c>
      <c r="G34" s="12">
        <f>Principal!$H$17*C34*($G$16-F34)*0.00116</f>
        <v>1798.2876799999999</v>
      </c>
      <c r="H34" s="10">
        <f t="shared" si="4"/>
        <v>1</v>
      </c>
      <c r="I34" s="10">
        <f t="shared" si="5"/>
        <v>0.8374683544303797</v>
      </c>
      <c r="J34" s="168">
        <f>Datos!I22</f>
        <v>5.2553800000000006</v>
      </c>
      <c r="K34" s="12">
        <f t="shared" si="0"/>
        <v>162.91678000000002</v>
      </c>
      <c r="L34" s="11">
        <f t="shared" si="6"/>
        <v>2528.180038920048</v>
      </c>
      <c r="M34" s="10">
        <f t="shared" si="1"/>
        <v>1.4058818658647809</v>
      </c>
      <c r="N34" s="11">
        <f t="shared" si="7"/>
        <v>4609.1318999965933</v>
      </c>
      <c r="O34" s="46">
        <f t="shared" si="2"/>
        <v>2.5630670505380948</v>
      </c>
      <c r="P34" s="46">
        <f t="shared" si="8"/>
        <v>0.86737712237959042</v>
      </c>
      <c r="Q34" s="11">
        <f t="shared" si="9"/>
        <v>1559.7935930890696</v>
      </c>
      <c r="R34" s="50">
        <f t="shared" si="10"/>
        <v>75.168112066875793</v>
      </c>
      <c r="T34" s="8"/>
      <c r="U34" s="8"/>
      <c r="V34" s="41"/>
      <c r="W34" s="34"/>
      <c r="X34" s="11"/>
      <c r="Y34" s="11"/>
    </row>
    <row r="35" spans="2:25" x14ac:dyDescent="0.2">
      <c r="B35" s="2" t="s">
        <v>7</v>
      </c>
      <c r="C35" s="35">
        <v>31</v>
      </c>
      <c r="D35" s="12">
        <f t="shared" si="3"/>
        <v>744</v>
      </c>
      <c r="E35" s="45">
        <f>Datos!F23</f>
        <v>21</v>
      </c>
      <c r="F35" s="35">
        <f>Datos!E23</f>
        <v>12</v>
      </c>
      <c r="G35" s="12">
        <f>Principal!$H$17*C35*($G$16-F35)*0.00116</f>
        <v>1836.5491199999999</v>
      </c>
      <c r="H35" s="10">
        <f t="shared" si="4"/>
        <v>1</v>
      </c>
      <c r="I35" s="10">
        <f t="shared" si="5"/>
        <v>0.78860759493670862</v>
      </c>
      <c r="J35" s="168">
        <f>Datos!I23</f>
        <v>5.6946977777777779</v>
      </c>
      <c r="K35" s="12">
        <f t="shared" si="0"/>
        <v>176.53563111111112</v>
      </c>
      <c r="L35" s="11">
        <f t="shared" si="6"/>
        <v>2739.5205007934978</v>
      </c>
      <c r="M35" s="10">
        <f t="shared" si="1"/>
        <v>1.491667427219969</v>
      </c>
      <c r="N35" s="11">
        <f t="shared" si="7"/>
        <v>4340.2194282011442</v>
      </c>
      <c r="O35" s="46">
        <f t="shared" si="2"/>
        <v>2.3632471252395058</v>
      </c>
      <c r="P35" s="46">
        <f t="shared" si="8"/>
        <v>0.91758497669381867</v>
      </c>
      <c r="Q35" s="11">
        <f t="shared" si="9"/>
        <v>1685.1898814722531</v>
      </c>
      <c r="R35" s="50">
        <f t="shared" si="10"/>
        <v>81.211092561038626</v>
      </c>
      <c r="T35" s="8"/>
      <c r="U35" s="8"/>
      <c r="V35" s="41"/>
      <c r="W35" s="34"/>
      <c r="X35" s="11"/>
      <c r="Y35" s="11"/>
    </row>
    <row r="36" spans="2:25" x14ac:dyDescent="0.2">
      <c r="B36" s="2" t="s">
        <v>8</v>
      </c>
      <c r="C36" s="35">
        <v>30</v>
      </c>
      <c r="D36" s="12">
        <f t="shared" si="3"/>
        <v>720</v>
      </c>
      <c r="E36" s="45">
        <f>Datos!F24</f>
        <v>18</v>
      </c>
      <c r="F36" s="35">
        <f>Datos!E24</f>
        <v>11</v>
      </c>
      <c r="G36" s="12">
        <f>Principal!$H$17*C36*($G$16-F36)*0.00116</f>
        <v>1814.3327999999999</v>
      </c>
      <c r="H36" s="10">
        <f t="shared" si="4"/>
        <v>1</v>
      </c>
      <c r="I36" s="10">
        <f t="shared" si="5"/>
        <v>0.79756097560975614</v>
      </c>
      <c r="J36" s="168">
        <f>Datos!I24</f>
        <v>5.464083333333333</v>
      </c>
      <c r="K36" s="12">
        <f t="shared" si="0"/>
        <v>163.92249999999999</v>
      </c>
      <c r="L36" s="11">
        <f t="shared" si="6"/>
        <v>2543.787033047618</v>
      </c>
      <c r="M36" s="10">
        <f t="shared" si="1"/>
        <v>1.4020509539636929</v>
      </c>
      <c r="N36" s="11">
        <f t="shared" si="7"/>
        <v>4409.2116802830451</v>
      </c>
      <c r="O36" s="46">
        <f t="shared" si="2"/>
        <v>2.4302110838116611</v>
      </c>
      <c r="P36" s="46">
        <f t="shared" si="8"/>
        <v>0.87302505445678702</v>
      </c>
      <c r="Q36" s="11">
        <f t="shared" si="9"/>
        <v>1583.9579915227348</v>
      </c>
      <c r="R36" s="50">
        <f t="shared" si="10"/>
        <v>76.332620125851165</v>
      </c>
      <c r="T36" s="8"/>
      <c r="U36" s="8"/>
      <c r="V36" s="41"/>
      <c r="W36" s="34"/>
      <c r="X36" s="11"/>
      <c r="Y36" s="11"/>
    </row>
    <row r="37" spans="2:25" x14ac:dyDescent="0.2">
      <c r="B37" s="2" t="s">
        <v>9</v>
      </c>
      <c r="C37" s="35">
        <v>31</v>
      </c>
      <c r="D37" s="12">
        <f t="shared" si="3"/>
        <v>744</v>
      </c>
      <c r="E37" s="45">
        <f>Datos!F25</f>
        <v>12</v>
      </c>
      <c r="F37" s="35">
        <f>Datos!E25</f>
        <v>10</v>
      </c>
      <c r="G37" s="12">
        <f>Principal!$H$17*C37*($G$16-F37)*0.00116</f>
        <v>1913.0720000000001</v>
      </c>
      <c r="H37" s="10">
        <f t="shared" si="4"/>
        <v>1</v>
      </c>
      <c r="I37" s="10">
        <f t="shared" si="5"/>
        <v>0.85749999999999982</v>
      </c>
      <c r="J37" s="168">
        <f>Datos!I25</f>
        <v>4.3019727777777774</v>
      </c>
      <c r="K37" s="12">
        <f t="shared" si="0"/>
        <v>133.36115611111109</v>
      </c>
      <c r="L37" s="11">
        <f t="shared" si="6"/>
        <v>2069.5290739690008</v>
      </c>
      <c r="M37" s="10">
        <f t="shared" si="1"/>
        <v>1.0817831602621337</v>
      </c>
      <c r="N37" s="11">
        <f t="shared" si="7"/>
        <v>5257.0298242705994</v>
      </c>
      <c r="O37" s="46">
        <f t="shared" si="2"/>
        <v>2.7479518932223144</v>
      </c>
      <c r="P37" s="46">
        <f t="shared" si="8"/>
        <v>0.68863598447259433</v>
      </c>
      <c r="Q37" s="11">
        <f t="shared" si="9"/>
        <v>1317.410220086955</v>
      </c>
      <c r="R37" s="50">
        <f t="shared" si="10"/>
        <v>63.487399551005161</v>
      </c>
      <c r="T37" s="8"/>
      <c r="U37" s="8"/>
      <c r="V37" s="41"/>
      <c r="W37" s="34"/>
      <c r="X37" s="11"/>
      <c r="Y37" s="11"/>
    </row>
    <row r="38" spans="2:25" x14ac:dyDescent="0.2">
      <c r="B38" s="2" t="s">
        <v>10</v>
      </c>
      <c r="C38" s="35">
        <v>30</v>
      </c>
      <c r="D38" s="12">
        <f t="shared" si="3"/>
        <v>720</v>
      </c>
      <c r="E38" s="45">
        <f>Datos!F26</f>
        <v>7</v>
      </c>
      <c r="F38" s="35">
        <f>Datos!E26</f>
        <v>8</v>
      </c>
      <c r="G38" s="12">
        <f>Principal!$H$17*C38*($G$16-F38)*0.00116</f>
        <v>1925.4144000000001</v>
      </c>
      <c r="H38" s="10">
        <f t="shared" si="4"/>
        <v>1</v>
      </c>
      <c r="I38" s="10">
        <f t="shared" si="5"/>
        <v>0.85311827956989239</v>
      </c>
      <c r="J38" s="168">
        <f>Datos!I26</f>
        <v>3.1617733333333335</v>
      </c>
      <c r="K38" s="12">
        <f t="shared" si="0"/>
        <v>94.853200000000001</v>
      </c>
      <c r="L38" s="11">
        <f t="shared" si="6"/>
        <v>1471.9537598747722</v>
      </c>
      <c r="M38" s="10">
        <f t="shared" si="1"/>
        <v>0.76448673068757156</v>
      </c>
      <c r="N38" s="11">
        <f t="shared" si="7"/>
        <v>5349.0344757439889</v>
      </c>
      <c r="O38" s="46">
        <f t="shared" si="2"/>
        <v>2.7781211544610804</v>
      </c>
      <c r="P38" s="46">
        <f t="shared" si="8"/>
        <v>0.486389629963635</v>
      </c>
      <c r="Q38" s="11">
        <f t="shared" si="9"/>
        <v>936.50159754265439</v>
      </c>
      <c r="R38" s="50">
        <f t="shared" si="10"/>
        <v>45.131007940276014</v>
      </c>
      <c r="T38" s="8"/>
      <c r="U38" s="8"/>
      <c r="V38" s="41"/>
      <c r="W38" s="34"/>
      <c r="X38" s="11"/>
      <c r="Y38" s="11"/>
    </row>
    <row r="39" spans="2:25" x14ac:dyDescent="0.2">
      <c r="B39" s="4" t="s">
        <v>11</v>
      </c>
      <c r="C39" s="40">
        <v>31</v>
      </c>
      <c r="D39" s="22">
        <f t="shared" si="3"/>
        <v>744</v>
      </c>
      <c r="E39" s="253">
        <f>Datos!F27</f>
        <v>4</v>
      </c>
      <c r="F39" s="40">
        <f>Datos!E27</f>
        <v>5</v>
      </c>
      <c r="G39" s="12">
        <f>Principal!$H$17*C39*($G$16-F39)*0.00116</f>
        <v>2104.3791999999999</v>
      </c>
      <c r="H39" s="23">
        <f t="shared" si="4"/>
        <v>1</v>
      </c>
      <c r="I39" s="23">
        <f t="shared" si="5"/>
        <v>0.77833333333333321</v>
      </c>
      <c r="J39" s="254">
        <f>Datos!I27</f>
        <v>2.193302222222222</v>
      </c>
      <c r="K39" s="22">
        <f t="shared" si="0"/>
        <v>67.992368888888876</v>
      </c>
      <c r="L39" s="24">
        <f t="shared" si="6"/>
        <v>1055.1212086549792</v>
      </c>
      <c r="M39" s="23">
        <f t="shared" si="1"/>
        <v>0.50139309904554241</v>
      </c>
      <c r="N39" s="24">
        <f t="shared" si="7"/>
        <v>5205.4766561025608</v>
      </c>
      <c r="O39" s="51">
        <f t="shared" si="2"/>
        <v>2.4736400436302359</v>
      </c>
      <c r="P39" s="51">
        <f t="shared" si="8"/>
        <v>0.30727914882455565</v>
      </c>
      <c r="Q39" s="24">
        <f t="shared" si="9"/>
        <v>646.63184938009931</v>
      </c>
      <c r="R39" s="52">
        <f t="shared" si="10"/>
        <v>31.161876504411872</v>
      </c>
      <c r="T39" s="8"/>
      <c r="U39" s="8"/>
      <c r="V39" s="41"/>
      <c r="W39" s="34"/>
      <c r="X39" s="11"/>
      <c r="Y39" s="11"/>
    </row>
    <row r="40" spans="2:25" x14ac:dyDescent="0.2">
      <c r="C40" s="8"/>
      <c r="D40" s="14"/>
      <c r="E40" s="9"/>
      <c r="F40" s="8"/>
      <c r="G40" s="265">
        <f>SUM(G28:G39)</f>
        <v>22855.656319999998</v>
      </c>
      <c r="H40" s="12"/>
      <c r="I40" s="10"/>
      <c r="M40" s="11"/>
      <c r="N40" s="13"/>
      <c r="O40" s="10"/>
      <c r="Q40" s="158">
        <f>SUM(Q28:Q39)</f>
        <v>14483.459209137605</v>
      </c>
      <c r="R40" s="159">
        <f>SUM(R28:R39)</f>
        <v>697.97330221904019</v>
      </c>
      <c r="T40" s="8"/>
      <c r="U40" s="8"/>
      <c r="V40" s="41"/>
      <c r="W40" s="34"/>
      <c r="X40" s="11"/>
      <c r="Y40" s="11"/>
    </row>
    <row r="41" spans="2:25" x14ac:dyDescent="0.2">
      <c r="B41" s="20" t="s">
        <v>341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16"/>
      <c r="S41" s="18"/>
    </row>
    <row r="42" spans="2:25" x14ac:dyDescent="0.2">
      <c r="B42" s="2"/>
      <c r="C42" s="44" t="s">
        <v>23</v>
      </c>
      <c r="D42" s="44" t="s">
        <v>47</v>
      </c>
      <c r="E42" s="44" t="s">
        <v>24</v>
      </c>
      <c r="F42" s="44" t="s">
        <v>25</v>
      </c>
      <c r="G42" s="44" t="s">
        <v>37</v>
      </c>
      <c r="H42" s="44" t="s">
        <v>17</v>
      </c>
      <c r="I42" s="44" t="s">
        <v>19</v>
      </c>
      <c r="J42" s="48" t="s">
        <v>44</v>
      </c>
      <c r="K42" s="48" t="s">
        <v>46</v>
      </c>
      <c r="L42" s="48" t="s">
        <v>45</v>
      </c>
      <c r="M42" s="44" t="s">
        <v>38</v>
      </c>
      <c r="N42" s="44" t="s">
        <v>48</v>
      </c>
      <c r="O42" s="44" t="s">
        <v>39</v>
      </c>
      <c r="P42" s="44" t="s">
        <v>20</v>
      </c>
      <c r="Q42" s="48" t="s">
        <v>49</v>
      </c>
      <c r="R42" s="49" t="s">
        <v>50</v>
      </c>
    </row>
    <row r="43" spans="2:25" x14ac:dyDescent="0.2">
      <c r="B43" s="2" t="s">
        <v>0</v>
      </c>
      <c r="C43" s="35">
        <v>31</v>
      </c>
      <c r="D43" s="12">
        <f>C43*24</f>
        <v>744</v>
      </c>
      <c r="E43" s="53">
        <f t="shared" ref="E43:G54" si="11">E28</f>
        <v>4</v>
      </c>
      <c r="F43" s="35">
        <f t="shared" si="11"/>
        <v>5</v>
      </c>
      <c r="G43" s="12">
        <f t="shared" si="11"/>
        <v>2104.3791999999999</v>
      </c>
      <c r="H43" s="10">
        <f>($K$15/(75*$K$18))^-0.25</f>
        <v>1.0389185036595243</v>
      </c>
      <c r="I43" s="10">
        <f>(11.6+1.18*$G$13+3.86*F43-2.32*E43)/(100-E43)</f>
        <v>0.77833333333333321</v>
      </c>
      <c r="J43" s="14">
        <f>J28</f>
        <v>2.3557183333333329</v>
      </c>
      <c r="K43" s="12">
        <f t="shared" ref="K43:K54" si="12">J43*C43</f>
        <v>73.027268333333325</v>
      </c>
      <c r="L43" s="11">
        <f>$K$18*$C$15*$C$17*$C$18*K43</f>
        <v>1272.4761977643197</v>
      </c>
      <c r="M43" s="10">
        <f t="shared" ref="M43:M54" si="13">L43/G43</f>
        <v>0.60468008701298692</v>
      </c>
      <c r="N43" s="11">
        <f>$K$18*$C$16*$C$17*(100-E43)*D43*H43*I43/1000</f>
        <v>6072.4565506909694</v>
      </c>
      <c r="O43" s="46">
        <f t="shared" ref="O43:O54" si="14">N43/G43</f>
        <v>2.8856284792640841</v>
      </c>
      <c r="P43" s="46">
        <f>1.029*M43-0.065*O43-0.245*M43^2+0.0018*O43^2+0.0215*M43^3</f>
        <v>0.36481050109023483</v>
      </c>
      <c r="Q43" s="11">
        <f>IF(P43&gt;1,1*G43,P43*G43)</f>
        <v>767.69963043586745</v>
      </c>
      <c r="R43" s="50">
        <f>Q43/$K$18</f>
        <v>32.948481992955685</v>
      </c>
      <c r="S43" s="11"/>
      <c r="T43" s="11"/>
      <c r="U43" s="160"/>
    </row>
    <row r="44" spans="2:25" x14ac:dyDescent="0.2">
      <c r="B44" s="2" t="s">
        <v>1</v>
      </c>
      <c r="C44" s="35">
        <v>28</v>
      </c>
      <c r="D44" s="12">
        <f t="shared" ref="D44:D54" si="15">C44*24</f>
        <v>672</v>
      </c>
      <c r="E44" s="53">
        <f t="shared" si="11"/>
        <v>5</v>
      </c>
      <c r="F44" s="35">
        <f t="shared" si="11"/>
        <v>6</v>
      </c>
      <c r="G44" s="12">
        <f t="shared" si="11"/>
        <v>1866.1708799999999</v>
      </c>
      <c r="H44" s="10">
        <f t="shared" ref="H44:H54" si="16">($K$15/(75*$K$18))^-0.25</f>
        <v>1.0389185036595243</v>
      </c>
      <c r="I44" s="10">
        <f t="shared" ref="I44:I54" si="17">(11.6+1.18*$G$13+3.86*F44-2.32*E44)/(100-E44)</f>
        <v>0.80273684210526308</v>
      </c>
      <c r="J44" s="14">
        <f t="shared" ref="J44:J54" si="18">J29</f>
        <v>3.2784500000000003</v>
      </c>
      <c r="K44" s="12">
        <f t="shared" si="12"/>
        <v>91.796600000000012</v>
      </c>
      <c r="L44" s="11">
        <f t="shared" ref="L44:L54" si="19">$K$18*$C$15*$C$17*$C$18*K44</f>
        <v>1599.5256457152</v>
      </c>
      <c r="M44" s="10">
        <f t="shared" si="13"/>
        <v>0.85711638888888897</v>
      </c>
      <c r="N44" s="11">
        <f t="shared" ref="N44:N54" si="20">$K$18*$C$16*$C$17*(100-E44)*D44*H44*I44/1000</f>
        <v>5597.8427089346096</v>
      </c>
      <c r="O44" s="46">
        <f t="shared" si="14"/>
        <v>2.9996410130108826</v>
      </c>
      <c r="P44" s="46">
        <f t="shared" ref="P44:P54" si="21">1.029*M44-0.065*O44-0.245*M44^2+0.0018*O44^2+0.0215*M44^3</f>
        <v>0.53674144235665033</v>
      </c>
      <c r="Q44" s="11">
        <f t="shared" ref="Q44:Q54" si="22">IF(P44&gt;1,1*G44,P44*G44)</f>
        <v>1001.6512498151794</v>
      </c>
      <c r="R44" s="50">
        <f t="shared" ref="R44:R54" si="23">Q44/$K$18</f>
        <v>42.989324026402549</v>
      </c>
      <c r="S44" s="11"/>
      <c r="T44" s="11"/>
      <c r="U44" s="160"/>
    </row>
    <row r="45" spans="2:25" x14ac:dyDescent="0.2">
      <c r="B45" s="2" t="s">
        <v>2</v>
      </c>
      <c r="C45" s="35">
        <v>31</v>
      </c>
      <c r="D45" s="12">
        <f t="shared" si="15"/>
        <v>744</v>
      </c>
      <c r="E45" s="53">
        <f t="shared" si="11"/>
        <v>8</v>
      </c>
      <c r="F45" s="35">
        <f t="shared" si="11"/>
        <v>8</v>
      </c>
      <c r="G45" s="12">
        <f t="shared" si="11"/>
        <v>1989.5948800000001</v>
      </c>
      <c r="H45" s="10">
        <f t="shared" si="16"/>
        <v>1.0389185036595243</v>
      </c>
      <c r="I45" s="10">
        <f t="shared" si="17"/>
        <v>0.8371739130434781</v>
      </c>
      <c r="J45" s="14">
        <f t="shared" si="18"/>
        <v>3.9933000000000005</v>
      </c>
      <c r="K45" s="12">
        <f t="shared" si="12"/>
        <v>123.79230000000001</v>
      </c>
      <c r="L45" s="11">
        <f t="shared" si="19"/>
        <v>2157.0402236256</v>
      </c>
      <c r="M45" s="10">
        <f t="shared" si="13"/>
        <v>1.0841605219780219</v>
      </c>
      <c r="N45" s="11">
        <f t="shared" si="20"/>
        <v>6259.3763856292626</v>
      </c>
      <c r="O45" s="46">
        <f t="shared" si="14"/>
        <v>3.1460557365473631</v>
      </c>
      <c r="P45" s="46">
        <f t="shared" si="21"/>
        <v>0.66834738820530459</v>
      </c>
      <c r="Q45" s="11">
        <f t="shared" si="22"/>
        <v>1329.7405416346464</v>
      </c>
      <c r="R45" s="50">
        <f t="shared" si="23"/>
        <v>57.070409512216585</v>
      </c>
      <c r="S45" s="11"/>
      <c r="T45" s="11"/>
      <c r="U45" s="160"/>
    </row>
    <row r="46" spans="2:25" x14ac:dyDescent="0.2">
      <c r="B46" s="2" t="s">
        <v>3</v>
      </c>
      <c r="C46" s="35">
        <v>30</v>
      </c>
      <c r="D46" s="12">
        <f t="shared" si="15"/>
        <v>720</v>
      </c>
      <c r="E46" s="53">
        <f t="shared" si="11"/>
        <v>10</v>
      </c>
      <c r="F46" s="35">
        <f t="shared" si="11"/>
        <v>10</v>
      </c>
      <c r="G46" s="12">
        <f t="shared" si="11"/>
        <v>1851.36</v>
      </c>
      <c r="H46" s="10">
        <f t="shared" si="16"/>
        <v>1.0389185036595243</v>
      </c>
      <c r="I46" s="10">
        <f t="shared" si="17"/>
        <v>0.88999999999999979</v>
      </c>
      <c r="J46" s="14">
        <f t="shared" si="18"/>
        <v>4.2619850000000001</v>
      </c>
      <c r="K46" s="12">
        <f t="shared" si="12"/>
        <v>127.85955</v>
      </c>
      <c r="L46" s="11">
        <f t="shared" si="19"/>
        <v>2227.9107208175997</v>
      </c>
      <c r="M46" s="10">
        <f t="shared" si="13"/>
        <v>1.2033914099999998</v>
      </c>
      <c r="N46" s="11">
        <f t="shared" si="20"/>
        <v>6299.6965407674234</v>
      </c>
      <c r="O46" s="46">
        <f t="shared" si="14"/>
        <v>3.4027398997317775</v>
      </c>
      <c r="P46" s="46">
        <f t="shared" si="21"/>
        <v>0.72062413553377369</v>
      </c>
      <c r="Q46" s="11">
        <f t="shared" si="22"/>
        <v>1334.1346995618071</v>
      </c>
      <c r="R46" s="50">
        <f t="shared" si="23"/>
        <v>57.258999981193433</v>
      </c>
      <c r="S46" s="11"/>
      <c r="T46" s="11"/>
      <c r="U46" s="160"/>
    </row>
    <row r="47" spans="2:25" x14ac:dyDescent="0.2">
      <c r="B47" s="2" t="s">
        <v>4</v>
      </c>
      <c r="C47" s="35">
        <v>31</v>
      </c>
      <c r="D47" s="12">
        <f t="shared" si="15"/>
        <v>744</v>
      </c>
      <c r="E47" s="53">
        <f t="shared" si="11"/>
        <v>14</v>
      </c>
      <c r="F47" s="35">
        <f t="shared" si="11"/>
        <v>11</v>
      </c>
      <c r="G47" s="12">
        <f t="shared" si="11"/>
        <v>1874.8105600000001</v>
      </c>
      <c r="H47" s="10">
        <f t="shared" si="16"/>
        <v>1.0389185036595243</v>
      </c>
      <c r="I47" s="10">
        <f t="shared" si="17"/>
        <v>0.86837209302325591</v>
      </c>
      <c r="J47" s="14">
        <f t="shared" si="18"/>
        <v>4.2085766666666666</v>
      </c>
      <c r="K47" s="12">
        <f t="shared" si="12"/>
        <v>130.46587666666667</v>
      </c>
      <c r="L47" s="11">
        <f t="shared" si="19"/>
        <v>2273.3251081091198</v>
      </c>
      <c r="M47" s="10">
        <f t="shared" si="13"/>
        <v>1.2125625685131194</v>
      </c>
      <c r="N47" s="11">
        <f t="shared" si="20"/>
        <v>6069.2057709529126</v>
      </c>
      <c r="O47" s="46">
        <f t="shared" si="14"/>
        <v>3.2372368176510125</v>
      </c>
      <c r="P47" s="46">
        <f t="shared" si="21"/>
        <v>0.73427556722259624</v>
      </c>
      <c r="Q47" s="11">
        <f t="shared" si="22"/>
        <v>1376.6275873789134</v>
      </c>
      <c r="R47" s="50">
        <f t="shared" si="23"/>
        <v>59.082729072056367</v>
      </c>
      <c r="S47" s="11"/>
      <c r="T47" s="11"/>
      <c r="U47" s="160"/>
    </row>
    <row r="48" spans="2:25" x14ac:dyDescent="0.2">
      <c r="B48" s="2" t="s">
        <v>5</v>
      </c>
      <c r="C48" s="35">
        <v>30</v>
      </c>
      <c r="D48" s="12">
        <f t="shared" si="15"/>
        <v>720</v>
      </c>
      <c r="E48" s="53">
        <f t="shared" si="11"/>
        <v>18</v>
      </c>
      <c r="F48" s="35">
        <f t="shared" si="11"/>
        <v>12</v>
      </c>
      <c r="G48" s="12">
        <f t="shared" si="11"/>
        <v>1777.3055999999999</v>
      </c>
      <c r="H48" s="10">
        <f t="shared" si="16"/>
        <v>1.0389185036595243</v>
      </c>
      <c r="I48" s="10">
        <f t="shared" si="17"/>
        <v>0.84463414634146328</v>
      </c>
      <c r="J48" s="14">
        <f t="shared" si="18"/>
        <v>4.558606666666666</v>
      </c>
      <c r="K48" s="12">
        <f t="shared" si="12"/>
        <v>136.75819999999999</v>
      </c>
      <c r="L48" s="11">
        <f t="shared" si="19"/>
        <v>2382.9667783103996</v>
      </c>
      <c r="M48" s="10">
        <f t="shared" si="13"/>
        <v>1.3407749226190475</v>
      </c>
      <c r="N48" s="11">
        <f t="shared" si="20"/>
        <v>5447.1533384962768</v>
      </c>
      <c r="O48" s="46">
        <f t="shared" si="14"/>
        <v>3.0648377738168815</v>
      </c>
      <c r="P48" s="46">
        <f t="shared" si="21"/>
        <v>0.80874083030985144</v>
      </c>
      <c r="Q48" s="11">
        <f t="shared" si="22"/>
        <v>1437.3796066583486</v>
      </c>
      <c r="R48" s="50">
        <f t="shared" si="23"/>
        <v>61.690111873748869</v>
      </c>
      <c r="S48" s="11"/>
      <c r="T48" s="11"/>
      <c r="U48" s="160"/>
    </row>
    <row r="49" spans="2:21" x14ac:dyDescent="0.2">
      <c r="B49" s="2" t="s">
        <v>6</v>
      </c>
      <c r="C49" s="35">
        <v>31</v>
      </c>
      <c r="D49" s="12">
        <f t="shared" si="15"/>
        <v>744</v>
      </c>
      <c r="E49" s="53">
        <f t="shared" si="11"/>
        <v>21</v>
      </c>
      <c r="F49" s="35">
        <f t="shared" si="11"/>
        <v>13</v>
      </c>
      <c r="G49" s="12">
        <f t="shared" si="11"/>
        <v>1798.2876799999999</v>
      </c>
      <c r="H49" s="10">
        <f t="shared" si="16"/>
        <v>1.0389185036595243</v>
      </c>
      <c r="I49" s="10">
        <f t="shared" si="17"/>
        <v>0.8374683544303797</v>
      </c>
      <c r="J49" s="14">
        <f t="shared" si="18"/>
        <v>5.2553800000000006</v>
      </c>
      <c r="K49" s="12">
        <f t="shared" si="12"/>
        <v>162.91678000000002</v>
      </c>
      <c r="L49" s="11">
        <f t="shared" si="19"/>
        <v>2838.77145479616</v>
      </c>
      <c r="M49" s="10">
        <f t="shared" si="13"/>
        <v>1.5785969544072949</v>
      </c>
      <c r="N49" s="11">
        <f t="shared" si="20"/>
        <v>5376.7896867467152</v>
      </c>
      <c r="O49" s="46">
        <f t="shared" si="14"/>
        <v>2.9899496874419533</v>
      </c>
      <c r="P49" s="46">
        <f t="shared" si="21"/>
        <v>0.92016592368746419</v>
      </c>
      <c r="Q49" s="11">
        <f t="shared" si="22"/>
        <v>1654.7230441229869</v>
      </c>
      <c r="R49" s="50">
        <f t="shared" si="23"/>
        <v>71.018156400128191</v>
      </c>
      <c r="S49" s="11"/>
      <c r="T49" s="11"/>
      <c r="U49" s="160"/>
    </row>
    <row r="50" spans="2:21" x14ac:dyDescent="0.2">
      <c r="B50" s="2" t="s">
        <v>7</v>
      </c>
      <c r="C50" s="35">
        <v>31</v>
      </c>
      <c r="D50" s="12">
        <f t="shared" si="15"/>
        <v>744</v>
      </c>
      <c r="E50" s="53">
        <f t="shared" si="11"/>
        <v>21</v>
      </c>
      <c r="F50" s="35">
        <f t="shared" si="11"/>
        <v>12</v>
      </c>
      <c r="G50" s="12">
        <f t="shared" si="11"/>
        <v>1836.5491199999999</v>
      </c>
      <c r="H50" s="10">
        <f t="shared" si="16"/>
        <v>1.0389185036595243</v>
      </c>
      <c r="I50" s="10">
        <f t="shared" si="17"/>
        <v>0.78860759493670862</v>
      </c>
      <c r="J50" s="14">
        <f t="shared" si="18"/>
        <v>5.6946977777777779</v>
      </c>
      <c r="K50" s="12">
        <f t="shared" si="12"/>
        <v>176.53563111111112</v>
      </c>
      <c r="L50" s="11">
        <f t="shared" si="19"/>
        <v>3076.0754684241065</v>
      </c>
      <c r="M50" s="10">
        <f t="shared" si="13"/>
        <v>1.6749214246031745</v>
      </c>
      <c r="N50" s="11">
        <f t="shared" si="20"/>
        <v>5063.0894420241884</v>
      </c>
      <c r="O50" s="46">
        <f t="shared" si="14"/>
        <v>2.7568494558012087</v>
      </c>
      <c r="P50" s="46">
        <f t="shared" si="21"/>
        <v>0.97168904134811251</v>
      </c>
      <c r="Q50" s="11">
        <f t="shared" si="22"/>
        <v>1784.5546538015196</v>
      </c>
      <c r="R50" s="50">
        <f t="shared" si="23"/>
        <v>76.590328489335604</v>
      </c>
      <c r="S50" s="11"/>
      <c r="T50" s="11"/>
      <c r="U50" s="160"/>
    </row>
    <row r="51" spans="2:21" x14ac:dyDescent="0.2">
      <c r="B51" s="2" t="s">
        <v>8</v>
      </c>
      <c r="C51" s="35">
        <v>30</v>
      </c>
      <c r="D51" s="12">
        <f t="shared" si="15"/>
        <v>720</v>
      </c>
      <c r="E51" s="53">
        <f t="shared" si="11"/>
        <v>18</v>
      </c>
      <c r="F51" s="35">
        <f t="shared" si="11"/>
        <v>11</v>
      </c>
      <c r="G51" s="12">
        <f t="shared" si="11"/>
        <v>1814.3327999999999</v>
      </c>
      <c r="H51" s="10">
        <f t="shared" si="16"/>
        <v>1.0389185036595243</v>
      </c>
      <c r="I51" s="10">
        <f t="shared" si="17"/>
        <v>0.79756097560975614</v>
      </c>
      <c r="J51" s="14">
        <f t="shared" si="18"/>
        <v>5.464083333333333</v>
      </c>
      <c r="K51" s="12">
        <f t="shared" si="12"/>
        <v>163.92249999999999</v>
      </c>
      <c r="L51" s="11">
        <f t="shared" si="19"/>
        <v>2856.2957959199994</v>
      </c>
      <c r="M51" s="10">
        <f t="shared" si="13"/>
        <v>1.574295408163265</v>
      </c>
      <c r="N51" s="11">
        <f t="shared" si="20"/>
        <v>5143.5724565067376</v>
      </c>
      <c r="O51" s="46">
        <f t="shared" si="14"/>
        <v>2.8349663614672775</v>
      </c>
      <c r="P51" s="46">
        <f t="shared" si="21"/>
        <v>0.92682182488562903</v>
      </c>
      <c r="Q51" s="11">
        <f t="shared" si="22"/>
        <v>1681.5632366458528</v>
      </c>
      <c r="R51" s="50">
        <f t="shared" si="23"/>
        <v>72.170095993384237</v>
      </c>
      <c r="S51" s="11"/>
      <c r="T51" s="11"/>
      <c r="U51" s="160"/>
    </row>
    <row r="52" spans="2:21" x14ac:dyDescent="0.2">
      <c r="B52" s="2" t="s">
        <v>9</v>
      </c>
      <c r="C52" s="35">
        <v>31</v>
      </c>
      <c r="D52" s="12">
        <f t="shared" si="15"/>
        <v>744</v>
      </c>
      <c r="E52" s="53">
        <f t="shared" si="11"/>
        <v>12</v>
      </c>
      <c r="F52" s="35">
        <f t="shared" si="11"/>
        <v>10</v>
      </c>
      <c r="G52" s="12">
        <f t="shared" si="11"/>
        <v>1913.0720000000001</v>
      </c>
      <c r="H52" s="10">
        <f t="shared" si="16"/>
        <v>1.0389185036595243</v>
      </c>
      <c r="I52" s="10">
        <f t="shared" si="17"/>
        <v>0.85749999999999982</v>
      </c>
      <c r="J52" s="14">
        <f t="shared" si="18"/>
        <v>4.3019727777777774</v>
      </c>
      <c r="K52" s="12">
        <f t="shared" si="12"/>
        <v>133.36115611111109</v>
      </c>
      <c r="L52" s="11">
        <f t="shared" si="19"/>
        <v>2323.7744027769058</v>
      </c>
      <c r="M52" s="10">
        <f t="shared" si="13"/>
        <v>1.2146821461904758</v>
      </c>
      <c r="N52" s="11">
        <f t="shared" si="20"/>
        <v>6132.595975845029</v>
      </c>
      <c r="O52" s="46">
        <f t="shared" si="14"/>
        <v>3.2056273762017469</v>
      </c>
      <c r="P52" s="46">
        <f t="shared" si="21"/>
        <v>0.73708554841300988</v>
      </c>
      <c r="Q52" s="11">
        <f t="shared" si="22"/>
        <v>1410.0977242735737</v>
      </c>
      <c r="R52" s="50">
        <f t="shared" si="23"/>
        <v>60.519215634058952</v>
      </c>
      <c r="S52" s="11"/>
      <c r="T52" s="11"/>
      <c r="U52" s="160"/>
    </row>
    <row r="53" spans="2:21" x14ac:dyDescent="0.2">
      <c r="B53" s="2" t="s">
        <v>10</v>
      </c>
      <c r="C53" s="35">
        <v>30</v>
      </c>
      <c r="D53" s="12">
        <f t="shared" si="15"/>
        <v>720</v>
      </c>
      <c r="E53" s="53">
        <f t="shared" si="11"/>
        <v>7</v>
      </c>
      <c r="F53" s="35">
        <f t="shared" si="11"/>
        <v>8</v>
      </c>
      <c r="G53" s="12">
        <f t="shared" si="11"/>
        <v>1925.4144000000001</v>
      </c>
      <c r="H53" s="10">
        <f t="shared" si="16"/>
        <v>1.0389185036595243</v>
      </c>
      <c r="I53" s="10">
        <f t="shared" si="17"/>
        <v>0.85311827956989239</v>
      </c>
      <c r="J53" s="14">
        <f t="shared" si="18"/>
        <v>3.1617733333333335</v>
      </c>
      <c r="K53" s="12">
        <f t="shared" si="12"/>
        <v>94.853200000000001</v>
      </c>
      <c r="L53" s="11">
        <f t="shared" si="19"/>
        <v>1652.7858981503998</v>
      </c>
      <c r="M53" s="10">
        <f t="shared" si="13"/>
        <v>0.85840528571428554</v>
      </c>
      <c r="N53" s="11">
        <f t="shared" si="20"/>
        <v>6239.9241391321775</v>
      </c>
      <c r="O53" s="46">
        <f t="shared" si="14"/>
        <v>3.2408213728598776</v>
      </c>
      <c r="P53" s="46">
        <f t="shared" si="21"/>
        <v>0.52461957141876814</v>
      </c>
      <c r="Q53" s="11">
        <f t="shared" si="22"/>
        <v>1010.1100773315246</v>
      </c>
      <c r="R53" s="50">
        <f t="shared" si="23"/>
        <v>43.352363833971012</v>
      </c>
      <c r="S53" s="11"/>
      <c r="T53" s="11"/>
      <c r="U53" s="160"/>
    </row>
    <row r="54" spans="2:21" x14ac:dyDescent="0.2">
      <c r="B54" s="4" t="s">
        <v>11</v>
      </c>
      <c r="C54" s="40">
        <v>31</v>
      </c>
      <c r="D54" s="22">
        <f t="shared" si="15"/>
        <v>744</v>
      </c>
      <c r="E54" s="161">
        <f t="shared" si="11"/>
        <v>4</v>
      </c>
      <c r="F54" s="40">
        <f t="shared" si="11"/>
        <v>5</v>
      </c>
      <c r="G54" s="22">
        <f t="shared" si="11"/>
        <v>2104.3791999999999</v>
      </c>
      <c r="H54" s="23">
        <f t="shared" si="16"/>
        <v>1.0389185036595243</v>
      </c>
      <c r="I54" s="23">
        <f t="shared" si="17"/>
        <v>0.77833333333333321</v>
      </c>
      <c r="J54" s="252">
        <f t="shared" si="18"/>
        <v>2.193302222222222</v>
      </c>
      <c r="K54" s="22">
        <f t="shared" si="12"/>
        <v>67.992368888888876</v>
      </c>
      <c r="L54" s="24">
        <f t="shared" si="19"/>
        <v>1184.744726391893</v>
      </c>
      <c r="M54" s="23">
        <f t="shared" si="13"/>
        <v>0.56299013333333325</v>
      </c>
      <c r="N54" s="24">
        <f t="shared" si="20"/>
        <v>6072.4565506909694</v>
      </c>
      <c r="O54" s="51">
        <f t="shared" si="14"/>
        <v>2.8856284792640841</v>
      </c>
      <c r="P54" s="51">
        <f t="shared" si="21"/>
        <v>0.33292119558289213</v>
      </c>
      <c r="Q54" s="24">
        <f t="shared" si="22"/>
        <v>700.59243922377004</v>
      </c>
      <c r="R54" s="52">
        <f t="shared" si="23"/>
        <v>30.068345031063092</v>
      </c>
      <c r="S54" s="11"/>
      <c r="T54" s="11"/>
      <c r="U54" s="160"/>
    </row>
    <row r="55" spans="2:21" x14ac:dyDescent="0.2">
      <c r="C55" s="8"/>
      <c r="D55" s="14"/>
      <c r="E55" s="9"/>
      <c r="F55" s="8"/>
      <c r="G55" s="157">
        <f>SUM(G43:G54)</f>
        <v>22855.656319999998</v>
      </c>
      <c r="H55" s="12"/>
      <c r="I55" s="10"/>
      <c r="M55" s="11"/>
      <c r="N55" s="13"/>
      <c r="O55" s="10"/>
      <c r="Q55" s="158">
        <f>SUM(Q43:Q54)</f>
        <v>15488.874490883989</v>
      </c>
      <c r="R55" s="159">
        <f>SUM(R43:R54)</f>
        <v>664.75856184051463</v>
      </c>
      <c r="T55" s="11"/>
      <c r="U55" s="162"/>
    </row>
    <row r="56" spans="2:21" x14ac:dyDescent="0.2">
      <c r="B56" s="20" t="s">
        <v>342</v>
      </c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16"/>
      <c r="S56" s="18"/>
    </row>
    <row r="57" spans="2:21" x14ac:dyDescent="0.2">
      <c r="B57" s="2"/>
      <c r="C57" s="44" t="s">
        <v>23</v>
      </c>
      <c r="D57" s="44" t="s">
        <v>47</v>
      </c>
      <c r="E57" s="44" t="s">
        <v>24</v>
      </c>
      <c r="F57" s="44" t="s">
        <v>25</v>
      </c>
      <c r="G57" s="44" t="s">
        <v>37</v>
      </c>
      <c r="H57" s="44" t="s">
        <v>17</v>
      </c>
      <c r="I57" s="44" t="s">
        <v>19</v>
      </c>
      <c r="J57" s="48" t="s">
        <v>44</v>
      </c>
      <c r="K57" s="48" t="s">
        <v>46</v>
      </c>
      <c r="L57" s="48" t="s">
        <v>45</v>
      </c>
      <c r="M57" s="44" t="s">
        <v>38</v>
      </c>
      <c r="N57" s="44" t="s">
        <v>48</v>
      </c>
      <c r="O57" s="44" t="s">
        <v>39</v>
      </c>
      <c r="P57" s="44" t="s">
        <v>20</v>
      </c>
      <c r="Q57" s="48" t="s">
        <v>49</v>
      </c>
      <c r="R57" s="49" t="s">
        <v>50</v>
      </c>
    </row>
    <row r="58" spans="2:21" x14ac:dyDescent="0.2">
      <c r="B58" s="2" t="s">
        <v>0</v>
      </c>
      <c r="C58" s="35">
        <v>31</v>
      </c>
      <c r="D58" s="12">
        <f>C58*24</f>
        <v>744</v>
      </c>
      <c r="E58" s="53">
        <f t="shared" ref="E58:G69" si="24">E43</f>
        <v>4</v>
      </c>
      <c r="F58" s="35">
        <f t="shared" si="24"/>
        <v>5</v>
      </c>
      <c r="G58" s="12">
        <f t="shared" si="24"/>
        <v>2104.3791999999999</v>
      </c>
      <c r="H58" s="10">
        <f>($L$15/(75*$M$18))^-0.25</f>
        <v>1.0119105147949401</v>
      </c>
      <c r="I58" s="10">
        <f>(11.6+1.18*$G$13+3.86*F58-2.32*E58)/(100-E58)</f>
        <v>0.77833333333333321</v>
      </c>
      <c r="J58" s="14">
        <f>J43</f>
        <v>2.3557183333333329</v>
      </c>
      <c r="K58" s="12">
        <f t="shared" ref="K58:K69" si="25">J58*C58</f>
        <v>73.027268333333325</v>
      </c>
      <c r="L58" s="11">
        <f>$M$18*$C$15*$C$17*$C$18*K58</f>
        <v>1526.9714373171837</v>
      </c>
      <c r="M58" s="10">
        <f t="shared" ref="M58:M69" si="26">L58/G58</f>
        <v>0.72561610441558433</v>
      </c>
      <c r="N58" s="11">
        <f>$M$18*$C$16*$C$17*(100-E58)*D58*H58*I58/1000</f>
        <v>7097.5145164534088</v>
      </c>
      <c r="O58" s="46">
        <f t="shared" ref="O58:O69" si="27">N58/G58</f>
        <v>3.3727355395137004</v>
      </c>
      <c r="P58" s="46">
        <f>1.029*M58-0.065*O58-0.245*M58^2+0.0018*O58^2+0.0215*M58^3</f>
        <v>0.427123778433805</v>
      </c>
      <c r="Q58" s="11">
        <f>IF(P58&gt;1,1*G58,P58*G58)</f>
        <v>898.83039516150779</v>
      </c>
      <c r="R58" s="50">
        <f>Q58/$M$18</f>
        <v>32.147009841255645</v>
      </c>
      <c r="S58" s="11"/>
      <c r="T58" s="11"/>
      <c r="U58" s="160"/>
    </row>
    <row r="59" spans="2:21" x14ac:dyDescent="0.2">
      <c r="B59" s="2" t="s">
        <v>1</v>
      </c>
      <c r="C59" s="35">
        <v>28</v>
      </c>
      <c r="D59" s="12">
        <f t="shared" ref="D59:D69" si="28">C59*24</f>
        <v>672</v>
      </c>
      <c r="E59" s="53">
        <f t="shared" si="24"/>
        <v>5</v>
      </c>
      <c r="F59" s="35">
        <f t="shared" si="24"/>
        <v>6</v>
      </c>
      <c r="G59" s="12">
        <f t="shared" si="24"/>
        <v>1866.1708799999999</v>
      </c>
      <c r="H59" s="10">
        <f t="shared" ref="H59:H69" si="29">($L$15/(75*$M$18))^-0.25</f>
        <v>1.0119105147949401</v>
      </c>
      <c r="I59" s="10">
        <f t="shared" ref="I59:I69" si="30">(11.6+1.18*$G$13+3.86*F59-2.32*E59)/(100-E59)</f>
        <v>0.80273684210526308</v>
      </c>
      <c r="J59" s="14">
        <f t="shared" ref="J59:J69" si="31">J44</f>
        <v>3.2784500000000003</v>
      </c>
      <c r="K59" s="12">
        <f t="shared" si="25"/>
        <v>91.796600000000012</v>
      </c>
      <c r="L59" s="11">
        <f t="shared" ref="L59:L69" si="32">$M$18*$C$15*$C$17*$C$18*K59</f>
        <v>1919.4307748582401</v>
      </c>
      <c r="M59" s="10">
        <f t="shared" si="26"/>
        <v>1.0285396666666669</v>
      </c>
      <c r="N59" s="11">
        <f t="shared" ref="N59:N69" si="33">$M$18*$C$16*$C$17*(100-E59)*D59*H59*I59/1000</f>
        <v>6542.7837244822085</v>
      </c>
      <c r="O59" s="46">
        <f t="shared" si="27"/>
        <v>3.5059939015242851</v>
      </c>
      <c r="P59" s="46">
        <f t="shared" ref="P59:P69" si="34">1.029*M59-0.065*O59-0.245*M59^2+0.0018*O59^2+0.0215*M59^3</f>
        <v>0.61681315332951681</v>
      </c>
      <c r="Q59" s="11">
        <f t="shared" ref="Q59:Q69" si="35">IF(P59&gt;1,1*G59,P59*G59)</f>
        <v>1151.0787451445192</v>
      </c>
      <c r="R59" s="50">
        <f t="shared" ref="R59:R69" si="36">Q59/$M$18</f>
        <v>41.168767709031442</v>
      </c>
      <c r="S59" s="11"/>
      <c r="T59" s="11"/>
      <c r="U59" s="160"/>
    </row>
    <row r="60" spans="2:21" x14ac:dyDescent="0.2">
      <c r="B60" s="2" t="s">
        <v>2</v>
      </c>
      <c r="C60" s="35">
        <v>31</v>
      </c>
      <c r="D60" s="12">
        <f t="shared" si="28"/>
        <v>744</v>
      </c>
      <c r="E60" s="53">
        <f t="shared" si="24"/>
        <v>8</v>
      </c>
      <c r="F60" s="35">
        <f t="shared" si="24"/>
        <v>8</v>
      </c>
      <c r="G60" s="12">
        <f t="shared" si="24"/>
        <v>1989.5948800000001</v>
      </c>
      <c r="H60" s="10">
        <f t="shared" si="29"/>
        <v>1.0119105147949401</v>
      </c>
      <c r="I60" s="10">
        <f t="shared" si="30"/>
        <v>0.8371739130434781</v>
      </c>
      <c r="J60" s="14">
        <f t="shared" si="31"/>
        <v>3.9933000000000005</v>
      </c>
      <c r="K60" s="12">
        <f t="shared" si="25"/>
        <v>123.79230000000001</v>
      </c>
      <c r="L60" s="11">
        <f t="shared" si="32"/>
        <v>2588.4482683507199</v>
      </c>
      <c r="M60" s="10">
        <f t="shared" si="26"/>
        <v>1.3009926263736262</v>
      </c>
      <c r="N60" s="11">
        <f t="shared" si="33"/>
        <v>7315.9872598667207</v>
      </c>
      <c r="O60" s="46">
        <f t="shared" si="27"/>
        <v>3.677124088631913</v>
      </c>
      <c r="P60" s="46">
        <f t="shared" si="34"/>
        <v>0.75670782106778478</v>
      </c>
      <c r="Q60" s="11">
        <f t="shared" si="35"/>
        <v>1505.5420064524208</v>
      </c>
      <c r="R60" s="50">
        <f t="shared" si="36"/>
        <v>53.846280631345522</v>
      </c>
      <c r="S60" s="11"/>
      <c r="T60" s="11"/>
      <c r="U60" s="160"/>
    </row>
    <row r="61" spans="2:21" x14ac:dyDescent="0.2">
      <c r="B61" s="2" t="s">
        <v>3</v>
      </c>
      <c r="C61" s="35">
        <v>30</v>
      </c>
      <c r="D61" s="12">
        <f t="shared" si="28"/>
        <v>720</v>
      </c>
      <c r="E61" s="53">
        <f t="shared" si="24"/>
        <v>10</v>
      </c>
      <c r="F61" s="35">
        <f t="shared" si="24"/>
        <v>10</v>
      </c>
      <c r="G61" s="12">
        <f t="shared" si="24"/>
        <v>1851.36</v>
      </c>
      <c r="H61" s="10">
        <f t="shared" si="29"/>
        <v>1.0119105147949401</v>
      </c>
      <c r="I61" s="10">
        <f t="shared" si="30"/>
        <v>0.88999999999999979</v>
      </c>
      <c r="J61" s="14">
        <f t="shared" si="31"/>
        <v>4.2619850000000001</v>
      </c>
      <c r="K61" s="12">
        <f t="shared" si="25"/>
        <v>127.85955</v>
      </c>
      <c r="L61" s="11">
        <f t="shared" si="32"/>
        <v>2673.4928649811195</v>
      </c>
      <c r="M61" s="10">
        <f t="shared" si="26"/>
        <v>1.4440696919999998</v>
      </c>
      <c r="N61" s="11">
        <f t="shared" si="33"/>
        <v>7363.1136384599431</v>
      </c>
      <c r="O61" s="46">
        <f t="shared" si="27"/>
        <v>3.9771376925395079</v>
      </c>
      <c r="P61" s="46">
        <f t="shared" si="34"/>
        <v>0.80974235987131071</v>
      </c>
      <c r="Q61" s="11">
        <f t="shared" si="35"/>
        <v>1499.1246153713498</v>
      </c>
      <c r="R61" s="50">
        <f t="shared" si="36"/>
        <v>53.616760206414511</v>
      </c>
      <c r="S61" s="11"/>
      <c r="T61" s="11"/>
      <c r="U61" s="160"/>
    </row>
    <row r="62" spans="2:21" x14ac:dyDescent="0.2">
      <c r="B62" s="2" t="s">
        <v>4</v>
      </c>
      <c r="C62" s="35">
        <v>31</v>
      </c>
      <c r="D62" s="12">
        <f t="shared" si="28"/>
        <v>744</v>
      </c>
      <c r="E62" s="53">
        <f t="shared" si="24"/>
        <v>14</v>
      </c>
      <c r="F62" s="35">
        <f t="shared" si="24"/>
        <v>11</v>
      </c>
      <c r="G62" s="12">
        <f t="shared" si="24"/>
        <v>1874.8105600000001</v>
      </c>
      <c r="H62" s="10">
        <f t="shared" si="29"/>
        <v>1.0119105147949401</v>
      </c>
      <c r="I62" s="10">
        <f t="shared" si="30"/>
        <v>0.86837209302325591</v>
      </c>
      <c r="J62" s="14">
        <f t="shared" si="31"/>
        <v>4.2085766666666666</v>
      </c>
      <c r="K62" s="12">
        <f t="shared" si="25"/>
        <v>130.46587666666667</v>
      </c>
      <c r="L62" s="11">
        <f t="shared" si="32"/>
        <v>2727.9901297309439</v>
      </c>
      <c r="M62" s="10">
        <f t="shared" si="26"/>
        <v>1.4550750822157432</v>
      </c>
      <c r="N62" s="11">
        <f t="shared" si="33"/>
        <v>7093.714990481004</v>
      </c>
      <c r="O62" s="46">
        <f t="shared" si="27"/>
        <v>3.7836969461495906</v>
      </c>
      <c r="P62" s="46">
        <f t="shared" si="34"/>
        <v>0.82461284192435846</v>
      </c>
      <c r="Q62" s="11">
        <f t="shared" si="35"/>
        <v>1545.992863951398</v>
      </c>
      <c r="R62" s="50">
        <f t="shared" si="36"/>
        <v>55.293020885243131</v>
      </c>
      <c r="S62" s="11"/>
      <c r="T62" s="11"/>
      <c r="U62" s="160"/>
    </row>
    <row r="63" spans="2:21" x14ac:dyDescent="0.2">
      <c r="B63" s="2" t="s">
        <v>5</v>
      </c>
      <c r="C63" s="35">
        <v>30</v>
      </c>
      <c r="D63" s="12">
        <f t="shared" si="28"/>
        <v>720</v>
      </c>
      <c r="E63" s="53">
        <f t="shared" si="24"/>
        <v>18</v>
      </c>
      <c r="F63" s="35">
        <f t="shared" si="24"/>
        <v>12</v>
      </c>
      <c r="G63" s="12">
        <f t="shared" si="24"/>
        <v>1777.3055999999999</v>
      </c>
      <c r="H63" s="10">
        <f t="shared" si="29"/>
        <v>1.0119105147949401</v>
      </c>
      <c r="I63" s="10">
        <f t="shared" si="30"/>
        <v>0.84463414634146328</v>
      </c>
      <c r="J63" s="14">
        <f t="shared" si="31"/>
        <v>4.558606666666666</v>
      </c>
      <c r="K63" s="12">
        <f t="shared" si="25"/>
        <v>136.75819999999999</v>
      </c>
      <c r="L63" s="11">
        <f t="shared" si="32"/>
        <v>2859.5601339724794</v>
      </c>
      <c r="M63" s="10">
        <f t="shared" si="26"/>
        <v>1.6089299071428569</v>
      </c>
      <c r="N63" s="11">
        <f t="shared" si="33"/>
        <v>6366.6573108581242</v>
      </c>
      <c r="O63" s="46">
        <f t="shared" si="27"/>
        <v>3.5821961686600914</v>
      </c>
      <c r="P63" s="46">
        <f t="shared" si="34"/>
        <v>0.90117012317638423</v>
      </c>
      <c r="Q63" s="11">
        <f t="shared" si="35"/>
        <v>1601.6547064740773</v>
      </c>
      <c r="R63" s="50">
        <f t="shared" si="36"/>
        <v>57.283787785195898</v>
      </c>
      <c r="S63" s="11"/>
      <c r="T63" s="11"/>
      <c r="U63" s="160"/>
    </row>
    <row r="64" spans="2:21" x14ac:dyDescent="0.2">
      <c r="B64" s="2" t="s">
        <v>6</v>
      </c>
      <c r="C64" s="35">
        <v>31</v>
      </c>
      <c r="D64" s="12">
        <f t="shared" si="28"/>
        <v>744</v>
      </c>
      <c r="E64" s="53">
        <f t="shared" si="24"/>
        <v>21</v>
      </c>
      <c r="F64" s="35">
        <f t="shared" si="24"/>
        <v>13</v>
      </c>
      <c r="G64" s="12">
        <f t="shared" si="24"/>
        <v>1798.2876799999999</v>
      </c>
      <c r="H64" s="10">
        <f t="shared" si="29"/>
        <v>1.0119105147949401</v>
      </c>
      <c r="I64" s="10">
        <f t="shared" si="30"/>
        <v>0.8374683544303797</v>
      </c>
      <c r="J64" s="14">
        <f t="shared" si="31"/>
        <v>5.2553800000000006</v>
      </c>
      <c r="K64" s="12">
        <f t="shared" si="25"/>
        <v>162.91678000000002</v>
      </c>
      <c r="L64" s="11">
        <f t="shared" si="32"/>
        <v>3406.5257457553921</v>
      </c>
      <c r="M64" s="10">
        <f t="shared" si="26"/>
        <v>1.8943163452887539</v>
      </c>
      <c r="N64" s="11">
        <f t="shared" si="33"/>
        <v>6284.4159583586379</v>
      </c>
      <c r="O64" s="46">
        <f t="shared" si="27"/>
        <v>3.4946666366299293</v>
      </c>
      <c r="P64" s="46">
        <f t="shared" si="34"/>
        <v>1.0110636511343958</v>
      </c>
      <c r="Q64" s="11">
        <f t="shared" si="35"/>
        <v>1798.2876799999999</v>
      </c>
      <c r="R64" s="50">
        <f t="shared" si="36"/>
        <v>64.316440629470662</v>
      </c>
      <c r="S64" s="11"/>
      <c r="T64" s="11"/>
      <c r="U64" s="160"/>
    </row>
    <row r="65" spans="2:21" x14ac:dyDescent="0.2">
      <c r="B65" s="2" t="s">
        <v>7</v>
      </c>
      <c r="C65" s="35">
        <v>31</v>
      </c>
      <c r="D65" s="12">
        <f t="shared" si="28"/>
        <v>744</v>
      </c>
      <c r="E65" s="53">
        <f t="shared" si="24"/>
        <v>21</v>
      </c>
      <c r="F65" s="35">
        <f t="shared" si="24"/>
        <v>12</v>
      </c>
      <c r="G65" s="12">
        <f t="shared" si="24"/>
        <v>1836.5491199999999</v>
      </c>
      <c r="H65" s="10">
        <f t="shared" si="29"/>
        <v>1.0119105147949401</v>
      </c>
      <c r="I65" s="10">
        <f t="shared" si="30"/>
        <v>0.78860759493670862</v>
      </c>
      <c r="J65" s="14">
        <f t="shared" si="31"/>
        <v>5.6946977777777779</v>
      </c>
      <c r="K65" s="12">
        <f t="shared" si="25"/>
        <v>176.53563111111112</v>
      </c>
      <c r="L65" s="11">
        <f t="shared" si="32"/>
        <v>3691.2905621089276</v>
      </c>
      <c r="M65" s="10">
        <f t="shared" si="26"/>
        <v>2.0099057095238093</v>
      </c>
      <c r="N65" s="11">
        <f t="shared" si="33"/>
        <v>5917.7617020215093</v>
      </c>
      <c r="O65" s="46">
        <f t="shared" si="27"/>
        <v>3.2222180379371013</v>
      </c>
      <c r="P65" s="46">
        <f t="shared" si="34"/>
        <v>1.0622743593292379</v>
      </c>
      <c r="Q65" s="11">
        <f t="shared" si="35"/>
        <v>1836.5491199999999</v>
      </c>
      <c r="R65" s="50">
        <f t="shared" si="36"/>
        <v>65.684875536480675</v>
      </c>
      <c r="S65" s="11"/>
      <c r="T65" s="11"/>
      <c r="U65" s="160"/>
    </row>
    <row r="66" spans="2:21" x14ac:dyDescent="0.2">
      <c r="B66" s="2" t="s">
        <v>8</v>
      </c>
      <c r="C66" s="35">
        <v>30</v>
      </c>
      <c r="D66" s="12">
        <f t="shared" si="28"/>
        <v>720</v>
      </c>
      <c r="E66" s="53">
        <f t="shared" si="24"/>
        <v>18</v>
      </c>
      <c r="F66" s="35">
        <f t="shared" si="24"/>
        <v>11</v>
      </c>
      <c r="G66" s="12">
        <f t="shared" si="24"/>
        <v>1814.3327999999999</v>
      </c>
      <c r="H66" s="10">
        <f t="shared" si="29"/>
        <v>1.0119105147949401</v>
      </c>
      <c r="I66" s="10">
        <f t="shared" si="30"/>
        <v>0.79756097560975614</v>
      </c>
      <c r="J66" s="14">
        <f t="shared" si="31"/>
        <v>5.464083333333333</v>
      </c>
      <c r="K66" s="12">
        <f t="shared" si="25"/>
        <v>163.92249999999999</v>
      </c>
      <c r="L66" s="11">
        <f t="shared" si="32"/>
        <v>3427.5549551039994</v>
      </c>
      <c r="M66" s="10">
        <f t="shared" si="26"/>
        <v>1.889154489795918</v>
      </c>
      <c r="N66" s="11">
        <f t="shared" si="33"/>
        <v>6011.8306111770344</v>
      </c>
      <c r="O66" s="46">
        <f t="shared" si="27"/>
        <v>3.3135214284705841</v>
      </c>
      <c r="P66" s="46">
        <f t="shared" si="34"/>
        <v>1.0188999573683195</v>
      </c>
      <c r="Q66" s="11">
        <f t="shared" si="35"/>
        <v>1814.3327999999999</v>
      </c>
      <c r="R66" s="50">
        <f t="shared" si="36"/>
        <v>64.890300429184549</v>
      </c>
      <c r="S66" s="11"/>
      <c r="T66" s="11"/>
      <c r="U66" s="160"/>
    </row>
    <row r="67" spans="2:21" x14ac:dyDescent="0.2">
      <c r="B67" s="2" t="s">
        <v>9</v>
      </c>
      <c r="C67" s="35">
        <v>31</v>
      </c>
      <c r="D67" s="12">
        <f t="shared" si="28"/>
        <v>744</v>
      </c>
      <c r="E67" s="53">
        <f t="shared" si="24"/>
        <v>12</v>
      </c>
      <c r="F67" s="35">
        <f t="shared" si="24"/>
        <v>10</v>
      </c>
      <c r="G67" s="12">
        <f t="shared" si="24"/>
        <v>1913.0720000000001</v>
      </c>
      <c r="H67" s="10">
        <f t="shared" si="29"/>
        <v>1.0119105147949401</v>
      </c>
      <c r="I67" s="10">
        <f t="shared" si="30"/>
        <v>0.85749999999999982</v>
      </c>
      <c r="J67" s="14">
        <f t="shared" si="31"/>
        <v>4.3019727777777774</v>
      </c>
      <c r="K67" s="12">
        <f t="shared" si="25"/>
        <v>133.36115611111109</v>
      </c>
      <c r="L67" s="11">
        <f t="shared" si="32"/>
        <v>2788.5292833322874</v>
      </c>
      <c r="M67" s="10">
        <f t="shared" si="26"/>
        <v>1.4576185754285711</v>
      </c>
      <c r="N67" s="11">
        <f t="shared" si="33"/>
        <v>7167.8057469429086</v>
      </c>
      <c r="O67" s="46">
        <f t="shared" si="27"/>
        <v>3.7467516888767953</v>
      </c>
      <c r="P67" s="46">
        <f t="shared" si="34"/>
        <v>0.82766364281733029</v>
      </c>
      <c r="Q67" s="11">
        <f t="shared" si="35"/>
        <v>1583.3801404918358</v>
      </c>
      <c r="R67" s="50">
        <f t="shared" si="36"/>
        <v>56.630191004715158</v>
      </c>
      <c r="S67" s="11"/>
      <c r="T67" s="11"/>
      <c r="U67" s="160"/>
    </row>
    <row r="68" spans="2:21" x14ac:dyDescent="0.2">
      <c r="B68" s="2" t="s">
        <v>10</v>
      </c>
      <c r="C68" s="35">
        <v>30</v>
      </c>
      <c r="D68" s="12">
        <f t="shared" si="28"/>
        <v>720</v>
      </c>
      <c r="E68" s="53">
        <f t="shared" si="24"/>
        <v>7</v>
      </c>
      <c r="F68" s="35">
        <f t="shared" si="24"/>
        <v>8</v>
      </c>
      <c r="G68" s="12">
        <f t="shared" si="24"/>
        <v>1925.4144000000001</v>
      </c>
      <c r="H68" s="10">
        <f t="shared" si="29"/>
        <v>1.0119105147949401</v>
      </c>
      <c r="I68" s="10">
        <f t="shared" si="30"/>
        <v>0.85311827956989239</v>
      </c>
      <c r="J68" s="14">
        <f t="shared" si="31"/>
        <v>3.1617733333333335</v>
      </c>
      <c r="K68" s="12">
        <f t="shared" si="25"/>
        <v>94.853200000000001</v>
      </c>
      <c r="L68" s="11">
        <f t="shared" si="32"/>
        <v>1983.3430777804799</v>
      </c>
      <c r="M68" s="10">
        <f t="shared" si="26"/>
        <v>1.0300863428571427</v>
      </c>
      <c r="N68" s="11">
        <f t="shared" si="33"/>
        <v>7293.251386709263</v>
      </c>
      <c r="O68" s="46">
        <f t="shared" si="27"/>
        <v>3.7878865903928332</v>
      </c>
      <c r="P68" s="46">
        <f t="shared" si="34"/>
        <v>0.60310823130562741</v>
      </c>
      <c r="Q68" s="11">
        <f t="shared" si="35"/>
        <v>1161.2332733143858</v>
      </c>
      <c r="R68" s="50">
        <f t="shared" si="36"/>
        <v>41.531948258740549</v>
      </c>
      <c r="S68" s="11"/>
      <c r="T68" s="11"/>
      <c r="U68" s="160"/>
    </row>
    <row r="69" spans="2:21" x14ac:dyDescent="0.2">
      <c r="B69" s="4" t="s">
        <v>11</v>
      </c>
      <c r="C69" s="40">
        <v>31</v>
      </c>
      <c r="D69" s="22">
        <f t="shared" si="28"/>
        <v>744</v>
      </c>
      <c r="E69" s="161">
        <f t="shared" si="24"/>
        <v>4</v>
      </c>
      <c r="F69" s="40">
        <f t="shared" si="24"/>
        <v>5</v>
      </c>
      <c r="G69" s="22">
        <f t="shared" si="24"/>
        <v>2104.3791999999999</v>
      </c>
      <c r="H69" s="23">
        <f t="shared" si="29"/>
        <v>1.0119105147949401</v>
      </c>
      <c r="I69" s="23">
        <f t="shared" si="30"/>
        <v>0.77833333333333321</v>
      </c>
      <c r="J69" s="252">
        <f t="shared" si="31"/>
        <v>2.193302222222222</v>
      </c>
      <c r="K69" s="22">
        <f t="shared" si="25"/>
        <v>67.992368888888876</v>
      </c>
      <c r="L69" s="24">
        <f t="shared" si="32"/>
        <v>1421.6936716702717</v>
      </c>
      <c r="M69" s="23">
        <f t="shared" si="26"/>
        <v>0.67558815999999988</v>
      </c>
      <c r="N69" s="24">
        <f t="shared" si="33"/>
        <v>7097.5145164534088</v>
      </c>
      <c r="O69" s="51">
        <f t="shared" si="27"/>
        <v>3.3727355395137004</v>
      </c>
      <c r="P69" s="51">
        <f t="shared" si="34"/>
        <v>0.39123484154701871</v>
      </c>
      <c r="Q69" s="11">
        <f t="shared" si="35"/>
        <v>823.30646286684191</v>
      </c>
      <c r="R69" s="52">
        <f t="shared" si="36"/>
        <v>29.445867770630969</v>
      </c>
      <c r="S69" s="11"/>
      <c r="T69" s="11"/>
      <c r="U69" s="160"/>
    </row>
    <row r="70" spans="2:21" x14ac:dyDescent="0.2">
      <c r="C70" s="8"/>
      <c r="D70" s="14"/>
      <c r="E70" s="9"/>
      <c r="F70" s="8"/>
      <c r="G70" s="157">
        <f>SUM(G58:G69)</f>
        <v>22855.656319999998</v>
      </c>
      <c r="H70" s="12"/>
      <c r="I70" s="10"/>
      <c r="M70" s="11"/>
      <c r="N70" s="13"/>
      <c r="O70" s="10"/>
      <c r="Q70" s="390">
        <f>SUM(Q58:Q69)</f>
        <v>17219.312809228337</v>
      </c>
      <c r="R70" s="159">
        <f>SUM(R58:R69)</f>
        <v>615.85525068770858</v>
      </c>
      <c r="T70" s="11"/>
      <c r="U70" s="162"/>
    </row>
    <row r="72" spans="2:21" x14ac:dyDescent="0.2">
      <c r="G72" t="s">
        <v>501</v>
      </c>
    </row>
    <row r="73" spans="2:21" x14ac:dyDescent="0.2">
      <c r="F73" s="1" t="s">
        <v>191</v>
      </c>
      <c r="G73" s="263">
        <f>G58*$G$21</f>
        <v>1262.6275199999998</v>
      </c>
    </row>
    <row r="74" spans="2:21" x14ac:dyDescent="0.2">
      <c r="F74" s="2" t="s">
        <v>192</v>
      </c>
      <c r="G74" s="264">
        <f t="shared" ref="G74:G84" si="37">G59*$G$21</f>
        <v>1119.7025279999998</v>
      </c>
    </row>
    <row r="75" spans="2:21" x14ac:dyDescent="0.2">
      <c r="F75" s="2" t="s">
        <v>193</v>
      </c>
      <c r="G75" s="264">
        <f t="shared" si="37"/>
        <v>1193.756928</v>
      </c>
    </row>
    <row r="76" spans="2:21" x14ac:dyDescent="0.2">
      <c r="F76" s="2" t="s">
        <v>194</v>
      </c>
      <c r="G76" s="264">
        <f t="shared" si="37"/>
        <v>1110.8159999999998</v>
      </c>
    </row>
    <row r="77" spans="2:21" x14ac:dyDescent="0.2">
      <c r="F77" s="2" t="s">
        <v>195</v>
      </c>
      <c r="G77" s="264">
        <f t="shared" si="37"/>
        <v>1124.886336</v>
      </c>
    </row>
    <row r="78" spans="2:21" x14ac:dyDescent="0.2">
      <c r="F78" s="2" t="s">
        <v>196</v>
      </c>
      <c r="G78" s="264">
        <f t="shared" si="37"/>
        <v>1066.3833599999998</v>
      </c>
    </row>
    <row r="79" spans="2:21" x14ac:dyDescent="0.2">
      <c r="F79" s="2" t="s">
        <v>197</v>
      </c>
      <c r="G79" s="264">
        <f t="shared" si="37"/>
        <v>1078.9726079999998</v>
      </c>
    </row>
    <row r="80" spans="2:21" x14ac:dyDescent="0.2">
      <c r="F80" s="2" t="s">
        <v>287</v>
      </c>
      <c r="G80" s="264">
        <f t="shared" si="37"/>
        <v>1101.9294719999998</v>
      </c>
    </row>
    <row r="81" spans="6:7" x14ac:dyDescent="0.2">
      <c r="F81" s="2" t="s">
        <v>199</v>
      </c>
      <c r="G81" s="264">
        <f t="shared" si="37"/>
        <v>1088.5996799999998</v>
      </c>
    </row>
    <row r="82" spans="6:7" x14ac:dyDescent="0.2">
      <c r="F82" s="2" t="s">
        <v>288</v>
      </c>
      <c r="G82" s="264">
        <f t="shared" si="37"/>
        <v>1147.8432</v>
      </c>
    </row>
    <row r="83" spans="6:7" x14ac:dyDescent="0.2">
      <c r="F83" s="2" t="s">
        <v>201</v>
      </c>
      <c r="G83" s="264">
        <f t="shared" si="37"/>
        <v>1155.24864</v>
      </c>
    </row>
    <row r="84" spans="6:7" x14ac:dyDescent="0.2">
      <c r="F84" s="4" t="s">
        <v>202</v>
      </c>
      <c r="G84" s="159">
        <f t="shared" si="37"/>
        <v>1262.6275199999998</v>
      </c>
    </row>
    <row r="85" spans="6:7" x14ac:dyDescent="0.2">
      <c r="G85" s="11"/>
    </row>
    <row r="86" spans="6:7" x14ac:dyDescent="0.2">
      <c r="G86" s="11"/>
    </row>
  </sheetData>
  <mergeCells count="2">
    <mergeCell ref="I7:L7"/>
    <mergeCell ref="I10:L10"/>
  </mergeCells>
  <phoneticPr fontId="56" type="noConversion"/>
  <pageMargins left="0.75" right="0.75" top="1" bottom="1" header="0" footer="0"/>
  <pageSetup paperSize="9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9F694-FAE8-4190-9AE1-A806A8465314}">
  <sheetPr codeName="Hoja6"/>
  <dimension ref="B1:C56"/>
  <sheetViews>
    <sheetView showGridLines="0" zoomScale="75" workbookViewId="0">
      <selection activeCell="E6" sqref="E6"/>
    </sheetView>
  </sheetViews>
  <sheetFormatPr baseColWidth="10" defaultRowHeight="12.75" x14ac:dyDescent="0.2"/>
  <cols>
    <col min="2" max="2" width="15.5703125" customWidth="1"/>
    <col min="3" max="3" width="12" customWidth="1"/>
  </cols>
  <sheetData>
    <row r="1" spans="2:3" x14ac:dyDescent="0.2">
      <c r="B1" s="5" t="s">
        <v>262</v>
      </c>
    </row>
    <row r="2" spans="2:3" x14ac:dyDescent="0.2">
      <c r="B2" t="s">
        <v>263</v>
      </c>
    </row>
    <row r="3" spans="2:3" x14ac:dyDescent="0.2">
      <c r="B3" s="5"/>
    </row>
    <row r="4" spans="2:3" ht="15.75" x14ac:dyDescent="0.25">
      <c r="B4" s="78" t="s">
        <v>190</v>
      </c>
      <c r="C4" s="94" t="s">
        <v>264</v>
      </c>
    </row>
    <row r="5" spans="2:3" x14ac:dyDescent="0.2">
      <c r="B5" s="80" t="s">
        <v>203</v>
      </c>
      <c r="C5" s="95">
        <v>43</v>
      </c>
    </row>
    <row r="6" spans="2:3" x14ac:dyDescent="0.2">
      <c r="B6" s="80" t="s">
        <v>204</v>
      </c>
      <c r="C6" s="95">
        <v>39</v>
      </c>
    </row>
    <row r="7" spans="2:3" x14ac:dyDescent="0.2">
      <c r="B7" s="80" t="s">
        <v>205</v>
      </c>
      <c r="C7" s="95">
        <v>38</v>
      </c>
    </row>
    <row r="8" spans="2:3" x14ac:dyDescent="0.2">
      <c r="B8" s="80" t="s">
        <v>206</v>
      </c>
      <c r="C8" s="95">
        <v>37</v>
      </c>
    </row>
    <row r="9" spans="2:3" x14ac:dyDescent="0.2">
      <c r="B9" s="80" t="s">
        <v>207</v>
      </c>
      <c r="C9" s="95">
        <v>43</v>
      </c>
    </row>
    <row r="10" spans="2:3" x14ac:dyDescent="0.2">
      <c r="B10" s="80" t="s">
        <v>208</v>
      </c>
      <c r="C10" s="95">
        <v>41</v>
      </c>
    </row>
    <row r="11" spans="2:3" x14ac:dyDescent="0.2">
      <c r="B11" s="80" t="s">
        <v>209</v>
      </c>
      <c r="C11" s="95">
        <v>39</v>
      </c>
    </row>
    <row r="12" spans="2:3" x14ac:dyDescent="0.2">
      <c r="B12" s="80" t="s">
        <v>210</v>
      </c>
      <c r="C12" s="95">
        <v>40</v>
      </c>
    </row>
    <row r="13" spans="2:3" x14ac:dyDescent="0.2">
      <c r="B13" s="80" t="s">
        <v>211</v>
      </c>
      <c r="C13" s="95">
        <v>41</v>
      </c>
    </row>
    <row r="14" spans="2:3" x14ac:dyDescent="0.2">
      <c r="B14" s="80" t="s">
        <v>212</v>
      </c>
      <c r="C14" s="95">
        <v>42</v>
      </c>
    </row>
    <row r="15" spans="2:3" x14ac:dyDescent="0.2">
      <c r="B15" s="80" t="s">
        <v>213</v>
      </c>
      <c r="C15" s="95">
        <v>40</v>
      </c>
    </row>
    <row r="16" spans="2:3" x14ac:dyDescent="0.2">
      <c r="B16" s="80" t="s">
        <v>214</v>
      </c>
      <c r="C16" s="95">
        <v>37</v>
      </c>
    </row>
    <row r="17" spans="2:3" x14ac:dyDescent="0.2">
      <c r="B17" s="80" t="s">
        <v>215</v>
      </c>
      <c r="C17" s="95">
        <v>44</v>
      </c>
    </row>
    <row r="18" spans="2:3" x14ac:dyDescent="0.2">
      <c r="B18" s="80" t="s">
        <v>216</v>
      </c>
      <c r="C18" s="95">
        <v>40</v>
      </c>
    </row>
    <row r="19" spans="2:3" x14ac:dyDescent="0.2">
      <c r="B19" s="80" t="s">
        <v>217</v>
      </c>
      <c r="C19" s="95">
        <v>36</v>
      </c>
    </row>
    <row r="20" spans="2:3" x14ac:dyDescent="0.2">
      <c r="B20" s="80" t="s">
        <v>218</v>
      </c>
      <c r="C20" s="95">
        <v>39</v>
      </c>
    </row>
    <row r="21" spans="2:3" x14ac:dyDescent="0.2">
      <c r="B21" s="80" t="s">
        <v>219</v>
      </c>
      <c r="C21" s="95">
        <v>38</v>
      </c>
    </row>
    <row r="22" spans="2:3" x14ac:dyDescent="0.2">
      <c r="B22" s="80" t="s">
        <v>220</v>
      </c>
      <c r="C22" s="95">
        <v>43</v>
      </c>
    </row>
    <row r="23" spans="2:3" x14ac:dyDescent="0.2">
      <c r="B23" s="80" t="s">
        <v>221</v>
      </c>
      <c r="C23" s="95">
        <v>40</v>
      </c>
    </row>
    <row r="24" spans="2:3" x14ac:dyDescent="0.2">
      <c r="B24" s="80" t="s">
        <v>222</v>
      </c>
      <c r="C24" s="95">
        <v>42</v>
      </c>
    </row>
    <row r="25" spans="2:3" x14ac:dyDescent="0.2">
      <c r="B25" s="80" t="s">
        <v>223</v>
      </c>
      <c r="C25" s="95">
        <v>37</v>
      </c>
    </row>
    <row r="26" spans="2:3" x14ac:dyDescent="0.2">
      <c r="B26" s="80" t="s">
        <v>224</v>
      </c>
      <c r="C26" s="95">
        <v>41</v>
      </c>
    </row>
    <row r="27" spans="2:3" x14ac:dyDescent="0.2">
      <c r="B27" s="80" t="s">
        <v>225</v>
      </c>
      <c r="C27" s="95">
        <v>43</v>
      </c>
    </row>
    <row r="28" spans="2:3" x14ac:dyDescent="0.2">
      <c r="B28" s="80" t="s">
        <v>226</v>
      </c>
      <c r="C28" s="95">
        <v>37</v>
      </c>
    </row>
    <row r="29" spans="2:3" x14ac:dyDescent="0.2">
      <c r="B29" s="80" t="s">
        <v>227</v>
      </c>
      <c r="C29" s="95">
        <v>42</v>
      </c>
    </row>
    <row r="30" spans="2:3" x14ac:dyDescent="0.2">
      <c r="B30" s="80" t="s">
        <v>228</v>
      </c>
      <c r="C30" s="95">
        <v>38</v>
      </c>
    </row>
    <row r="31" spans="2:3" x14ac:dyDescent="0.2">
      <c r="B31" s="80" t="s">
        <v>229</v>
      </c>
      <c r="C31" s="95">
        <v>43</v>
      </c>
    </row>
    <row r="32" spans="2:3" x14ac:dyDescent="0.2">
      <c r="B32" s="80" t="s">
        <v>230</v>
      </c>
      <c r="C32" s="95">
        <v>42</v>
      </c>
    </row>
    <row r="33" spans="2:3" x14ac:dyDescent="0.2">
      <c r="B33" s="80" t="s">
        <v>231</v>
      </c>
      <c r="C33" s="95">
        <v>43</v>
      </c>
    </row>
    <row r="34" spans="2:3" x14ac:dyDescent="0.2">
      <c r="B34" s="80" t="s">
        <v>232</v>
      </c>
      <c r="C34" s="95">
        <v>40</v>
      </c>
    </row>
    <row r="35" spans="2:3" x14ac:dyDescent="0.2">
      <c r="B35" s="80" t="s">
        <v>233</v>
      </c>
      <c r="C35" s="95">
        <v>37</v>
      </c>
    </row>
    <row r="36" spans="2:3" x14ac:dyDescent="0.2">
      <c r="B36" s="80" t="s">
        <v>234</v>
      </c>
      <c r="C36" s="95">
        <v>35</v>
      </c>
    </row>
    <row r="37" spans="2:3" x14ac:dyDescent="0.2">
      <c r="B37" s="80" t="s">
        <v>235</v>
      </c>
      <c r="C37" s="95">
        <v>38</v>
      </c>
    </row>
    <row r="38" spans="2:3" x14ac:dyDescent="0.2">
      <c r="B38" s="80" t="s">
        <v>236</v>
      </c>
      <c r="C38" s="95">
        <v>43</v>
      </c>
    </row>
    <row r="39" spans="2:3" x14ac:dyDescent="0.2">
      <c r="B39" s="80" t="s">
        <v>237</v>
      </c>
      <c r="C39" s="95">
        <v>42</v>
      </c>
    </row>
    <row r="40" spans="2:3" x14ac:dyDescent="0.2">
      <c r="B40" s="80" t="s">
        <v>238</v>
      </c>
      <c r="C40" s="95">
        <v>42</v>
      </c>
    </row>
    <row r="41" spans="2:3" x14ac:dyDescent="0.2">
      <c r="B41" s="80" t="s">
        <v>239</v>
      </c>
      <c r="C41" s="95">
        <v>28</v>
      </c>
    </row>
    <row r="42" spans="2:3" x14ac:dyDescent="0.2">
      <c r="B42" s="80" t="s">
        <v>240</v>
      </c>
      <c r="C42" s="95">
        <v>42</v>
      </c>
    </row>
    <row r="43" spans="2:3" x14ac:dyDescent="0.2">
      <c r="B43" s="80" t="s">
        <v>241</v>
      </c>
      <c r="C43" s="95">
        <v>43</v>
      </c>
    </row>
    <row r="44" spans="2:3" x14ac:dyDescent="0.2">
      <c r="B44" s="80" t="s">
        <v>242</v>
      </c>
      <c r="C44" s="95">
        <v>41</v>
      </c>
    </row>
    <row r="45" spans="2:3" x14ac:dyDescent="0.2">
      <c r="B45" s="80" t="s">
        <v>243</v>
      </c>
      <c r="C45" s="95">
        <v>28</v>
      </c>
    </row>
    <row r="46" spans="2:3" x14ac:dyDescent="0.2">
      <c r="B46" s="80" t="s">
        <v>244</v>
      </c>
      <c r="C46" s="95">
        <v>41</v>
      </c>
    </row>
    <row r="47" spans="2:3" x14ac:dyDescent="0.2">
      <c r="B47" s="80" t="s">
        <v>245</v>
      </c>
      <c r="C47" s="95">
        <v>37</v>
      </c>
    </row>
    <row r="48" spans="2:3" x14ac:dyDescent="0.2">
      <c r="B48" s="80" t="s">
        <v>246</v>
      </c>
      <c r="C48" s="95">
        <v>42</v>
      </c>
    </row>
    <row r="49" spans="2:3" x14ac:dyDescent="0.2">
      <c r="B49" s="80" t="s">
        <v>247</v>
      </c>
      <c r="C49" s="95">
        <v>41</v>
      </c>
    </row>
    <row r="50" spans="2:3" x14ac:dyDescent="0.2">
      <c r="B50" s="80" t="s">
        <v>248</v>
      </c>
      <c r="C50" s="95">
        <v>40</v>
      </c>
    </row>
    <row r="51" spans="2:3" x14ac:dyDescent="0.2">
      <c r="B51" s="80" t="s">
        <v>249</v>
      </c>
      <c r="C51" s="95">
        <v>40</v>
      </c>
    </row>
    <row r="52" spans="2:3" x14ac:dyDescent="0.2">
      <c r="B52" s="80" t="s">
        <v>250</v>
      </c>
      <c r="C52" s="95">
        <v>40</v>
      </c>
    </row>
    <row r="53" spans="2:3" x14ac:dyDescent="0.2">
      <c r="B53" s="80" t="s">
        <v>251</v>
      </c>
      <c r="C53" s="95">
        <v>42</v>
      </c>
    </row>
    <row r="54" spans="2:3" x14ac:dyDescent="0.2">
      <c r="B54" s="80" t="s">
        <v>252</v>
      </c>
      <c r="C54" s="95">
        <v>43</v>
      </c>
    </row>
    <row r="55" spans="2:3" x14ac:dyDescent="0.2">
      <c r="B55" s="80" t="s">
        <v>253</v>
      </c>
      <c r="C55" s="95">
        <v>42</v>
      </c>
    </row>
    <row r="56" spans="2:3" x14ac:dyDescent="0.2">
      <c r="B56" s="81" t="s">
        <v>254</v>
      </c>
      <c r="C56" s="96">
        <v>42</v>
      </c>
    </row>
  </sheetData>
  <phoneticPr fontId="56" type="noConversion"/>
  <pageMargins left="0.75" right="0.75" top="1" bottom="1" header="0" footer="0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85675-8883-48D0-B207-830A524EBDDF}">
  <sheetPr codeName="Hoja8"/>
  <dimension ref="A1:N232"/>
  <sheetViews>
    <sheetView showGridLines="0" topLeftCell="A77" zoomScale="75" workbookViewId="0">
      <selection activeCell="B39" sqref="B39"/>
    </sheetView>
  </sheetViews>
  <sheetFormatPr baseColWidth="10" defaultRowHeight="12.75" x14ac:dyDescent="0.2"/>
  <cols>
    <col min="1" max="1" width="7.85546875" customWidth="1"/>
  </cols>
  <sheetData>
    <row r="1" spans="1:14" x14ac:dyDescent="0.2">
      <c r="A1" s="5" t="s">
        <v>290</v>
      </c>
    </row>
    <row r="2" spans="1:14" x14ac:dyDescent="0.2">
      <c r="A2" t="s">
        <v>577</v>
      </c>
    </row>
    <row r="4" spans="1:14" x14ac:dyDescent="0.2">
      <c r="B4" s="103" t="s">
        <v>286</v>
      </c>
      <c r="C4" s="104"/>
      <c r="D4" s="104" t="s">
        <v>234</v>
      </c>
      <c r="E4" s="104"/>
      <c r="F4" s="104"/>
      <c r="G4" s="104"/>
      <c r="H4" s="104"/>
      <c r="I4" s="104"/>
      <c r="J4" s="104"/>
      <c r="K4" s="104"/>
      <c r="L4" s="104"/>
      <c r="M4" s="104"/>
      <c r="N4" s="104"/>
    </row>
    <row r="5" spans="1:14" x14ac:dyDescent="0.2"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</row>
    <row r="6" spans="1:14" x14ac:dyDescent="0.2">
      <c r="A6" s="115" t="s">
        <v>265</v>
      </c>
      <c r="B6" s="106" t="s">
        <v>31</v>
      </c>
      <c r="C6" s="107" t="s">
        <v>191</v>
      </c>
      <c r="D6" s="107" t="s">
        <v>192</v>
      </c>
      <c r="E6" s="107" t="s">
        <v>193</v>
      </c>
      <c r="F6" s="107" t="s">
        <v>194</v>
      </c>
      <c r="G6" s="107" t="s">
        <v>195</v>
      </c>
      <c r="H6" s="107" t="s">
        <v>196</v>
      </c>
      <c r="I6" s="107" t="s">
        <v>197</v>
      </c>
      <c r="J6" s="107" t="s">
        <v>287</v>
      </c>
      <c r="K6" s="107" t="s">
        <v>199</v>
      </c>
      <c r="L6" s="107" t="s">
        <v>288</v>
      </c>
      <c r="M6" s="107" t="s">
        <v>201</v>
      </c>
      <c r="N6" s="107" t="s">
        <v>202</v>
      </c>
    </row>
    <row r="7" spans="1:14" x14ac:dyDescent="0.2">
      <c r="A7" s="288">
        <v>35</v>
      </c>
      <c r="B7" s="196">
        <v>0</v>
      </c>
      <c r="C7" s="196">
        <v>1</v>
      </c>
      <c r="D7" s="196">
        <v>1</v>
      </c>
      <c r="E7" s="196">
        <v>1</v>
      </c>
      <c r="F7" s="196">
        <v>1</v>
      </c>
      <c r="G7" s="196">
        <v>1</v>
      </c>
      <c r="H7" s="196">
        <v>1</v>
      </c>
      <c r="I7" s="196">
        <v>1</v>
      </c>
      <c r="J7" s="196">
        <v>1</v>
      </c>
      <c r="K7" s="196">
        <v>1</v>
      </c>
      <c r="L7" s="196">
        <v>1</v>
      </c>
      <c r="M7" s="196">
        <v>1</v>
      </c>
      <c r="N7" s="196">
        <v>1</v>
      </c>
    </row>
    <row r="8" spans="1:14" x14ac:dyDescent="0.2">
      <c r="A8" s="280">
        <v>35</v>
      </c>
      <c r="B8" s="196">
        <v>5</v>
      </c>
      <c r="C8" s="196">
        <v>1.06</v>
      </c>
      <c r="D8" s="196">
        <v>1.05</v>
      </c>
      <c r="E8" s="196">
        <v>1.04</v>
      </c>
      <c r="F8" s="196">
        <v>1.02</v>
      </c>
      <c r="G8" s="196">
        <v>1.01</v>
      </c>
      <c r="H8" s="196">
        <v>1.01</v>
      </c>
      <c r="I8" s="196">
        <v>1.01</v>
      </c>
      <c r="J8" s="196">
        <v>1.03</v>
      </c>
      <c r="K8" s="196">
        <v>1.04</v>
      </c>
      <c r="L8" s="196">
        <v>1.06</v>
      </c>
      <c r="M8" s="196">
        <v>1.08</v>
      </c>
      <c r="N8" s="196">
        <v>1.07</v>
      </c>
    </row>
    <row r="9" spans="1:14" x14ac:dyDescent="0.2">
      <c r="A9" s="280">
        <v>35</v>
      </c>
      <c r="B9" s="196">
        <v>10</v>
      </c>
      <c r="C9" s="196">
        <v>1.1200000000000001</v>
      </c>
      <c r="D9" s="196">
        <v>1.1000000000000001</v>
      </c>
      <c r="E9" s="196">
        <v>1.07</v>
      </c>
      <c r="F9" s="196">
        <v>1.04</v>
      </c>
      <c r="G9" s="196">
        <v>1.02</v>
      </c>
      <c r="H9" s="196">
        <v>1.01</v>
      </c>
      <c r="I9" s="196">
        <v>1.02</v>
      </c>
      <c r="J9" s="196">
        <v>1.04</v>
      </c>
      <c r="K9" s="196">
        <v>1.08</v>
      </c>
      <c r="L9" s="196">
        <v>1.1200000000000001</v>
      </c>
      <c r="M9" s="196">
        <v>1.1499999999999999</v>
      </c>
      <c r="N9" s="196">
        <v>1.1399999999999999</v>
      </c>
    </row>
    <row r="10" spans="1:14" x14ac:dyDescent="0.2">
      <c r="A10" s="280">
        <v>35</v>
      </c>
      <c r="B10" s="196">
        <v>15</v>
      </c>
      <c r="C10" s="196">
        <v>1.17</v>
      </c>
      <c r="D10" s="196">
        <v>1.1399999999999999</v>
      </c>
      <c r="E10" s="196">
        <v>1.0900000000000001</v>
      </c>
      <c r="F10" s="196">
        <v>1.05</v>
      </c>
      <c r="G10" s="196">
        <v>1.02</v>
      </c>
      <c r="H10" s="196">
        <v>1</v>
      </c>
      <c r="I10" s="196">
        <v>1.02</v>
      </c>
      <c r="J10" s="196">
        <v>1.05</v>
      </c>
      <c r="K10" s="196">
        <v>1.1100000000000001</v>
      </c>
      <c r="L10" s="196">
        <v>1.17</v>
      </c>
      <c r="M10" s="196">
        <v>1.21</v>
      </c>
      <c r="N10" s="196">
        <v>1.21</v>
      </c>
    </row>
    <row r="11" spans="1:14" x14ac:dyDescent="0.2">
      <c r="A11" s="280">
        <v>35</v>
      </c>
      <c r="B11" s="196">
        <v>20</v>
      </c>
      <c r="C11" s="196">
        <v>1.22</v>
      </c>
      <c r="D11" s="196">
        <v>1.17</v>
      </c>
      <c r="E11" s="196">
        <v>1.1100000000000001</v>
      </c>
      <c r="F11" s="196">
        <v>1.05</v>
      </c>
      <c r="G11" s="196">
        <v>1.01</v>
      </c>
      <c r="H11" s="196">
        <v>0.99</v>
      </c>
      <c r="I11" s="196">
        <v>1.01</v>
      </c>
      <c r="J11" s="196">
        <v>1.06</v>
      </c>
      <c r="K11" s="196">
        <v>1.1299999999999999</v>
      </c>
      <c r="L11" s="196">
        <v>1.22</v>
      </c>
      <c r="M11" s="196">
        <v>1.27</v>
      </c>
      <c r="N11" s="196">
        <v>1.26</v>
      </c>
    </row>
    <row r="12" spans="1:14" x14ac:dyDescent="0.2">
      <c r="A12" s="280">
        <v>35</v>
      </c>
      <c r="B12" s="196">
        <v>25</v>
      </c>
      <c r="C12" s="196">
        <v>1.25</v>
      </c>
      <c r="D12" s="196">
        <v>1.2</v>
      </c>
      <c r="E12" s="196">
        <v>1.1200000000000001</v>
      </c>
      <c r="F12" s="196">
        <v>1.05</v>
      </c>
      <c r="G12" s="196">
        <v>0.99</v>
      </c>
      <c r="H12" s="196">
        <v>0.97</v>
      </c>
      <c r="I12" s="196">
        <v>0.99</v>
      </c>
      <c r="J12" s="196">
        <v>1.05</v>
      </c>
      <c r="K12" s="196">
        <v>1.1499999999999999</v>
      </c>
      <c r="L12" s="196">
        <v>1.25</v>
      </c>
      <c r="M12" s="196">
        <v>1.32</v>
      </c>
      <c r="N12" s="196">
        <v>1.31</v>
      </c>
    </row>
    <row r="13" spans="1:14" x14ac:dyDescent="0.2">
      <c r="A13" s="99">
        <v>35</v>
      </c>
      <c r="B13" s="110">
        <v>30</v>
      </c>
      <c r="C13" s="111">
        <v>1.28</v>
      </c>
      <c r="D13" s="111">
        <v>1.21</v>
      </c>
      <c r="E13" s="111">
        <v>1.1299999999999999</v>
      </c>
      <c r="F13" s="111">
        <v>1.04</v>
      </c>
      <c r="G13" s="111">
        <v>0.97</v>
      </c>
      <c r="H13" s="111">
        <v>0.94</v>
      </c>
      <c r="I13" s="111">
        <v>0.97</v>
      </c>
      <c r="J13" s="111">
        <v>1.04</v>
      </c>
      <c r="K13" s="111">
        <v>1.1499999999999999</v>
      </c>
      <c r="L13" s="111">
        <v>1.28</v>
      </c>
      <c r="M13" s="111">
        <v>1.36</v>
      </c>
      <c r="N13" s="111">
        <v>1.35</v>
      </c>
    </row>
    <row r="14" spans="1:14" x14ac:dyDescent="0.2">
      <c r="A14" s="99">
        <v>35</v>
      </c>
      <c r="B14" s="108">
        <v>35</v>
      </c>
      <c r="C14" s="289">
        <v>1.31</v>
      </c>
      <c r="D14" s="289">
        <v>1.22</v>
      </c>
      <c r="E14" s="289">
        <v>1.1200000000000001</v>
      </c>
      <c r="F14" s="289">
        <v>1.02</v>
      </c>
      <c r="G14" s="289">
        <v>0.94</v>
      </c>
      <c r="H14" s="289">
        <v>0.91</v>
      </c>
      <c r="I14" s="289">
        <v>0.94</v>
      </c>
      <c r="J14" s="289">
        <v>1.02</v>
      </c>
      <c r="K14" s="289">
        <v>1.1499999999999999</v>
      </c>
      <c r="L14" s="289">
        <v>1.29</v>
      </c>
      <c r="M14" s="289">
        <v>1.39</v>
      </c>
      <c r="N14" s="289">
        <v>1.38</v>
      </c>
    </row>
    <row r="15" spans="1:14" x14ac:dyDescent="0.2">
      <c r="A15" s="99">
        <v>35</v>
      </c>
      <c r="B15" s="108">
        <v>40</v>
      </c>
      <c r="C15" s="289">
        <v>1.32</v>
      </c>
      <c r="D15" s="289">
        <v>1.23</v>
      </c>
      <c r="E15" s="289">
        <v>1.1100000000000001</v>
      </c>
      <c r="F15" s="289">
        <v>0.99</v>
      </c>
      <c r="G15" s="289">
        <v>0.9</v>
      </c>
      <c r="H15" s="289">
        <v>0.87</v>
      </c>
      <c r="I15" s="289">
        <v>0.9</v>
      </c>
      <c r="J15" s="289">
        <v>1</v>
      </c>
      <c r="K15" s="289">
        <v>1.1399999999999999</v>
      </c>
      <c r="L15" s="289">
        <v>1.3</v>
      </c>
      <c r="M15" s="289">
        <v>1.41</v>
      </c>
      <c r="N15" s="289">
        <v>1.4</v>
      </c>
    </row>
    <row r="16" spans="1:14" x14ac:dyDescent="0.2">
      <c r="A16" s="99">
        <v>35</v>
      </c>
      <c r="B16" s="110">
        <v>45</v>
      </c>
      <c r="C16" s="111">
        <v>1.33</v>
      </c>
      <c r="D16" s="111">
        <v>1.22</v>
      </c>
      <c r="E16" s="111">
        <v>1.0900000000000001</v>
      </c>
      <c r="F16" s="111">
        <v>0.96</v>
      </c>
      <c r="G16" s="111">
        <v>0.86</v>
      </c>
      <c r="H16" s="111">
        <v>0.82</v>
      </c>
      <c r="I16" s="111">
        <v>0.86</v>
      </c>
      <c r="J16" s="111">
        <v>0.97</v>
      </c>
      <c r="K16" s="111">
        <v>1.1299999999999999</v>
      </c>
      <c r="L16" s="111">
        <v>1.3</v>
      </c>
      <c r="M16" s="111">
        <v>1.42</v>
      </c>
      <c r="N16" s="111">
        <v>1.41</v>
      </c>
    </row>
    <row r="17" spans="1:14" x14ac:dyDescent="0.2">
      <c r="A17" s="99">
        <v>35</v>
      </c>
      <c r="B17" s="196">
        <v>50</v>
      </c>
      <c r="C17" s="289">
        <v>1.32</v>
      </c>
      <c r="D17" s="289">
        <v>1.21</v>
      </c>
      <c r="E17" s="289">
        <v>1.07</v>
      </c>
      <c r="F17" s="289">
        <v>0.92</v>
      </c>
      <c r="G17" s="289">
        <v>0.81</v>
      </c>
      <c r="H17" s="289">
        <v>0.77</v>
      </c>
      <c r="I17" s="289">
        <v>0.81</v>
      </c>
      <c r="J17" s="289">
        <v>0.93</v>
      </c>
      <c r="K17" s="289">
        <v>1.1000000000000001</v>
      </c>
      <c r="L17" s="289">
        <v>1.3</v>
      </c>
      <c r="M17" s="289">
        <v>1.43</v>
      </c>
      <c r="N17" s="289">
        <v>1.42</v>
      </c>
    </row>
    <row r="18" spans="1:14" x14ac:dyDescent="0.2">
      <c r="A18" s="99">
        <v>35</v>
      </c>
      <c r="B18" s="196">
        <v>55</v>
      </c>
      <c r="C18" s="289">
        <v>1.31</v>
      </c>
      <c r="D18" s="289">
        <v>1.19</v>
      </c>
      <c r="E18" s="289">
        <v>1.03</v>
      </c>
      <c r="F18" s="289">
        <v>0.87</v>
      </c>
      <c r="G18" s="289">
        <v>0.76</v>
      </c>
      <c r="H18" s="289">
        <v>0.72</v>
      </c>
      <c r="I18" s="289">
        <v>0.76</v>
      </c>
      <c r="J18" s="289">
        <v>0.88</v>
      </c>
      <c r="K18" s="289">
        <v>1.07</v>
      </c>
      <c r="L18" s="289">
        <v>1.28</v>
      </c>
      <c r="M18" s="289">
        <v>1.42</v>
      </c>
      <c r="N18" s="289">
        <v>1.41</v>
      </c>
    </row>
    <row r="19" spans="1:14" x14ac:dyDescent="0.2">
      <c r="A19" s="99">
        <v>35</v>
      </c>
      <c r="B19" s="110">
        <v>60</v>
      </c>
      <c r="C19" s="111">
        <v>1.29</v>
      </c>
      <c r="D19" s="111">
        <v>1.1599999999999999</v>
      </c>
      <c r="E19" s="111">
        <v>0.99</v>
      </c>
      <c r="F19" s="111">
        <v>0.82</v>
      </c>
      <c r="G19" s="111">
        <v>0.7</v>
      </c>
      <c r="H19" s="111">
        <v>0.66</v>
      </c>
      <c r="I19" s="111">
        <v>0.7</v>
      </c>
      <c r="J19" s="111">
        <v>0.83</v>
      </c>
      <c r="K19" s="111">
        <v>1.03</v>
      </c>
      <c r="L19" s="111">
        <v>1.25</v>
      </c>
      <c r="M19" s="111">
        <v>1.41</v>
      </c>
      <c r="N19" s="111">
        <v>1.4</v>
      </c>
    </row>
    <row r="20" spans="1:14" x14ac:dyDescent="0.2">
      <c r="A20" s="99">
        <v>35</v>
      </c>
      <c r="B20" s="108">
        <v>65</v>
      </c>
      <c r="C20" s="109">
        <v>1.27</v>
      </c>
      <c r="D20" s="109">
        <v>1.1200000000000001</v>
      </c>
      <c r="E20" s="109">
        <v>0.95</v>
      </c>
      <c r="F20" s="109">
        <v>0.77</v>
      </c>
      <c r="G20" s="109">
        <v>0.64</v>
      </c>
      <c r="H20" s="109">
        <v>0.59</v>
      </c>
      <c r="I20" s="109">
        <v>0.64</v>
      </c>
      <c r="J20" s="109">
        <v>0.77</v>
      </c>
      <c r="K20" s="109">
        <v>0.98</v>
      </c>
      <c r="L20" s="109">
        <v>1.22</v>
      </c>
      <c r="M20" s="109">
        <v>1.38</v>
      </c>
      <c r="N20" s="109">
        <v>1.38</v>
      </c>
    </row>
    <row r="21" spans="1:14" x14ac:dyDescent="0.2">
      <c r="A21" s="99">
        <v>35</v>
      </c>
      <c r="B21" s="108">
        <v>70</v>
      </c>
      <c r="C21" s="109">
        <v>1.23</v>
      </c>
      <c r="D21" s="109">
        <v>1.08</v>
      </c>
      <c r="E21" s="109">
        <v>0.9</v>
      </c>
      <c r="F21" s="109">
        <v>0.71</v>
      </c>
      <c r="G21" s="109">
        <v>0.56999999999999995</v>
      </c>
      <c r="H21" s="109">
        <v>0.52</v>
      </c>
      <c r="I21" s="109">
        <v>0.56999999999999995</v>
      </c>
      <c r="J21" s="109">
        <v>0.71</v>
      </c>
      <c r="K21" s="109">
        <v>0.93</v>
      </c>
      <c r="L21" s="109">
        <v>1.18</v>
      </c>
      <c r="M21" s="109">
        <v>1.35</v>
      </c>
      <c r="N21" s="109">
        <v>1.35</v>
      </c>
    </row>
    <row r="22" spans="1:14" x14ac:dyDescent="0.2">
      <c r="A22" s="99">
        <v>35</v>
      </c>
      <c r="B22" s="108">
        <v>75</v>
      </c>
      <c r="C22" s="109">
        <v>1.19</v>
      </c>
      <c r="D22" s="109">
        <v>1.03</v>
      </c>
      <c r="E22" s="109">
        <v>0.84</v>
      </c>
      <c r="F22" s="109">
        <v>0.64</v>
      </c>
      <c r="G22" s="109">
        <v>0.5</v>
      </c>
      <c r="H22" s="109">
        <v>0.45</v>
      </c>
      <c r="I22" s="109">
        <v>0.5</v>
      </c>
      <c r="J22" s="109">
        <v>0.64</v>
      </c>
      <c r="K22" s="109">
        <v>0.87</v>
      </c>
      <c r="L22" s="109">
        <v>1.1299999999999999</v>
      </c>
      <c r="M22" s="109">
        <v>1.31</v>
      </c>
      <c r="N22" s="109">
        <v>1.31</v>
      </c>
    </row>
    <row r="23" spans="1:14" x14ac:dyDescent="0.2">
      <c r="A23" s="99">
        <v>35</v>
      </c>
      <c r="B23" s="108">
        <v>80</v>
      </c>
      <c r="C23" s="109">
        <v>1.1399999999999999</v>
      </c>
      <c r="D23" s="109">
        <v>0.98</v>
      </c>
      <c r="E23" s="109">
        <v>0.78</v>
      </c>
      <c r="F23" s="109">
        <v>0.56999999999999995</v>
      </c>
      <c r="G23" s="109">
        <v>0.43</v>
      </c>
      <c r="H23" s="109">
        <v>0.37</v>
      </c>
      <c r="I23" s="109">
        <v>0.42</v>
      </c>
      <c r="J23" s="109">
        <v>0.56999999999999995</v>
      </c>
      <c r="K23" s="109">
        <v>0.8</v>
      </c>
      <c r="L23" s="109">
        <v>1.07</v>
      </c>
      <c r="M23" s="109">
        <v>1.26</v>
      </c>
      <c r="N23" s="109">
        <v>1.26</v>
      </c>
    </row>
    <row r="24" spans="1:14" x14ac:dyDescent="0.2">
      <c r="A24" s="99">
        <v>35</v>
      </c>
      <c r="B24" s="108">
        <v>85</v>
      </c>
      <c r="C24" s="109">
        <v>1.0900000000000001</v>
      </c>
      <c r="D24" s="109">
        <v>0.92</v>
      </c>
      <c r="E24" s="109">
        <v>0.71</v>
      </c>
      <c r="F24" s="109">
        <v>0.5</v>
      </c>
      <c r="G24" s="109">
        <v>0.35</v>
      </c>
      <c r="H24" s="109">
        <v>0.28999999999999998</v>
      </c>
      <c r="I24" s="109">
        <v>0.34</v>
      </c>
      <c r="J24" s="109">
        <v>0.5</v>
      </c>
      <c r="K24" s="109">
        <v>0.73</v>
      </c>
      <c r="L24" s="109">
        <v>1</v>
      </c>
      <c r="M24" s="109">
        <v>1.2</v>
      </c>
      <c r="N24" s="109">
        <v>1.21</v>
      </c>
    </row>
    <row r="25" spans="1:14" x14ac:dyDescent="0.2">
      <c r="A25" s="100">
        <v>35</v>
      </c>
      <c r="B25" s="112">
        <v>90</v>
      </c>
      <c r="C25" s="113">
        <v>1.02</v>
      </c>
      <c r="D25" s="113">
        <v>0.85</v>
      </c>
      <c r="E25" s="113">
        <v>0.64</v>
      </c>
      <c r="F25" s="113">
        <v>0.42</v>
      </c>
      <c r="G25" s="113">
        <v>0.27</v>
      </c>
      <c r="H25" s="113">
        <v>0.21</v>
      </c>
      <c r="I25" s="113">
        <v>0.26</v>
      </c>
      <c r="J25" s="113">
        <v>0.42</v>
      </c>
      <c r="K25" s="113">
        <v>0.66</v>
      </c>
      <c r="L25" s="113">
        <v>0.93</v>
      </c>
      <c r="M25" s="113">
        <v>1.1299999999999999</v>
      </c>
      <c r="N25" s="113">
        <v>1.1499999999999999</v>
      </c>
    </row>
    <row r="27" spans="1:14" x14ac:dyDescent="0.2">
      <c r="B27" s="103" t="s">
        <v>289</v>
      </c>
      <c r="C27" s="104"/>
      <c r="D27" s="104" t="s">
        <v>217</v>
      </c>
      <c r="E27" s="104"/>
      <c r="F27" s="104"/>
      <c r="G27" s="104"/>
      <c r="H27" s="104"/>
      <c r="I27" s="104"/>
      <c r="J27" s="104"/>
      <c r="K27" s="104"/>
      <c r="L27" s="104"/>
      <c r="M27" s="104"/>
      <c r="N27" s="104"/>
    </row>
    <row r="28" spans="1:14" x14ac:dyDescent="0.2"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</row>
    <row r="29" spans="1:14" x14ac:dyDescent="0.2">
      <c r="A29" s="115" t="s">
        <v>265</v>
      </c>
      <c r="B29" s="106" t="s">
        <v>31</v>
      </c>
      <c r="C29" s="107" t="s">
        <v>191</v>
      </c>
      <c r="D29" s="107" t="s">
        <v>192</v>
      </c>
      <c r="E29" s="107" t="s">
        <v>193</v>
      </c>
      <c r="F29" s="107" t="s">
        <v>194</v>
      </c>
      <c r="G29" s="107" t="s">
        <v>195</v>
      </c>
      <c r="H29" s="107" t="s">
        <v>196</v>
      </c>
      <c r="I29" s="107" t="s">
        <v>197</v>
      </c>
      <c r="J29" s="107" t="s">
        <v>287</v>
      </c>
      <c r="K29" s="107" t="s">
        <v>199</v>
      </c>
      <c r="L29" s="107" t="s">
        <v>288</v>
      </c>
      <c r="M29" s="107" t="s">
        <v>201</v>
      </c>
      <c r="N29" s="107" t="s">
        <v>202</v>
      </c>
    </row>
    <row r="30" spans="1:14" x14ac:dyDescent="0.2">
      <c r="A30" s="98">
        <v>36</v>
      </c>
      <c r="B30" s="108">
        <v>0</v>
      </c>
      <c r="C30" s="109">
        <v>1</v>
      </c>
      <c r="D30" s="109">
        <v>1</v>
      </c>
      <c r="E30" s="109">
        <v>1</v>
      </c>
      <c r="F30" s="109">
        <v>1</v>
      </c>
      <c r="G30" s="109">
        <v>1</v>
      </c>
      <c r="H30" s="109">
        <v>1</v>
      </c>
      <c r="I30" s="109">
        <v>1</v>
      </c>
      <c r="J30" s="109">
        <v>1</v>
      </c>
      <c r="K30" s="109">
        <v>1</v>
      </c>
      <c r="L30" s="109">
        <v>1</v>
      </c>
      <c r="M30" s="109">
        <v>1</v>
      </c>
      <c r="N30" s="109">
        <v>1</v>
      </c>
    </row>
    <row r="31" spans="1:14" x14ac:dyDescent="0.2">
      <c r="A31" s="99">
        <v>36</v>
      </c>
      <c r="B31" s="108">
        <v>5</v>
      </c>
      <c r="C31" s="196">
        <v>1.07</v>
      </c>
      <c r="D31" s="196">
        <v>1.05</v>
      </c>
      <c r="E31" s="196">
        <v>1.04</v>
      </c>
      <c r="F31" s="196">
        <v>1.02</v>
      </c>
      <c r="G31" s="196">
        <v>1.01</v>
      </c>
      <c r="H31" s="196">
        <v>1.01</v>
      </c>
      <c r="I31" s="196">
        <v>1.01</v>
      </c>
      <c r="J31" s="196">
        <v>1.03</v>
      </c>
      <c r="K31" s="196">
        <v>1.05</v>
      </c>
      <c r="L31" s="196">
        <v>1.07</v>
      </c>
      <c r="M31" s="196">
        <v>1.08</v>
      </c>
      <c r="N31" s="196">
        <v>1.08</v>
      </c>
    </row>
    <row r="32" spans="1:14" x14ac:dyDescent="0.2">
      <c r="A32" s="99">
        <v>36</v>
      </c>
      <c r="B32" s="108">
        <v>10</v>
      </c>
      <c r="C32" s="196">
        <v>1.1299999999999999</v>
      </c>
      <c r="D32" s="196">
        <v>1.1000000000000001</v>
      </c>
      <c r="E32" s="196">
        <v>1.07</v>
      </c>
      <c r="F32" s="196">
        <v>1.04</v>
      </c>
      <c r="G32" s="196">
        <v>1.02</v>
      </c>
      <c r="H32" s="196">
        <v>1.01</v>
      </c>
      <c r="I32" s="196">
        <v>1.02</v>
      </c>
      <c r="J32" s="196">
        <v>1.05</v>
      </c>
      <c r="K32" s="196">
        <v>1.08</v>
      </c>
      <c r="L32" s="196">
        <v>1.1299999999999999</v>
      </c>
      <c r="M32" s="196">
        <v>1.1499999999999999</v>
      </c>
      <c r="N32" s="196">
        <v>1.1499999999999999</v>
      </c>
    </row>
    <row r="33" spans="1:14" x14ac:dyDescent="0.2">
      <c r="A33" s="99">
        <v>36</v>
      </c>
      <c r="B33" s="196">
        <v>15</v>
      </c>
      <c r="C33" s="196">
        <v>1.18</v>
      </c>
      <c r="D33" s="196">
        <v>1.1399999999999999</v>
      </c>
      <c r="E33" s="196">
        <v>1.1000000000000001</v>
      </c>
      <c r="F33" s="196">
        <v>1.05</v>
      </c>
      <c r="G33" s="196">
        <v>1.02</v>
      </c>
      <c r="H33" s="196">
        <v>1.01</v>
      </c>
      <c r="I33" s="196">
        <v>1.02</v>
      </c>
      <c r="J33" s="196">
        <v>1.06</v>
      </c>
      <c r="K33" s="196">
        <v>1.1200000000000001</v>
      </c>
      <c r="L33" s="196">
        <v>1.18</v>
      </c>
      <c r="M33" s="196">
        <v>1.21</v>
      </c>
      <c r="N33" s="196">
        <v>1.22</v>
      </c>
    </row>
    <row r="34" spans="1:14" x14ac:dyDescent="0.2">
      <c r="A34" s="99">
        <v>36</v>
      </c>
      <c r="B34" s="108">
        <v>20</v>
      </c>
      <c r="C34" s="196">
        <v>1.22</v>
      </c>
      <c r="D34" s="196">
        <v>1.18</v>
      </c>
      <c r="E34" s="196">
        <v>1.1200000000000001</v>
      </c>
      <c r="F34" s="196">
        <v>1.06</v>
      </c>
      <c r="G34" s="196">
        <v>1.01</v>
      </c>
      <c r="H34" s="196">
        <v>0.99</v>
      </c>
      <c r="I34" s="196">
        <v>1.01</v>
      </c>
      <c r="J34" s="196">
        <v>1.06</v>
      </c>
      <c r="K34" s="196">
        <v>1.1399999999999999</v>
      </c>
      <c r="L34" s="196">
        <v>1.22</v>
      </c>
      <c r="M34" s="196">
        <v>1.28</v>
      </c>
      <c r="N34" s="196">
        <v>1.27</v>
      </c>
    </row>
    <row r="35" spans="1:14" x14ac:dyDescent="0.2">
      <c r="A35" s="99">
        <v>36</v>
      </c>
      <c r="B35" s="108">
        <v>25</v>
      </c>
      <c r="C35" s="196">
        <v>1.26</v>
      </c>
      <c r="D35" s="196">
        <v>1.2</v>
      </c>
      <c r="E35" s="196">
        <v>1.1299999999999999</v>
      </c>
      <c r="F35" s="196">
        <v>1.05</v>
      </c>
      <c r="G35" s="196">
        <v>1</v>
      </c>
      <c r="H35" s="196">
        <v>0.98</v>
      </c>
      <c r="I35" s="196">
        <v>1</v>
      </c>
      <c r="J35" s="196">
        <v>1.06</v>
      </c>
      <c r="K35" s="196">
        <v>1.1599999999999999</v>
      </c>
      <c r="L35" s="196">
        <v>1.26</v>
      </c>
      <c r="M35" s="196">
        <v>1.33</v>
      </c>
      <c r="N35" s="196">
        <v>1.32</v>
      </c>
    </row>
    <row r="36" spans="1:14" x14ac:dyDescent="0.2">
      <c r="A36" s="99">
        <v>36</v>
      </c>
      <c r="B36" s="110">
        <v>30</v>
      </c>
      <c r="C36" s="111">
        <v>1.29</v>
      </c>
      <c r="D36" s="111">
        <v>1.22</v>
      </c>
      <c r="E36" s="111">
        <v>1.1299999999999999</v>
      </c>
      <c r="F36" s="111">
        <v>1.04</v>
      </c>
      <c r="G36" s="111">
        <v>0.98</v>
      </c>
      <c r="H36" s="111">
        <v>0.95</v>
      </c>
      <c r="I36" s="111">
        <v>0.98</v>
      </c>
      <c r="J36" s="111">
        <v>1.05</v>
      </c>
      <c r="K36" s="111">
        <v>1.1599999999999999</v>
      </c>
      <c r="L36" s="111">
        <v>1.29</v>
      </c>
      <c r="M36" s="111">
        <v>1.37</v>
      </c>
      <c r="N36" s="111">
        <v>1.36</v>
      </c>
    </row>
    <row r="37" spans="1:14" x14ac:dyDescent="0.2">
      <c r="A37" s="99">
        <v>36</v>
      </c>
      <c r="B37" s="108">
        <v>35</v>
      </c>
      <c r="C37" s="289">
        <v>1.32</v>
      </c>
      <c r="D37" s="289">
        <v>1.23</v>
      </c>
      <c r="E37" s="289">
        <v>1.1299999999999999</v>
      </c>
      <c r="F37" s="289">
        <v>1.02</v>
      </c>
      <c r="G37" s="289">
        <v>0.95</v>
      </c>
      <c r="H37" s="289">
        <v>0.92</v>
      </c>
      <c r="I37" s="289">
        <v>0.95</v>
      </c>
      <c r="J37" s="289">
        <v>1.03</v>
      </c>
      <c r="K37" s="289">
        <v>1.1599999999999999</v>
      </c>
      <c r="L37" s="289">
        <v>1.31</v>
      </c>
      <c r="M37" s="289">
        <v>1.4</v>
      </c>
      <c r="N37" s="289">
        <v>1.39</v>
      </c>
    </row>
    <row r="38" spans="1:14" x14ac:dyDescent="0.2">
      <c r="A38" s="99">
        <v>36</v>
      </c>
      <c r="B38" s="108">
        <v>40</v>
      </c>
      <c r="C38" s="289">
        <v>1.33</v>
      </c>
      <c r="D38" s="289">
        <v>1.24</v>
      </c>
      <c r="E38" s="289">
        <v>1.1200000000000001</v>
      </c>
      <c r="F38" s="289">
        <v>1</v>
      </c>
      <c r="G38" s="289">
        <v>0.91</v>
      </c>
      <c r="H38" s="289">
        <v>0.88</v>
      </c>
      <c r="I38" s="289">
        <v>0.91</v>
      </c>
      <c r="J38" s="289">
        <v>1.01</v>
      </c>
      <c r="K38" s="289">
        <v>1.1599999999999999</v>
      </c>
      <c r="L38" s="289">
        <v>1.32</v>
      </c>
      <c r="M38" s="289">
        <v>1.43</v>
      </c>
      <c r="N38" s="289">
        <v>1.41</v>
      </c>
    </row>
    <row r="39" spans="1:14" x14ac:dyDescent="0.2">
      <c r="A39" s="99">
        <v>36</v>
      </c>
      <c r="B39" s="110">
        <v>45</v>
      </c>
      <c r="C39" s="111">
        <v>1.34</v>
      </c>
      <c r="D39" s="111">
        <v>1.23</v>
      </c>
      <c r="E39" s="111">
        <v>1.1000000000000001</v>
      </c>
      <c r="F39" s="111">
        <v>0.97</v>
      </c>
      <c r="G39" s="111">
        <v>0.87</v>
      </c>
      <c r="H39" s="111">
        <v>0.84</v>
      </c>
      <c r="I39" s="111">
        <v>0.87</v>
      </c>
      <c r="J39" s="111">
        <v>0.98</v>
      </c>
      <c r="K39" s="111">
        <v>1.1399999999999999</v>
      </c>
      <c r="L39" s="111">
        <v>1.32</v>
      </c>
      <c r="M39" s="111">
        <v>1.44</v>
      </c>
      <c r="N39" s="111">
        <v>1.43</v>
      </c>
    </row>
    <row r="40" spans="1:14" x14ac:dyDescent="0.2">
      <c r="A40" s="99">
        <v>36</v>
      </c>
      <c r="B40" s="196">
        <v>50</v>
      </c>
      <c r="C40" s="289">
        <v>1.34</v>
      </c>
      <c r="D40" s="289">
        <v>1.22</v>
      </c>
      <c r="E40" s="289">
        <v>1.08</v>
      </c>
      <c r="F40" s="289">
        <v>0.93</v>
      </c>
      <c r="G40" s="289">
        <v>0.82</v>
      </c>
      <c r="H40" s="289">
        <v>0.78</v>
      </c>
      <c r="I40" s="289">
        <v>0.82</v>
      </c>
      <c r="J40" s="289">
        <v>0.94</v>
      </c>
      <c r="K40" s="289">
        <v>1.1200000000000001</v>
      </c>
      <c r="L40" s="289">
        <v>1.31</v>
      </c>
      <c r="M40" s="289">
        <v>1.45</v>
      </c>
      <c r="N40" s="289">
        <v>1.44</v>
      </c>
    </row>
    <row r="41" spans="1:14" x14ac:dyDescent="0.2">
      <c r="A41" s="99">
        <v>36</v>
      </c>
      <c r="B41" s="196">
        <v>55</v>
      </c>
      <c r="C41" s="289">
        <v>1.33</v>
      </c>
      <c r="D41" s="289">
        <v>1.2</v>
      </c>
      <c r="E41" s="289">
        <v>1.05</v>
      </c>
      <c r="F41" s="289">
        <v>0.89</v>
      </c>
      <c r="G41" s="289">
        <v>0.77</v>
      </c>
      <c r="H41" s="289">
        <v>0.73</v>
      </c>
      <c r="I41" s="289">
        <v>0.77</v>
      </c>
      <c r="J41" s="289">
        <v>0.9</v>
      </c>
      <c r="K41" s="289">
        <v>1.08</v>
      </c>
      <c r="L41" s="289">
        <v>1.3</v>
      </c>
      <c r="M41" s="289">
        <v>1.44</v>
      </c>
      <c r="N41" s="289">
        <v>1.43</v>
      </c>
    </row>
    <row r="42" spans="1:14" x14ac:dyDescent="0.2">
      <c r="A42" s="99">
        <v>36</v>
      </c>
      <c r="B42" s="110">
        <v>60</v>
      </c>
      <c r="C42" s="111">
        <v>1.31</v>
      </c>
      <c r="D42" s="111">
        <v>1.17</v>
      </c>
      <c r="E42" s="111">
        <v>1.01</v>
      </c>
      <c r="F42" s="111">
        <v>0.84</v>
      </c>
      <c r="G42" s="111">
        <v>0.71</v>
      </c>
      <c r="H42" s="111">
        <v>0.67</v>
      </c>
      <c r="I42" s="111">
        <v>0.71</v>
      </c>
      <c r="J42" s="111">
        <v>0.84</v>
      </c>
      <c r="K42" s="111">
        <v>1.05</v>
      </c>
      <c r="L42" s="111">
        <v>1.27</v>
      </c>
      <c r="M42" s="111">
        <v>1.43</v>
      </c>
      <c r="N42" s="111">
        <v>1.42</v>
      </c>
    </row>
    <row r="43" spans="1:14" x14ac:dyDescent="0.2">
      <c r="A43" s="99">
        <v>36</v>
      </c>
      <c r="B43" s="108">
        <v>65</v>
      </c>
      <c r="C43" s="109">
        <v>1.29</v>
      </c>
      <c r="D43" s="109">
        <v>1.1399999999999999</v>
      </c>
      <c r="E43" s="109">
        <v>0.96</v>
      </c>
      <c r="F43" s="109">
        <v>0.78</v>
      </c>
      <c r="G43" s="109">
        <v>0.65</v>
      </c>
      <c r="H43" s="109">
        <v>0.6</v>
      </c>
      <c r="I43" s="109">
        <v>0.65</v>
      </c>
      <c r="J43" s="109">
        <v>0.79</v>
      </c>
      <c r="K43" s="109">
        <v>1</v>
      </c>
      <c r="L43" s="109">
        <v>1.24</v>
      </c>
      <c r="M43" s="109">
        <v>1.41</v>
      </c>
      <c r="N43" s="109">
        <v>1.4</v>
      </c>
    </row>
    <row r="44" spans="1:14" x14ac:dyDescent="0.2">
      <c r="A44" s="99">
        <v>36</v>
      </c>
      <c r="B44" s="108">
        <v>70</v>
      </c>
      <c r="C44" s="109">
        <v>1.25</v>
      </c>
      <c r="D44" s="109">
        <v>1.1000000000000001</v>
      </c>
      <c r="E44" s="109">
        <v>0.91</v>
      </c>
      <c r="F44" s="109">
        <v>0.72</v>
      </c>
      <c r="G44" s="109">
        <v>0.59</v>
      </c>
      <c r="H44" s="109">
        <v>0.53</v>
      </c>
      <c r="I44" s="109">
        <v>0.57999999999999996</v>
      </c>
      <c r="J44" s="109">
        <v>0.73</v>
      </c>
      <c r="K44" s="109">
        <v>0.95</v>
      </c>
      <c r="L44" s="109">
        <v>1.2</v>
      </c>
      <c r="M44" s="109">
        <v>1.37</v>
      </c>
      <c r="N44" s="109">
        <v>1.37</v>
      </c>
    </row>
    <row r="45" spans="1:14" x14ac:dyDescent="0.2">
      <c r="A45" s="99">
        <v>36</v>
      </c>
      <c r="B45" s="108">
        <v>75</v>
      </c>
      <c r="C45" s="109">
        <v>1.21</v>
      </c>
      <c r="D45" s="109">
        <v>1.05</v>
      </c>
      <c r="E45" s="109">
        <v>0.85</v>
      </c>
      <c r="F45" s="109">
        <v>0.66</v>
      </c>
      <c r="G45" s="109">
        <v>0.52</v>
      </c>
      <c r="H45" s="109">
        <v>0.46</v>
      </c>
      <c r="I45" s="109">
        <v>0.51</v>
      </c>
      <c r="J45" s="109">
        <v>0.66</v>
      </c>
      <c r="K45" s="109">
        <v>0.89</v>
      </c>
      <c r="L45" s="109">
        <v>1.1499999999999999</v>
      </c>
      <c r="M45" s="109">
        <v>1.33</v>
      </c>
      <c r="N45" s="109">
        <v>1.33</v>
      </c>
    </row>
    <row r="46" spans="1:14" x14ac:dyDescent="0.2">
      <c r="A46" s="99">
        <v>36</v>
      </c>
      <c r="B46" s="108">
        <v>80</v>
      </c>
      <c r="C46" s="109">
        <v>1.1599999999999999</v>
      </c>
      <c r="D46" s="109">
        <v>1</v>
      </c>
      <c r="E46" s="109">
        <v>0.79</v>
      </c>
      <c r="F46" s="109">
        <v>0.59</v>
      </c>
      <c r="G46" s="109">
        <v>0.44</v>
      </c>
      <c r="H46" s="109">
        <v>0.39</v>
      </c>
      <c r="I46" s="109">
        <v>0.44</v>
      </c>
      <c r="J46" s="109">
        <v>0.59</v>
      </c>
      <c r="K46" s="109">
        <v>0.82</v>
      </c>
      <c r="L46" s="109">
        <v>1.0900000000000001</v>
      </c>
      <c r="M46" s="109">
        <v>1.28</v>
      </c>
      <c r="N46" s="109">
        <v>1.29</v>
      </c>
    </row>
    <row r="47" spans="1:14" x14ac:dyDescent="0.2">
      <c r="A47" s="99">
        <v>36</v>
      </c>
      <c r="B47" s="108">
        <v>85</v>
      </c>
      <c r="C47" s="109">
        <v>1.1100000000000001</v>
      </c>
      <c r="D47" s="109">
        <v>0.94</v>
      </c>
      <c r="E47" s="109">
        <v>0.73</v>
      </c>
      <c r="F47" s="109">
        <v>0.52</v>
      </c>
      <c r="G47" s="109">
        <v>0.37</v>
      </c>
      <c r="H47" s="109">
        <v>0.31</v>
      </c>
      <c r="I47" s="109">
        <v>0.36</v>
      </c>
      <c r="J47" s="109">
        <v>0.51</v>
      </c>
      <c r="K47" s="109">
        <v>0.75</v>
      </c>
      <c r="L47" s="109">
        <v>1.03</v>
      </c>
      <c r="M47" s="109">
        <v>1.23</v>
      </c>
      <c r="N47" s="109">
        <v>1.23</v>
      </c>
    </row>
    <row r="48" spans="1:14" x14ac:dyDescent="0.2">
      <c r="A48" s="100">
        <v>36</v>
      </c>
      <c r="B48" s="112">
        <v>90</v>
      </c>
      <c r="C48" s="113">
        <v>1.05</v>
      </c>
      <c r="D48" s="113">
        <v>0.87</v>
      </c>
      <c r="E48" s="113">
        <v>0.65</v>
      </c>
      <c r="F48" s="113">
        <v>0.44</v>
      </c>
      <c r="G48" s="113">
        <v>0.28999999999999998</v>
      </c>
      <c r="H48" s="113">
        <v>0.23</v>
      </c>
      <c r="I48" s="113">
        <v>0.28000000000000003</v>
      </c>
      <c r="J48" s="113">
        <v>0.44</v>
      </c>
      <c r="K48" s="113">
        <v>0.68</v>
      </c>
      <c r="L48" s="113">
        <v>0.96</v>
      </c>
      <c r="M48" s="113">
        <v>1.1599999999999999</v>
      </c>
      <c r="N48" s="113">
        <v>1.17</v>
      </c>
    </row>
    <row r="50" spans="1:14" x14ac:dyDescent="0.2">
      <c r="B50" s="103" t="s">
        <v>291</v>
      </c>
      <c r="C50" s="104"/>
      <c r="D50" s="104" t="s">
        <v>292</v>
      </c>
      <c r="E50" s="104"/>
      <c r="F50" s="104"/>
      <c r="G50" s="104"/>
      <c r="H50" s="104"/>
      <c r="I50" s="104"/>
      <c r="J50" s="104"/>
      <c r="K50" s="104"/>
      <c r="L50" s="104"/>
      <c r="M50" s="104"/>
      <c r="N50" s="104"/>
    </row>
    <row r="51" spans="1:14" x14ac:dyDescent="0.2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</row>
    <row r="52" spans="1:14" x14ac:dyDescent="0.2">
      <c r="A52" s="115" t="s">
        <v>265</v>
      </c>
      <c r="B52" s="106" t="s">
        <v>31</v>
      </c>
      <c r="C52" s="107" t="s">
        <v>191</v>
      </c>
      <c r="D52" s="107" t="s">
        <v>192</v>
      </c>
      <c r="E52" s="107" t="s">
        <v>193</v>
      </c>
      <c r="F52" s="107" t="s">
        <v>194</v>
      </c>
      <c r="G52" s="107" t="s">
        <v>195</v>
      </c>
      <c r="H52" s="107" t="s">
        <v>196</v>
      </c>
      <c r="I52" s="107" t="s">
        <v>197</v>
      </c>
      <c r="J52" s="107" t="s">
        <v>287</v>
      </c>
      <c r="K52" s="107" t="s">
        <v>199</v>
      </c>
      <c r="L52" s="107" t="s">
        <v>288</v>
      </c>
      <c r="M52" s="107" t="s">
        <v>201</v>
      </c>
      <c r="N52" s="107" t="s">
        <v>202</v>
      </c>
    </row>
    <row r="53" spans="1:14" x14ac:dyDescent="0.2">
      <c r="A53" s="98">
        <v>37</v>
      </c>
      <c r="B53" s="108">
        <v>0</v>
      </c>
      <c r="C53" s="109">
        <v>1</v>
      </c>
      <c r="D53" s="109">
        <v>1</v>
      </c>
      <c r="E53" s="109">
        <v>1</v>
      </c>
      <c r="F53" s="109">
        <v>1</v>
      </c>
      <c r="G53" s="109">
        <v>1</v>
      </c>
      <c r="H53" s="109">
        <v>1</v>
      </c>
      <c r="I53" s="109">
        <v>1</v>
      </c>
      <c r="J53" s="109">
        <v>1</v>
      </c>
      <c r="K53" s="109">
        <v>1</v>
      </c>
      <c r="L53" s="109">
        <v>1</v>
      </c>
      <c r="M53" s="109">
        <v>1</v>
      </c>
      <c r="N53" s="109">
        <v>1</v>
      </c>
    </row>
    <row r="54" spans="1:14" x14ac:dyDescent="0.2">
      <c r="A54" s="99">
        <v>37</v>
      </c>
      <c r="B54" s="108">
        <v>5</v>
      </c>
      <c r="C54" s="109">
        <v>1.07</v>
      </c>
      <c r="D54" s="109">
        <v>1.06</v>
      </c>
      <c r="E54" s="109">
        <v>1.04</v>
      </c>
      <c r="F54" s="109">
        <v>1.03</v>
      </c>
      <c r="G54" s="109">
        <v>1.01</v>
      </c>
      <c r="H54" s="109">
        <v>1.01</v>
      </c>
      <c r="I54" s="109">
        <v>1.02</v>
      </c>
      <c r="J54" s="109">
        <v>1.03</v>
      </c>
      <c r="K54" s="109">
        <v>1.05</v>
      </c>
      <c r="L54" s="109">
        <v>1.07</v>
      </c>
      <c r="M54" s="109">
        <v>1.08</v>
      </c>
      <c r="N54" s="109">
        <v>1.08</v>
      </c>
    </row>
    <row r="55" spans="1:14" x14ac:dyDescent="0.2">
      <c r="A55" s="99">
        <v>37</v>
      </c>
      <c r="B55" s="108">
        <v>10</v>
      </c>
      <c r="C55" s="109">
        <v>1.1299999999999999</v>
      </c>
      <c r="D55" s="109">
        <v>1.1000000000000001</v>
      </c>
      <c r="E55" s="109">
        <v>1.08</v>
      </c>
      <c r="F55" s="109">
        <v>1.05</v>
      </c>
      <c r="G55" s="109">
        <v>1.02</v>
      </c>
      <c r="H55" s="109">
        <v>1.01</v>
      </c>
      <c r="I55" s="109">
        <v>1.02</v>
      </c>
      <c r="J55" s="109">
        <v>1.05</v>
      </c>
      <c r="K55" s="109">
        <v>1.0900000000000001</v>
      </c>
      <c r="L55" s="109">
        <v>1.1299999999999999</v>
      </c>
      <c r="M55" s="109">
        <v>1.1599999999999999</v>
      </c>
      <c r="N55" s="109">
        <v>1.1499999999999999</v>
      </c>
    </row>
    <row r="56" spans="1:14" x14ac:dyDescent="0.2">
      <c r="A56" s="99">
        <v>37</v>
      </c>
      <c r="B56" s="108">
        <v>15</v>
      </c>
      <c r="C56" s="109">
        <v>1.18</v>
      </c>
      <c r="D56" s="109">
        <v>1.1499999999999999</v>
      </c>
      <c r="E56" s="109">
        <v>1.1000000000000001</v>
      </c>
      <c r="F56" s="109">
        <v>1.06</v>
      </c>
      <c r="G56" s="109">
        <v>1.02</v>
      </c>
      <c r="H56" s="109">
        <v>1.01</v>
      </c>
      <c r="I56" s="109">
        <v>1.0209999999999999</v>
      </c>
      <c r="J56" s="109">
        <v>1.06</v>
      </c>
      <c r="K56" s="109">
        <v>1.1200000000000001</v>
      </c>
      <c r="L56" s="109">
        <v>1.19</v>
      </c>
      <c r="M56" s="109">
        <v>1.23</v>
      </c>
      <c r="N56" s="109">
        <v>1.22</v>
      </c>
    </row>
    <row r="57" spans="1:14" x14ac:dyDescent="0.2">
      <c r="A57" s="99">
        <v>37</v>
      </c>
      <c r="B57" s="108">
        <v>20</v>
      </c>
      <c r="C57" s="109">
        <v>1.23</v>
      </c>
      <c r="D57" s="109">
        <v>1.18</v>
      </c>
      <c r="E57" s="109">
        <v>1.1200000000000001</v>
      </c>
      <c r="F57" s="109">
        <v>1.06</v>
      </c>
      <c r="G57" s="109">
        <v>1.02</v>
      </c>
      <c r="H57" s="109">
        <v>1</v>
      </c>
      <c r="I57" s="109">
        <v>1.02</v>
      </c>
      <c r="J57" s="109">
        <v>1.07</v>
      </c>
      <c r="K57" s="109">
        <v>1.1499999999999999</v>
      </c>
      <c r="L57" s="109">
        <v>1.23</v>
      </c>
      <c r="M57" s="109">
        <v>1.0900000000000001</v>
      </c>
      <c r="N57" s="109">
        <v>1.28</v>
      </c>
    </row>
    <row r="58" spans="1:14" x14ac:dyDescent="0.2">
      <c r="A58" s="99">
        <v>37</v>
      </c>
      <c r="B58" s="108">
        <v>25</v>
      </c>
      <c r="C58" s="109">
        <v>1.27</v>
      </c>
      <c r="D58" s="109">
        <v>1.21</v>
      </c>
      <c r="E58" s="109">
        <v>1.1399999999999999</v>
      </c>
      <c r="F58" s="109">
        <v>1.06</v>
      </c>
      <c r="G58" s="109">
        <v>1</v>
      </c>
      <c r="H58" s="109">
        <v>0.98</v>
      </c>
      <c r="I58" s="109">
        <v>1</v>
      </c>
      <c r="J58" s="109">
        <v>1.07</v>
      </c>
      <c r="K58" s="109">
        <v>1.1599999999999999</v>
      </c>
      <c r="L58" s="109">
        <v>1.27</v>
      </c>
      <c r="M58" s="109">
        <v>1.34</v>
      </c>
      <c r="N58" s="109">
        <v>1.33</v>
      </c>
    </row>
    <row r="59" spans="1:14" x14ac:dyDescent="0.2">
      <c r="A59" s="99">
        <v>37</v>
      </c>
      <c r="B59" s="110">
        <v>30</v>
      </c>
      <c r="C59" s="111">
        <v>1.3</v>
      </c>
      <c r="D59" s="111">
        <v>1.23</v>
      </c>
      <c r="E59" s="111">
        <v>1.1399999999999999</v>
      </c>
      <c r="F59" s="111">
        <v>1.05</v>
      </c>
      <c r="G59" s="111">
        <v>0.98</v>
      </c>
      <c r="H59" s="111">
        <v>0.96</v>
      </c>
      <c r="I59" s="111">
        <v>0.98</v>
      </c>
      <c r="J59" s="111">
        <v>1.06</v>
      </c>
      <c r="K59" s="111">
        <v>1.17</v>
      </c>
      <c r="L59" s="111">
        <v>1.3</v>
      </c>
      <c r="M59" s="111">
        <v>1.38</v>
      </c>
      <c r="N59" s="111">
        <v>1.37</v>
      </c>
    </row>
    <row r="60" spans="1:14" x14ac:dyDescent="0.2">
      <c r="A60" s="99">
        <v>37</v>
      </c>
      <c r="B60" s="108">
        <v>35</v>
      </c>
      <c r="C60" s="109">
        <v>1.33</v>
      </c>
      <c r="D60" s="109">
        <v>1.24</v>
      </c>
      <c r="E60" s="109">
        <v>1.1399999999999999</v>
      </c>
      <c r="F60" s="109">
        <v>1.03</v>
      </c>
      <c r="G60" s="109">
        <v>0.96</v>
      </c>
      <c r="H60" s="109">
        <v>0.93</v>
      </c>
      <c r="I60" s="109">
        <v>0.96</v>
      </c>
      <c r="J60" s="109">
        <v>1.04</v>
      </c>
      <c r="K60" s="109">
        <v>1.17</v>
      </c>
      <c r="L60" s="109">
        <v>1.32</v>
      </c>
      <c r="M60" s="109">
        <v>1.42</v>
      </c>
      <c r="N60" s="109">
        <v>1.41</v>
      </c>
    </row>
    <row r="61" spans="1:14" x14ac:dyDescent="0.2">
      <c r="A61" s="99">
        <v>37</v>
      </c>
      <c r="B61" s="108">
        <v>40</v>
      </c>
      <c r="C61" s="109">
        <v>1.35</v>
      </c>
      <c r="D61" s="109">
        <v>1.25</v>
      </c>
      <c r="E61" s="109">
        <v>1.1299999999999999</v>
      </c>
      <c r="F61" s="109">
        <v>1.01</v>
      </c>
      <c r="G61" s="109">
        <v>0.92</v>
      </c>
      <c r="H61" s="109">
        <v>0.89</v>
      </c>
      <c r="I61" s="109">
        <v>0.92</v>
      </c>
      <c r="J61" s="109">
        <v>1.02</v>
      </c>
      <c r="K61" s="109">
        <v>1.17</v>
      </c>
      <c r="L61" s="109">
        <v>1.34</v>
      </c>
      <c r="M61" s="109">
        <v>1.44</v>
      </c>
      <c r="N61" s="109">
        <v>1.43</v>
      </c>
    </row>
    <row r="62" spans="1:14" x14ac:dyDescent="0.2">
      <c r="A62" s="99">
        <v>37</v>
      </c>
      <c r="B62" s="110">
        <v>45</v>
      </c>
      <c r="C62" s="111">
        <v>1.35</v>
      </c>
      <c r="D62" s="111">
        <v>1.25</v>
      </c>
      <c r="E62" s="111">
        <v>1.1100000000000001</v>
      </c>
      <c r="F62" s="111">
        <v>0.98</v>
      </c>
      <c r="G62" s="111">
        <v>0.88</v>
      </c>
      <c r="H62" s="111">
        <v>0.85</v>
      </c>
      <c r="I62" s="111">
        <v>0.88</v>
      </c>
      <c r="J62" s="111">
        <v>0.99</v>
      </c>
      <c r="K62" s="111">
        <v>1.1499999999999999</v>
      </c>
      <c r="L62" s="111">
        <v>1.34</v>
      </c>
      <c r="M62" s="111">
        <v>1.46</v>
      </c>
      <c r="N62" s="111">
        <v>1.45</v>
      </c>
    </row>
    <row r="63" spans="1:14" x14ac:dyDescent="0.2">
      <c r="A63" s="99">
        <v>37</v>
      </c>
      <c r="B63" s="196">
        <v>50</v>
      </c>
      <c r="C63" s="289">
        <v>1.35</v>
      </c>
      <c r="D63" s="289">
        <v>1.24</v>
      </c>
      <c r="E63" s="289">
        <v>1.0900000000000001</v>
      </c>
      <c r="F63" s="289">
        <v>0.94</v>
      </c>
      <c r="G63" s="289">
        <v>0.84</v>
      </c>
      <c r="H63" s="289">
        <v>0.8</v>
      </c>
      <c r="I63" s="289">
        <v>0.84</v>
      </c>
      <c r="J63" s="289">
        <v>0.95</v>
      </c>
      <c r="K63" s="289">
        <v>1.1299999999999999</v>
      </c>
      <c r="L63" s="289">
        <v>1.33</v>
      </c>
      <c r="M63" s="289">
        <v>1.47</v>
      </c>
      <c r="N63" s="289">
        <v>1.46</v>
      </c>
    </row>
    <row r="64" spans="1:14" x14ac:dyDescent="0.2">
      <c r="A64" s="99">
        <v>37</v>
      </c>
      <c r="B64" s="196">
        <v>55</v>
      </c>
      <c r="C64" s="289">
        <v>1.35</v>
      </c>
      <c r="D64" s="289">
        <v>1.22</v>
      </c>
      <c r="E64" s="289">
        <v>1.06</v>
      </c>
      <c r="F64" s="289">
        <v>0.9</v>
      </c>
      <c r="G64" s="289">
        <v>0.78</v>
      </c>
      <c r="H64" s="289">
        <v>0.74</v>
      </c>
      <c r="I64" s="289">
        <v>0.78</v>
      </c>
      <c r="J64" s="289">
        <v>0.91</v>
      </c>
      <c r="K64" s="289">
        <v>1.1000000000000001</v>
      </c>
      <c r="L64" s="289">
        <v>1.32</v>
      </c>
      <c r="M64" s="289">
        <v>1.47</v>
      </c>
      <c r="N64" s="289">
        <v>1.45</v>
      </c>
    </row>
    <row r="65" spans="1:14" x14ac:dyDescent="0.2">
      <c r="A65" s="99">
        <v>37</v>
      </c>
      <c r="B65" s="110">
        <v>60</v>
      </c>
      <c r="C65" s="111">
        <v>1.33</v>
      </c>
      <c r="D65" s="111">
        <v>1.19</v>
      </c>
      <c r="E65" s="111">
        <v>1.02</v>
      </c>
      <c r="F65" s="111">
        <v>0.85</v>
      </c>
      <c r="G65" s="111">
        <v>0.73</v>
      </c>
      <c r="H65" s="111">
        <v>0.68</v>
      </c>
      <c r="I65" s="111">
        <v>0.73</v>
      </c>
      <c r="J65" s="111">
        <v>0.86</v>
      </c>
      <c r="K65" s="111">
        <v>1.06</v>
      </c>
      <c r="L65" s="111">
        <v>1.3</v>
      </c>
      <c r="M65" s="111">
        <v>1.45</v>
      </c>
      <c r="N65" s="111">
        <v>1.44</v>
      </c>
    </row>
    <row r="66" spans="1:14" x14ac:dyDescent="0.2">
      <c r="A66" s="99">
        <v>37</v>
      </c>
      <c r="B66" s="108">
        <v>65</v>
      </c>
      <c r="C66" s="109">
        <v>1.31</v>
      </c>
      <c r="D66" s="109">
        <v>1.1599999999999999</v>
      </c>
      <c r="E66" s="109">
        <v>0.98</v>
      </c>
      <c r="F66" s="109">
        <v>0.8</v>
      </c>
      <c r="G66" s="109">
        <v>0.67</v>
      </c>
      <c r="H66" s="109">
        <v>0.62</v>
      </c>
      <c r="I66" s="109">
        <v>0.66</v>
      </c>
      <c r="J66" s="109">
        <v>0.8</v>
      </c>
      <c r="K66" s="109">
        <v>1.02</v>
      </c>
      <c r="L66" s="109">
        <v>1.26</v>
      </c>
      <c r="M66" s="109">
        <v>1.43</v>
      </c>
      <c r="N66" s="109">
        <v>1.42</v>
      </c>
    </row>
    <row r="67" spans="1:14" x14ac:dyDescent="0.2">
      <c r="A67" s="99">
        <v>37</v>
      </c>
      <c r="B67" s="108">
        <v>70</v>
      </c>
      <c r="C67" s="109">
        <v>1.27</v>
      </c>
      <c r="D67" s="109">
        <v>1.1200000000000001</v>
      </c>
      <c r="E67" s="109">
        <v>0.93</v>
      </c>
      <c r="F67" s="109">
        <v>0.74</v>
      </c>
      <c r="G67" s="109">
        <v>0.6</v>
      </c>
      <c r="H67" s="109">
        <v>0.55000000000000004</v>
      </c>
      <c r="I67" s="109">
        <v>0.6</v>
      </c>
      <c r="J67" s="109">
        <v>0.74</v>
      </c>
      <c r="K67" s="109">
        <v>0.97</v>
      </c>
      <c r="L67" s="109">
        <v>1.22</v>
      </c>
      <c r="M67" s="109">
        <v>1.4</v>
      </c>
      <c r="N67" s="109">
        <v>1.4</v>
      </c>
    </row>
    <row r="68" spans="1:14" x14ac:dyDescent="0.2">
      <c r="A68" s="99">
        <v>37</v>
      </c>
      <c r="B68" s="108">
        <v>75</v>
      </c>
      <c r="C68" s="109">
        <v>1.23</v>
      </c>
      <c r="D68" s="109">
        <v>1.07</v>
      </c>
      <c r="E68" s="109">
        <v>0.87</v>
      </c>
      <c r="F68" s="109">
        <v>0.67</v>
      </c>
      <c r="G68" s="109">
        <v>0.53</v>
      </c>
      <c r="H68" s="109">
        <v>0.48</v>
      </c>
      <c r="I68" s="109">
        <v>0.53</v>
      </c>
      <c r="J68" s="109">
        <v>0.68</v>
      </c>
      <c r="K68" s="109">
        <v>0.91</v>
      </c>
      <c r="L68" s="109">
        <v>1.17</v>
      </c>
      <c r="M68" s="109">
        <v>1.36</v>
      </c>
      <c r="N68" s="109">
        <v>1.36</v>
      </c>
    </row>
    <row r="69" spans="1:14" x14ac:dyDescent="0.2">
      <c r="A69" s="99">
        <v>37</v>
      </c>
      <c r="B69" s="108">
        <v>80</v>
      </c>
      <c r="C69" s="109">
        <v>1.19</v>
      </c>
      <c r="D69" s="109">
        <v>1.02</v>
      </c>
      <c r="E69" s="109">
        <v>0.81</v>
      </c>
      <c r="F69" s="109">
        <v>0.6</v>
      </c>
      <c r="G69" s="109">
        <v>0.46</v>
      </c>
      <c r="H69" s="109">
        <v>0.4</v>
      </c>
      <c r="I69" s="109">
        <v>0.45</v>
      </c>
      <c r="J69" s="109">
        <v>0.6</v>
      </c>
      <c r="K69" s="109">
        <v>0.84</v>
      </c>
      <c r="L69" s="109">
        <v>1.1200000000000001</v>
      </c>
      <c r="M69" s="109">
        <v>1.31</v>
      </c>
      <c r="N69" s="109">
        <v>1.31</v>
      </c>
    </row>
    <row r="70" spans="1:14" x14ac:dyDescent="0.2">
      <c r="A70" s="99">
        <v>37</v>
      </c>
      <c r="B70" s="108">
        <v>85</v>
      </c>
      <c r="C70" s="109">
        <v>1.1299999999999999</v>
      </c>
      <c r="D70" s="109">
        <v>0.96</v>
      </c>
      <c r="E70" s="109">
        <v>0.74</v>
      </c>
      <c r="F70" s="109">
        <v>0.53</v>
      </c>
      <c r="G70" s="109">
        <v>0.38</v>
      </c>
      <c r="H70" s="109">
        <v>0.32</v>
      </c>
      <c r="I70" s="109">
        <v>0.38</v>
      </c>
      <c r="J70" s="109">
        <v>0.53</v>
      </c>
      <c r="K70" s="109">
        <v>0.77</v>
      </c>
      <c r="L70" s="109">
        <v>1.05</v>
      </c>
      <c r="M70" s="109">
        <v>1.26</v>
      </c>
      <c r="N70" s="109">
        <v>1.26</v>
      </c>
    </row>
    <row r="71" spans="1:14" x14ac:dyDescent="0.2">
      <c r="A71" s="100">
        <v>37</v>
      </c>
      <c r="B71" s="112">
        <v>90</v>
      </c>
      <c r="C71" s="113">
        <v>1.07</v>
      </c>
      <c r="D71" s="113">
        <v>0.89</v>
      </c>
      <c r="E71" s="113">
        <v>0.67</v>
      </c>
      <c r="F71" s="113">
        <v>0.46</v>
      </c>
      <c r="G71" s="113">
        <v>0.3</v>
      </c>
      <c r="H71" s="113">
        <v>0.25</v>
      </c>
      <c r="I71" s="113">
        <v>0.3</v>
      </c>
      <c r="J71" s="113">
        <v>0.45</v>
      </c>
      <c r="K71" s="113">
        <v>0.7</v>
      </c>
      <c r="L71" s="113">
        <v>0.98</v>
      </c>
      <c r="M71" s="113">
        <v>1.19</v>
      </c>
      <c r="N71" s="113">
        <v>1.2</v>
      </c>
    </row>
    <row r="73" spans="1:14" x14ac:dyDescent="0.2">
      <c r="B73" s="103" t="s">
        <v>293</v>
      </c>
      <c r="C73" s="104"/>
      <c r="D73" s="114" t="s">
        <v>294</v>
      </c>
      <c r="E73" s="104"/>
      <c r="F73" s="104"/>
      <c r="G73" s="104"/>
      <c r="H73" s="104"/>
      <c r="I73" s="104"/>
      <c r="J73" s="104"/>
      <c r="K73" s="104"/>
      <c r="L73" s="104"/>
      <c r="M73" s="104"/>
      <c r="N73" s="104"/>
    </row>
    <row r="74" spans="1:14" x14ac:dyDescent="0.2">
      <c r="B74" s="105"/>
      <c r="C74" s="105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</row>
    <row r="75" spans="1:14" x14ac:dyDescent="0.2">
      <c r="A75" s="115" t="s">
        <v>265</v>
      </c>
      <c r="B75" s="106" t="s">
        <v>31</v>
      </c>
      <c r="C75" s="107" t="s">
        <v>191</v>
      </c>
      <c r="D75" s="107" t="s">
        <v>192</v>
      </c>
      <c r="E75" s="107" t="s">
        <v>193</v>
      </c>
      <c r="F75" s="107" t="s">
        <v>194</v>
      </c>
      <c r="G75" s="107" t="s">
        <v>195</v>
      </c>
      <c r="H75" s="107" t="s">
        <v>196</v>
      </c>
      <c r="I75" s="107" t="s">
        <v>197</v>
      </c>
      <c r="J75" s="107" t="s">
        <v>287</v>
      </c>
      <c r="K75" s="107" t="s">
        <v>199</v>
      </c>
      <c r="L75" s="107" t="s">
        <v>288</v>
      </c>
      <c r="M75" s="107" t="s">
        <v>201</v>
      </c>
      <c r="N75" s="107" t="s">
        <v>202</v>
      </c>
    </row>
    <row r="76" spans="1:14" x14ac:dyDescent="0.2">
      <c r="A76" s="98">
        <v>38</v>
      </c>
      <c r="B76" s="108">
        <v>0</v>
      </c>
      <c r="C76" s="109">
        <v>1</v>
      </c>
      <c r="D76" s="109">
        <v>1</v>
      </c>
      <c r="E76" s="109">
        <v>1</v>
      </c>
      <c r="F76" s="109">
        <v>1</v>
      </c>
      <c r="G76" s="109">
        <v>1</v>
      </c>
      <c r="H76" s="109">
        <v>1</v>
      </c>
      <c r="I76" s="109">
        <v>1</v>
      </c>
      <c r="J76" s="109">
        <v>1</v>
      </c>
      <c r="K76" s="109">
        <v>1</v>
      </c>
      <c r="L76" s="109">
        <v>1</v>
      </c>
      <c r="M76" s="109">
        <v>1</v>
      </c>
      <c r="N76" s="109">
        <v>1</v>
      </c>
    </row>
    <row r="77" spans="1:14" x14ac:dyDescent="0.2">
      <c r="A77" s="99">
        <v>38</v>
      </c>
      <c r="B77" s="108">
        <v>5</v>
      </c>
      <c r="C77" s="109">
        <v>1.07</v>
      </c>
      <c r="D77" s="109">
        <v>1.06</v>
      </c>
      <c r="E77" s="109">
        <v>1.04</v>
      </c>
      <c r="F77" s="109">
        <v>1.03</v>
      </c>
      <c r="G77" s="109">
        <v>1.02</v>
      </c>
      <c r="H77" s="109">
        <v>1.01</v>
      </c>
      <c r="I77" s="109">
        <v>1.02</v>
      </c>
      <c r="J77" s="109">
        <v>1.03</v>
      </c>
      <c r="K77" s="109">
        <v>1.05</v>
      </c>
      <c r="L77" s="109">
        <v>1.07</v>
      </c>
      <c r="M77" s="109">
        <v>1.08</v>
      </c>
      <c r="N77" s="109">
        <v>1.08</v>
      </c>
    </row>
    <row r="78" spans="1:14" x14ac:dyDescent="0.2">
      <c r="A78" s="99">
        <v>38</v>
      </c>
      <c r="B78" s="108">
        <v>10</v>
      </c>
      <c r="C78" s="109">
        <v>1.1299999999999999</v>
      </c>
      <c r="D78" s="109">
        <v>1.1100000000000001</v>
      </c>
      <c r="E78" s="109">
        <v>1.08</v>
      </c>
      <c r="F78" s="109">
        <v>1.05</v>
      </c>
      <c r="G78" s="109">
        <v>1.02</v>
      </c>
      <c r="H78" s="109">
        <v>1.02</v>
      </c>
      <c r="I78" s="109">
        <v>1.03</v>
      </c>
      <c r="J78" s="109">
        <v>1.05</v>
      </c>
      <c r="K78" s="109">
        <v>1.0900000000000001</v>
      </c>
      <c r="L78" s="109">
        <v>1.1399999999999999</v>
      </c>
      <c r="M78" s="109">
        <v>1.1599999999999999</v>
      </c>
      <c r="N78" s="109">
        <v>1.1599999999999999</v>
      </c>
    </row>
    <row r="79" spans="1:14" x14ac:dyDescent="0.2">
      <c r="A79" s="99">
        <v>38</v>
      </c>
      <c r="B79" s="108">
        <v>15</v>
      </c>
      <c r="C79" s="109">
        <v>1.19</v>
      </c>
      <c r="D79" s="109">
        <v>1.1499999999999999</v>
      </c>
      <c r="E79" s="109">
        <v>1.1100000000000001</v>
      </c>
      <c r="F79" s="109">
        <v>1.06</v>
      </c>
      <c r="G79" s="109">
        <v>1.03</v>
      </c>
      <c r="H79" s="109">
        <v>1.01</v>
      </c>
      <c r="I79" s="109">
        <v>1.03</v>
      </c>
      <c r="J79" s="109">
        <v>1.07</v>
      </c>
      <c r="K79" s="109">
        <v>1.1299999999999999</v>
      </c>
      <c r="L79" s="109">
        <v>1.19</v>
      </c>
      <c r="M79" s="109">
        <v>1.23</v>
      </c>
      <c r="N79" s="109">
        <v>1.22</v>
      </c>
    </row>
    <row r="80" spans="1:14" x14ac:dyDescent="0.2">
      <c r="A80" s="99">
        <v>38</v>
      </c>
      <c r="B80" s="108">
        <v>20</v>
      </c>
      <c r="C80" s="109">
        <v>1.24</v>
      </c>
      <c r="D80" s="109">
        <v>1.19</v>
      </c>
      <c r="E80" s="109">
        <v>1.1299999999999999</v>
      </c>
      <c r="F80" s="109">
        <v>1.07</v>
      </c>
      <c r="G80" s="109">
        <v>1.02</v>
      </c>
      <c r="H80" s="109">
        <v>1.01</v>
      </c>
      <c r="I80" s="109">
        <v>1.02</v>
      </c>
      <c r="J80" s="109">
        <v>1.07</v>
      </c>
      <c r="K80" s="109">
        <v>1.1499999999999999</v>
      </c>
      <c r="L80" s="109">
        <v>1.24</v>
      </c>
      <c r="M80" s="109">
        <v>1.3</v>
      </c>
      <c r="N80" s="109">
        <v>1.29</v>
      </c>
    </row>
    <row r="81" spans="1:14" x14ac:dyDescent="0.2">
      <c r="A81" s="99">
        <v>38</v>
      </c>
      <c r="B81" s="108">
        <v>25</v>
      </c>
      <c r="C81" s="109">
        <v>1.28</v>
      </c>
      <c r="D81" s="109">
        <v>1.22</v>
      </c>
      <c r="E81" s="109">
        <v>1.1399999999999999</v>
      </c>
      <c r="F81" s="109">
        <v>1.07</v>
      </c>
      <c r="G81" s="109">
        <v>1.01</v>
      </c>
      <c r="H81" s="109">
        <v>0.99</v>
      </c>
      <c r="I81" s="109">
        <v>1.01</v>
      </c>
      <c r="J81" s="109">
        <v>1.08</v>
      </c>
      <c r="K81" s="109">
        <v>1.17</v>
      </c>
      <c r="L81" s="109">
        <v>1.28</v>
      </c>
      <c r="M81" s="109">
        <v>1.35</v>
      </c>
      <c r="N81" s="109">
        <v>1.34</v>
      </c>
    </row>
    <row r="82" spans="1:14" x14ac:dyDescent="0.2">
      <c r="A82" s="99">
        <v>38</v>
      </c>
      <c r="B82" s="110">
        <v>30</v>
      </c>
      <c r="C82" s="111">
        <v>1.31</v>
      </c>
      <c r="D82" s="111">
        <v>1.24</v>
      </c>
      <c r="E82" s="111">
        <v>1.1499999999999999</v>
      </c>
      <c r="F82" s="111">
        <v>1.06</v>
      </c>
      <c r="G82" s="111">
        <v>0.99</v>
      </c>
      <c r="H82" s="111">
        <v>0.97</v>
      </c>
      <c r="I82" s="111">
        <v>0.99</v>
      </c>
      <c r="J82" s="111">
        <v>1.07</v>
      </c>
      <c r="K82" s="111">
        <v>1.18</v>
      </c>
      <c r="L82" s="111">
        <v>1.31</v>
      </c>
      <c r="M82" s="111">
        <v>1.4</v>
      </c>
      <c r="N82" s="111">
        <v>1.38</v>
      </c>
    </row>
    <row r="83" spans="1:14" x14ac:dyDescent="0.2">
      <c r="A83" s="99">
        <v>38</v>
      </c>
      <c r="B83" s="108">
        <v>35</v>
      </c>
      <c r="C83" s="109">
        <v>1.34</v>
      </c>
      <c r="D83" s="109">
        <v>1.25</v>
      </c>
      <c r="E83" s="109">
        <v>1.1499999999999999</v>
      </c>
      <c r="F83" s="109">
        <v>1.04</v>
      </c>
      <c r="G83" s="109">
        <v>0.96</v>
      </c>
      <c r="H83" s="109">
        <v>0.94</v>
      </c>
      <c r="I83" s="109">
        <v>0.97</v>
      </c>
      <c r="J83" s="109">
        <v>1.05</v>
      </c>
      <c r="K83" s="109">
        <v>1.19</v>
      </c>
      <c r="L83" s="109">
        <v>1.34</v>
      </c>
      <c r="M83" s="109">
        <v>1.43</v>
      </c>
      <c r="N83" s="109">
        <v>1.42</v>
      </c>
    </row>
    <row r="84" spans="1:14" x14ac:dyDescent="0.2">
      <c r="A84" s="99">
        <v>38</v>
      </c>
      <c r="B84" s="108">
        <v>40</v>
      </c>
      <c r="C84" s="109">
        <v>1.36</v>
      </c>
      <c r="D84" s="109">
        <v>1.26</v>
      </c>
      <c r="E84" s="109">
        <v>1.1399999999999999</v>
      </c>
      <c r="F84" s="109">
        <v>1.02</v>
      </c>
      <c r="G84" s="109">
        <v>0.93</v>
      </c>
      <c r="H84" s="109">
        <v>0.9</v>
      </c>
      <c r="I84" s="109">
        <v>0.93</v>
      </c>
      <c r="J84" s="109">
        <v>1.03</v>
      </c>
      <c r="K84" s="109">
        <v>1.18</v>
      </c>
      <c r="L84" s="109">
        <v>1.35</v>
      </c>
      <c r="M84" s="109">
        <v>1.46</v>
      </c>
      <c r="N84" s="109">
        <v>1.45</v>
      </c>
    </row>
    <row r="85" spans="1:14" x14ac:dyDescent="0.2">
      <c r="A85" s="99">
        <v>38</v>
      </c>
      <c r="B85" s="110">
        <v>45</v>
      </c>
      <c r="C85" s="111">
        <v>1.37</v>
      </c>
      <c r="D85" s="111">
        <v>1.26</v>
      </c>
      <c r="E85" s="111">
        <v>1.1299999999999999</v>
      </c>
      <c r="F85" s="111">
        <v>0.99</v>
      </c>
      <c r="G85" s="111">
        <v>0.89</v>
      </c>
      <c r="H85" s="111">
        <v>0.86</v>
      </c>
      <c r="I85" s="111">
        <v>0.89</v>
      </c>
      <c r="J85" s="111">
        <v>1</v>
      </c>
      <c r="K85" s="111">
        <v>1.17</v>
      </c>
      <c r="L85" s="111">
        <v>1.36</v>
      </c>
      <c r="M85" s="111">
        <v>1.48</v>
      </c>
      <c r="N85" s="111">
        <v>1.47</v>
      </c>
    </row>
    <row r="86" spans="1:14" x14ac:dyDescent="0.2">
      <c r="A86" s="99">
        <v>38</v>
      </c>
      <c r="B86" s="196">
        <v>50</v>
      </c>
      <c r="C86" s="289">
        <v>1.37</v>
      </c>
      <c r="D86" s="289">
        <v>1.25</v>
      </c>
      <c r="E86" s="289">
        <v>1.1000000000000001</v>
      </c>
      <c r="F86" s="289">
        <v>0.95</v>
      </c>
      <c r="G86" s="289">
        <v>0.85</v>
      </c>
      <c r="H86" s="289">
        <v>0.81</v>
      </c>
      <c r="I86" s="289">
        <v>0.85</v>
      </c>
      <c r="J86" s="289">
        <v>0.97</v>
      </c>
      <c r="K86" s="289">
        <v>1.1499999999999999</v>
      </c>
      <c r="L86" s="289">
        <v>1.35</v>
      </c>
      <c r="M86" s="289">
        <v>1.49</v>
      </c>
      <c r="N86" s="289">
        <v>1.48</v>
      </c>
    </row>
    <row r="87" spans="1:14" x14ac:dyDescent="0.2">
      <c r="A87" s="99">
        <v>38</v>
      </c>
      <c r="B87" s="196">
        <v>55</v>
      </c>
      <c r="C87" s="289">
        <v>1.36</v>
      </c>
      <c r="D87" s="289">
        <v>1.23</v>
      </c>
      <c r="E87" s="289">
        <v>1.07</v>
      </c>
      <c r="F87" s="289">
        <v>0.91</v>
      </c>
      <c r="G87" s="289">
        <v>0.8</v>
      </c>
      <c r="H87" s="289">
        <v>0.75</v>
      </c>
      <c r="I87" s="289">
        <v>0.8</v>
      </c>
      <c r="J87" s="289">
        <v>0.92</v>
      </c>
      <c r="K87" s="289">
        <v>1.1200000000000001</v>
      </c>
      <c r="L87" s="289">
        <v>1.34</v>
      </c>
      <c r="M87" s="289">
        <v>1.49</v>
      </c>
      <c r="N87" s="289">
        <v>1.48</v>
      </c>
    </row>
    <row r="88" spans="1:14" x14ac:dyDescent="0.2">
      <c r="A88" s="99">
        <v>38</v>
      </c>
      <c r="B88" s="110">
        <v>60</v>
      </c>
      <c r="C88" s="111">
        <v>1.35</v>
      </c>
      <c r="D88" s="111">
        <v>1.21</v>
      </c>
      <c r="E88" s="111">
        <v>1.04</v>
      </c>
      <c r="F88" s="111">
        <v>0.86</v>
      </c>
      <c r="G88" s="111">
        <v>0.74</v>
      </c>
      <c r="H88" s="111">
        <v>0.69</v>
      </c>
      <c r="I88" s="111">
        <v>0.74</v>
      </c>
      <c r="J88" s="111">
        <v>0.87</v>
      </c>
      <c r="K88" s="111">
        <v>1.08</v>
      </c>
      <c r="L88" s="111">
        <v>1.32</v>
      </c>
      <c r="M88" s="111">
        <v>1.48</v>
      </c>
      <c r="N88" s="111">
        <v>1.47</v>
      </c>
    </row>
    <row r="89" spans="1:14" x14ac:dyDescent="0.2">
      <c r="A89" s="99">
        <v>38</v>
      </c>
      <c r="B89" s="108">
        <v>65</v>
      </c>
      <c r="C89" s="109">
        <v>1.33</v>
      </c>
      <c r="D89" s="109">
        <v>1.18</v>
      </c>
      <c r="E89" s="109">
        <v>0.99</v>
      </c>
      <c r="F89" s="109">
        <v>0.81</v>
      </c>
      <c r="G89" s="109">
        <v>0.68</v>
      </c>
      <c r="H89" s="109">
        <v>0.63</v>
      </c>
      <c r="I89" s="109">
        <v>0.68</v>
      </c>
      <c r="J89" s="109">
        <v>0.82</v>
      </c>
      <c r="K89" s="109">
        <v>1.04</v>
      </c>
      <c r="L89" s="109">
        <v>1.29</v>
      </c>
      <c r="M89" s="109">
        <v>1.46</v>
      </c>
      <c r="N89" s="109">
        <v>1.45</v>
      </c>
    </row>
    <row r="90" spans="1:14" x14ac:dyDescent="0.2">
      <c r="A90" s="99">
        <v>38</v>
      </c>
      <c r="B90" s="108">
        <v>70</v>
      </c>
      <c r="C90" s="109">
        <v>1.29</v>
      </c>
      <c r="D90" s="109">
        <v>1.1399999999999999</v>
      </c>
      <c r="E90" s="109">
        <v>0.94</v>
      </c>
      <c r="F90" s="109">
        <v>0.75</v>
      </c>
      <c r="G90" s="109">
        <v>0.61</v>
      </c>
      <c r="H90" s="109">
        <v>0.56000000000000005</v>
      </c>
      <c r="I90" s="109">
        <v>0.61</v>
      </c>
      <c r="J90" s="109">
        <v>0.76</v>
      </c>
      <c r="K90" s="109">
        <v>0.98</v>
      </c>
      <c r="L90" s="109">
        <v>1.25</v>
      </c>
      <c r="M90" s="109">
        <v>1.43</v>
      </c>
      <c r="N90" s="109">
        <v>1.42</v>
      </c>
    </row>
    <row r="91" spans="1:14" x14ac:dyDescent="0.2">
      <c r="A91" s="99">
        <v>38</v>
      </c>
      <c r="B91" s="108">
        <v>75</v>
      </c>
      <c r="C91" s="109">
        <v>1.25</v>
      </c>
      <c r="D91" s="109">
        <v>1.0900000000000001</v>
      </c>
      <c r="E91" s="109">
        <v>0.89</v>
      </c>
      <c r="F91" s="109">
        <v>0.69</v>
      </c>
      <c r="G91" s="109">
        <v>0.54</v>
      </c>
      <c r="H91" s="109">
        <v>0.49</v>
      </c>
      <c r="I91" s="109">
        <v>0.54</v>
      </c>
      <c r="J91" s="109">
        <v>0.69</v>
      </c>
      <c r="K91" s="109">
        <v>0.93</v>
      </c>
      <c r="L91" s="109">
        <v>1.2</v>
      </c>
      <c r="M91" s="109">
        <v>1.39</v>
      </c>
      <c r="N91" s="109">
        <v>1.39</v>
      </c>
    </row>
    <row r="92" spans="1:14" x14ac:dyDescent="0.2">
      <c r="A92" s="99">
        <v>38</v>
      </c>
      <c r="B92" s="108">
        <v>80</v>
      </c>
      <c r="C92" s="109">
        <v>1.21</v>
      </c>
      <c r="D92" s="109">
        <v>1.04</v>
      </c>
      <c r="E92" s="109">
        <v>0.83</v>
      </c>
      <c r="F92" s="109">
        <v>0.62</v>
      </c>
      <c r="G92" s="109">
        <v>0.47</v>
      </c>
      <c r="H92" s="109">
        <v>0.42</v>
      </c>
      <c r="I92" s="109">
        <v>0.47</v>
      </c>
      <c r="J92" s="109">
        <v>0.62</v>
      </c>
      <c r="K92" s="109">
        <v>0.86</v>
      </c>
      <c r="L92" s="109">
        <v>1.1399999999999999</v>
      </c>
      <c r="M92" s="109">
        <v>1.34</v>
      </c>
      <c r="N92" s="109">
        <v>1.34</v>
      </c>
    </row>
    <row r="93" spans="1:14" x14ac:dyDescent="0.2">
      <c r="A93" s="99">
        <v>38</v>
      </c>
      <c r="B93" s="108">
        <v>85</v>
      </c>
      <c r="C93" s="109">
        <v>1.1499999999999999</v>
      </c>
      <c r="D93" s="109">
        <v>0.98</v>
      </c>
      <c r="E93" s="109">
        <v>0.76</v>
      </c>
      <c r="F93" s="109">
        <v>0.55000000000000004</v>
      </c>
      <c r="G93" s="109">
        <v>0.4</v>
      </c>
      <c r="H93" s="109">
        <v>0.34</v>
      </c>
      <c r="I93" s="109">
        <v>0.39</v>
      </c>
      <c r="J93" s="109">
        <v>0.55000000000000004</v>
      </c>
      <c r="K93" s="109">
        <v>0.79</v>
      </c>
      <c r="L93" s="109">
        <v>1.08</v>
      </c>
      <c r="M93" s="109">
        <v>1.29</v>
      </c>
      <c r="N93" s="109">
        <v>1.29</v>
      </c>
    </row>
    <row r="94" spans="1:14" x14ac:dyDescent="0.2">
      <c r="A94" s="100">
        <v>38</v>
      </c>
      <c r="B94" s="112">
        <v>90</v>
      </c>
      <c r="C94" s="113">
        <v>1.0900000000000001</v>
      </c>
      <c r="D94" s="113">
        <v>0.91</v>
      </c>
      <c r="E94" s="113">
        <v>0.69</v>
      </c>
      <c r="F94" s="113">
        <v>0.47</v>
      </c>
      <c r="G94" s="113">
        <v>0.32</v>
      </c>
      <c r="H94" s="113">
        <v>0.26</v>
      </c>
      <c r="I94" s="113">
        <v>0.31</v>
      </c>
      <c r="J94" s="113">
        <v>0.47</v>
      </c>
      <c r="K94" s="113">
        <v>0.72</v>
      </c>
      <c r="L94" s="113">
        <v>1.01</v>
      </c>
      <c r="M94" s="113">
        <v>1.22</v>
      </c>
      <c r="N94" s="113">
        <v>1.23</v>
      </c>
    </row>
    <row r="96" spans="1:14" x14ac:dyDescent="0.2">
      <c r="B96" s="103" t="s">
        <v>295</v>
      </c>
      <c r="C96" s="104"/>
      <c r="D96" s="114" t="s">
        <v>296</v>
      </c>
      <c r="E96" s="104"/>
      <c r="F96" s="104"/>
      <c r="G96" s="104"/>
      <c r="H96" s="104"/>
      <c r="I96" s="104"/>
      <c r="J96" s="104"/>
      <c r="K96" s="104"/>
      <c r="L96" s="104"/>
      <c r="M96" s="104"/>
      <c r="N96" s="104"/>
    </row>
    <row r="97" spans="1:14" x14ac:dyDescent="0.2">
      <c r="B97" s="105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</row>
    <row r="98" spans="1:14" x14ac:dyDescent="0.2">
      <c r="A98" s="115" t="s">
        <v>265</v>
      </c>
      <c r="B98" s="106" t="s">
        <v>31</v>
      </c>
      <c r="C98" s="107" t="s">
        <v>191</v>
      </c>
      <c r="D98" s="107" t="s">
        <v>192</v>
      </c>
      <c r="E98" s="107" t="s">
        <v>193</v>
      </c>
      <c r="F98" s="107" t="s">
        <v>194</v>
      </c>
      <c r="G98" s="107" t="s">
        <v>195</v>
      </c>
      <c r="H98" s="107" t="s">
        <v>196</v>
      </c>
      <c r="I98" s="107" t="s">
        <v>197</v>
      </c>
      <c r="J98" s="107" t="s">
        <v>287</v>
      </c>
      <c r="K98" s="107" t="s">
        <v>199</v>
      </c>
      <c r="L98" s="107" t="s">
        <v>288</v>
      </c>
      <c r="M98" s="107" t="s">
        <v>201</v>
      </c>
      <c r="N98" s="107" t="s">
        <v>202</v>
      </c>
    </row>
    <row r="99" spans="1:14" x14ac:dyDescent="0.2">
      <c r="A99" s="98">
        <v>39</v>
      </c>
      <c r="B99" s="108">
        <v>0</v>
      </c>
      <c r="C99" s="109">
        <v>1</v>
      </c>
      <c r="D99" s="109">
        <v>1</v>
      </c>
      <c r="E99" s="109">
        <v>1</v>
      </c>
      <c r="F99" s="109">
        <v>1</v>
      </c>
      <c r="G99" s="109">
        <v>1</v>
      </c>
      <c r="H99" s="109">
        <v>1</v>
      </c>
      <c r="I99" s="109">
        <v>1</v>
      </c>
      <c r="J99" s="109">
        <v>1</v>
      </c>
      <c r="K99" s="109">
        <v>1</v>
      </c>
      <c r="L99" s="109">
        <v>1</v>
      </c>
      <c r="M99" s="109">
        <v>1</v>
      </c>
      <c r="N99" s="109">
        <v>1</v>
      </c>
    </row>
    <row r="100" spans="1:14" x14ac:dyDescent="0.2">
      <c r="A100" s="99">
        <v>39</v>
      </c>
      <c r="B100" s="108">
        <v>5</v>
      </c>
      <c r="C100" s="109">
        <v>1.07</v>
      </c>
      <c r="D100" s="109">
        <v>1.06</v>
      </c>
      <c r="E100" s="109">
        <v>1.04</v>
      </c>
      <c r="F100" s="109">
        <v>1.03</v>
      </c>
      <c r="G100" s="109">
        <v>1.02</v>
      </c>
      <c r="H100" s="109">
        <v>1.01</v>
      </c>
      <c r="I100" s="109">
        <v>1.02</v>
      </c>
      <c r="J100" s="109">
        <v>1.03</v>
      </c>
      <c r="K100" s="109">
        <v>1.05</v>
      </c>
      <c r="L100" s="109">
        <v>1.07</v>
      </c>
      <c r="M100" s="109">
        <v>1.0900000000000001</v>
      </c>
      <c r="N100" s="109">
        <v>1.08</v>
      </c>
    </row>
    <row r="101" spans="1:14" x14ac:dyDescent="0.2">
      <c r="A101" s="99">
        <v>39</v>
      </c>
      <c r="B101" s="108">
        <v>10</v>
      </c>
      <c r="C101" s="109">
        <v>1.1399999999999999</v>
      </c>
      <c r="D101" s="109">
        <v>1.1100000000000001</v>
      </c>
      <c r="E101" s="109">
        <v>1.08</v>
      </c>
      <c r="F101" s="109">
        <v>1.05</v>
      </c>
      <c r="G101" s="109">
        <v>1.03</v>
      </c>
      <c r="H101" s="109">
        <v>1.02</v>
      </c>
      <c r="I101" s="109">
        <v>1.03</v>
      </c>
      <c r="J101" s="109">
        <v>1.03</v>
      </c>
      <c r="K101" s="109">
        <v>1.1000000000000001</v>
      </c>
      <c r="L101" s="109">
        <v>1.1399999999999999</v>
      </c>
      <c r="M101" s="109">
        <v>1.17</v>
      </c>
      <c r="N101" s="109">
        <v>1.1599999999999999</v>
      </c>
    </row>
    <row r="102" spans="1:14" x14ac:dyDescent="0.2">
      <c r="A102" s="99">
        <v>39</v>
      </c>
      <c r="B102" s="108">
        <v>15</v>
      </c>
      <c r="C102" s="109">
        <v>1.19</v>
      </c>
      <c r="D102" s="109">
        <v>1.1599999999999999</v>
      </c>
      <c r="E102" s="109">
        <v>1.1100000000000001</v>
      </c>
      <c r="F102" s="109">
        <v>1.07</v>
      </c>
      <c r="G102" s="109">
        <v>1.03</v>
      </c>
      <c r="H102" s="109">
        <v>1.02</v>
      </c>
      <c r="I102" s="109">
        <v>1.03</v>
      </c>
      <c r="J102" s="109">
        <v>1.07</v>
      </c>
      <c r="K102" s="109">
        <v>1.1299999999999999</v>
      </c>
      <c r="L102" s="109">
        <v>1.2</v>
      </c>
      <c r="M102" s="109">
        <v>1.24</v>
      </c>
      <c r="N102" s="109">
        <v>1.23</v>
      </c>
    </row>
    <row r="103" spans="1:14" x14ac:dyDescent="0.2">
      <c r="A103" s="99">
        <v>39</v>
      </c>
      <c r="B103" s="108">
        <v>20</v>
      </c>
      <c r="C103" s="109">
        <v>1.25</v>
      </c>
      <c r="D103" s="109">
        <v>1.2</v>
      </c>
      <c r="E103" s="109">
        <v>1.1399999999999999</v>
      </c>
      <c r="F103" s="109">
        <v>1.07</v>
      </c>
      <c r="G103" s="109">
        <v>1.03</v>
      </c>
      <c r="H103" s="109">
        <v>1.01</v>
      </c>
      <c r="I103" s="109">
        <v>1.03</v>
      </c>
      <c r="J103" s="109">
        <v>1.08</v>
      </c>
      <c r="K103" s="109">
        <v>1.1100000000000001</v>
      </c>
      <c r="L103" s="109">
        <v>1.25</v>
      </c>
      <c r="M103" s="109">
        <v>1.31</v>
      </c>
      <c r="N103" s="109">
        <v>1.29</v>
      </c>
    </row>
    <row r="104" spans="1:14" x14ac:dyDescent="0.2">
      <c r="A104" s="99">
        <v>39</v>
      </c>
      <c r="B104" s="108">
        <v>25</v>
      </c>
      <c r="C104" s="109">
        <v>1.29</v>
      </c>
      <c r="D104" s="109">
        <v>1.23</v>
      </c>
      <c r="E104" s="109">
        <v>1.1499999999999999</v>
      </c>
      <c r="F104" s="109">
        <v>1.07</v>
      </c>
      <c r="G104" s="109">
        <v>1.02</v>
      </c>
      <c r="H104" s="109">
        <v>1</v>
      </c>
      <c r="I104" s="109">
        <v>1.02</v>
      </c>
      <c r="J104" s="109">
        <v>1.08</v>
      </c>
      <c r="K104" s="109">
        <v>1.18</v>
      </c>
      <c r="L104" s="109">
        <v>1.29</v>
      </c>
      <c r="M104" s="109">
        <v>1.36</v>
      </c>
      <c r="N104" s="109">
        <v>1.35</v>
      </c>
    </row>
    <row r="105" spans="1:14" x14ac:dyDescent="0.2">
      <c r="A105" s="99">
        <v>39</v>
      </c>
      <c r="B105" s="110">
        <v>30</v>
      </c>
      <c r="C105" s="111">
        <v>1.33</v>
      </c>
      <c r="D105" s="111">
        <v>1.25</v>
      </c>
      <c r="E105" s="111">
        <v>1.1599999999999999</v>
      </c>
      <c r="F105" s="111">
        <v>1.07</v>
      </c>
      <c r="G105" s="111">
        <v>1</v>
      </c>
      <c r="H105" s="111">
        <v>0.97</v>
      </c>
      <c r="I105" s="111">
        <v>1</v>
      </c>
      <c r="J105" s="111">
        <v>1.08</v>
      </c>
      <c r="K105" s="111">
        <v>1.19</v>
      </c>
      <c r="L105" s="111">
        <v>1.33</v>
      </c>
      <c r="M105" s="111">
        <v>1.41</v>
      </c>
      <c r="N105" s="111">
        <v>1.4</v>
      </c>
    </row>
    <row r="106" spans="1:14" x14ac:dyDescent="0.2">
      <c r="A106" s="99">
        <v>39</v>
      </c>
      <c r="B106" s="108">
        <v>35</v>
      </c>
      <c r="C106" s="109">
        <v>1.35</v>
      </c>
      <c r="D106" s="109">
        <v>1.27</v>
      </c>
      <c r="E106" s="109">
        <v>1.1599999999999999</v>
      </c>
      <c r="F106" s="109">
        <v>1.05</v>
      </c>
      <c r="G106" s="109">
        <v>0.97</v>
      </c>
      <c r="H106" s="109">
        <v>0.94</v>
      </c>
      <c r="I106" s="109">
        <v>0.98</v>
      </c>
      <c r="J106" s="109">
        <v>1.06</v>
      </c>
      <c r="K106" s="109">
        <v>1.2</v>
      </c>
      <c r="L106" s="109">
        <v>1.35</v>
      </c>
      <c r="M106" s="109">
        <v>1.45</v>
      </c>
      <c r="N106" s="109">
        <v>1.43</v>
      </c>
    </row>
    <row r="107" spans="1:14" x14ac:dyDescent="0.2">
      <c r="A107" s="99">
        <v>39</v>
      </c>
      <c r="B107" s="108">
        <v>40</v>
      </c>
      <c r="C107" s="109">
        <v>1.37</v>
      </c>
      <c r="D107" s="109">
        <v>1.27</v>
      </c>
      <c r="E107" s="109">
        <v>1.1499999999999999</v>
      </c>
      <c r="F107" s="109">
        <v>1.03</v>
      </c>
      <c r="G107" s="109">
        <v>0.94</v>
      </c>
      <c r="H107" s="109">
        <v>0.91</v>
      </c>
      <c r="I107" s="109">
        <v>0.94</v>
      </c>
      <c r="J107" s="109">
        <v>1.04</v>
      </c>
      <c r="K107" s="109">
        <v>1.19</v>
      </c>
      <c r="L107" s="109">
        <v>1.37</v>
      </c>
      <c r="M107" s="109">
        <v>1.48</v>
      </c>
      <c r="N107" s="109">
        <v>1.46</v>
      </c>
    </row>
    <row r="108" spans="1:14" x14ac:dyDescent="0.2">
      <c r="A108" s="99">
        <v>39</v>
      </c>
      <c r="B108" s="110">
        <v>45</v>
      </c>
      <c r="C108" s="111">
        <v>1.38</v>
      </c>
      <c r="D108" s="111">
        <v>1.27</v>
      </c>
      <c r="E108" s="111">
        <v>1.1399999999999999</v>
      </c>
      <c r="F108" s="111">
        <v>1</v>
      </c>
      <c r="G108" s="111">
        <v>0.9</v>
      </c>
      <c r="H108" s="111">
        <v>0.87</v>
      </c>
      <c r="I108" s="111">
        <v>0.9</v>
      </c>
      <c r="J108" s="111">
        <v>1.01</v>
      </c>
      <c r="K108" s="111">
        <v>1.18</v>
      </c>
      <c r="L108" s="111">
        <v>1.37</v>
      </c>
      <c r="M108" s="111">
        <v>1.5</v>
      </c>
      <c r="N108" s="111">
        <v>1.48</v>
      </c>
    </row>
    <row r="109" spans="1:14" x14ac:dyDescent="0.2">
      <c r="A109" s="99">
        <v>39</v>
      </c>
      <c r="B109" s="196">
        <v>50</v>
      </c>
      <c r="C109" s="289">
        <v>1.39</v>
      </c>
      <c r="D109" s="289">
        <v>1.26</v>
      </c>
      <c r="E109" s="289">
        <v>1.1200000000000001</v>
      </c>
      <c r="F109" s="289">
        <v>0.97</v>
      </c>
      <c r="G109" s="289">
        <v>0.86</v>
      </c>
      <c r="H109" s="289">
        <v>0.82</v>
      </c>
      <c r="I109" s="289">
        <v>0.86</v>
      </c>
      <c r="J109" s="289">
        <v>0.98</v>
      </c>
      <c r="K109" s="289">
        <v>1.1599999999999999</v>
      </c>
      <c r="L109" s="289">
        <v>1.37</v>
      </c>
      <c r="M109" s="289">
        <v>1.51</v>
      </c>
      <c r="N109" s="289">
        <v>1.5</v>
      </c>
    </row>
    <row r="110" spans="1:14" x14ac:dyDescent="0.2">
      <c r="A110" s="99">
        <v>39</v>
      </c>
      <c r="B110" s="196">
        <v>55</v>
      </c>
      <c r="C110" s="289">
        <v>1.38</v>
      </c>
      <c r="D110" s="289">
        <v>1.25</v>
      </c>
      <c r="E110" s="289">
        <v>1.0900000000000001</v>
      </c>
      <c r="F110" s="289">
        <v>0.93</v>
      </c>
      <c r="G110" s="289">
        <v>0.81</v>
      </c>
      <c r="H110" s="289">
        <v>0.77</v>
      </c>
      <c r="I110" s="289">
        <v>0.81</v>
      </c>
      <c r="J110" s="289">
        <v>0.94</v>
      </c>
      <c r="K110" s="289">
        <v>1.1299999999999999</v>
      </c>
      <c r="L110" s="289">
        <v>1.36</v>
      </c>
      <c r="M110" s="289">
        <v>1.51</v>
      </c>
      <c r="N110" s="289">
        <v>1.5</v>
      </c>
    </row>
    <row r="111" spans="1:14" x14ac:dyDescent="0.2">
      <c r="A111" s="99">
        <v>39</v>
      </c>
      <c r="B111" s="110">
        <v>60</v>
      </c>
      <c r="C111" s="111">
        <v>1.37</v>
      </c>
      <c r="D111" s="111">
        <v>1.22</v>
      </c>
      <c r="E111" s="111">
        <v>1.05</v>
      </c>
      <c r="F111" s="111">
        <v>0.88</v>
      </c>
      <c r="G111" s="111">
        <v>0.75</v>
      </c>
      <c r="H111" s="111">
        <v>0.71</v>
      </c>
      <c r="I111" s="111">
        <v>0.75</v>
      </c>
      <c r="J111" s="111">
        <v>0.89</v>
      </c>
      <c r="K111" s="111">
        <v>1.1000000000000001</v>
      </c>
      <c r="L111" s="111">
        <v>1.34</v>
      </c>
      <c r="M111" s="111">
        <v>1.51</v>
      </c>
      <c r="N111" s="111">
        <v>1.49</v>
      </c>
    </row>
    <row r="112" spans="1:14" x14ac:dyDescent="0.2">
      <c r="A112" s="99">
        <v>39</v>
      </c>
      <c r="B112" s="108">
        <v>65</v>
      </c>
      <c r="C112" s="109">
        <v>1.35</v>
      </c>
      <c r="D112" s="109">
        <v>1.19</v>
      </c>
      <c r="E112" s="109">
        <v>1.01</v>
      </c>
      <c r="F112" s="109">
        <v>0.83</v>
      </c>
      <c r="G112" s="109">
        <v>0.69</v>
      </c>
      <c r="H112" s="109">
        <v>0.65</v>
      </c>
      <c r="I112" s="109">
        <v>0.69</v>
      </c>
      <c r="J112" s="109">
        <v>0.83</v>
      </c>
      <c r="K112" s="109">
        <v>1.05</v>
      </c>
      <c r="L112" s="109">
        <v>1.31</v>
      </c>
      <c r="M112" s="109">
        <v>1.49</v>
      </c>
      <c r="N112" s="109">
        <v>1.47</v>
      </c>
    </row>
    <row r="113" spans="1:14" x14ac:dyDescent="0.2">
      <c r="A113" s="99">
        <v>39</v>
      </c>
      <c r="B113" s="108">
        <v>70</v>
      </c>
      <c r="C113" s="109">
        <v>1.32</v>
      </c>
      <c r="D113" s="109">
        <v>1.1499999999999999</v>
      </c>
      <c r="E113" s="109">
        <v>0.96</v>
      </c>
      <c r="F113" s="109">
        <v>0.77</v>
      </c>
      <c r="G113" s="109">
        <v>0.63</v>
      </c>
      <c r="H113" s="109">
        <v>0.57999999999999996</v>
      </c>
      <c r="I113" s="109">
        <v>0.63</v>
      </c>
      <c r="J113" s="109">
        <v>0.77</v>
      </c>
      <c r="K113" s="109">
        <v>1</v>
      </c>
      <c r="L113" s="109">
        <v>1.27</v>
      </c>
      <c r="M113" s="109">
        <v>1.46</v>
      </c>
      <c r="N113" s="109">
        <v>1.45</v>
      </c>
    </row>
    <row r="114" spans="1:14" x14ac:dyDescent="0.2">
      <c r="A114" s="99">
        <v>39</v>
      </c>
      <c r="B114" s="108">
        <v>75</v>
      </c>
      <c r="C114" s="109">
        <v>1.28</v>
      </c>
      <c r="D114" s="109">
        <v>1.1100000000000001</v>
      </c>
      <c r="E114" s="109">
        <v>0.91</v>
      </c>
      <c r="F114" s="109">
        <v>0.7</v>
      </c>
      <c r="G114" s="109">
        <v>0.56000000000000005</v>
      </c>
      <c r="H114" s="109">
        <v>0.51</v>
      </c>
      <c r="I114" s="109">
        <v>0.56000000000000005</v>
      </c>
      <c r="J114" s="109">
        <v>0.71</v>
      </c>
      <c r="K114" s="109">
        <v>0.95</v>
      </c>
      <c r="L114" s="109">
        <v>1.23</v>
      </c>
      <c r="M114" s="109">
        <v>1.42</v>
      </c>
      <c r="N114" s="109">
        <v>1.41</v>
      </c>
    </row>
    <row r="115" spans="1:14" x14ac:dyDescent="0.2">
      <c r="A115" s="99">
        <v>39</v>
      </c>
      <c r="B115" s="108">
        <v>80</v>
      </c>
      <c r="C115" s="109">
        <v>1.23</v>
      </c>
      <c r="D115" s="109">
        <v>1.06</v>
      </c>
      <c r="E115" s="109">
        <v>0.84</v>
      </c>
      <c r="F115" s="109">
        <v>0.64</v>
      </c>
      <c r="G115" s="109">
        <v>0.49</v>
      </c>
      <c r="H115" s="109">
        <v>0.43</v>
      </c>
      <c r="I115" s="109">
        <v>0.48</v>
      </c>
      <c r="J115" s="109">
        <v>0.64</v>
      </c>
      <c r="K115" s="109">
        <v>0.88</v>
      </c>
      <c r="L115" s="109">
        <v>1.17</v>
      </c>
      <c r="M115" s="109">
        <v>1.37</v>
      </c>
      <c r="N115" s="109">
        <v>1.37</v>
      </c>
    </row>
    <row r="116" spans="1:14" x14ac:dyDescent="0.2">
      <c r="A116" s="99">
        <v>39</v>
      </c>
      <c r="B116" s="108">
        <v>85</v>
      </c>
      <c r="C116" s="109">
        <v>1.18</v>
      </c>
      <c r="D116" s="109">
        <v>1</v>
      </c>
      <c r="E116" s="109">
        <v>0.78</v>
      </c>
      <c r="F116" s="109">
        <v>0.56000000000000005</v>
      </c>
      <c r="G116" s="109">
        <v>0.41</v>
      </c>
      <c r="H116" s="109">
        <v>0.35</v>
      </c>
      <c r="I116" s="109">
        <v>0.41</v>
      </c>
      <c r="J116" s="109">
        <v>0.56000000000000005</v>
      </c>
      <c r="K116" s="109">
        <v>0.81</v>
      </c>
      <c r="L116" s="109">
        <v>1.1100000000000001</v>
      </c>
      <c r="M116" s="109">
        <v>1.32</v>
      </c>
      <c r="N116" s="109">
        <v>1.32</v>
      </c>
    </row>
    <row r="117" spans="1:14" x14ac:dyDescent="0.2">
      <c r="A117" s="100">
        <v>39</v>
      </c>
      <c r="B117" s="112">
        <v>90</v>
      </c>
      <c r="C117" s="113">
        <v>1.1200000000000001</v>
      </c>
      <c r="D117" s="113">
        <v>0.93</v>
      </c>
      <c r="E117" s="113">
        <v>0.71</v>
      </c>
      <c r="F117" s="113">
        <v>0.49</v>
      </c>
      <c r="G117" s="113">
        <v>0.33</v>
      </c>
      <c r="H117" s="113">
        <v>0.28000000000000003</v>
      </c>
      <c r="I117" s="113">
        <v>0.33</v>
      </c>
      <c r="J117" s="113">
        <v>0.49</v>
      </c>
      <c r="K117" s="113">
        <v>0.74</v>
      </c>
      <c r="L117" s="113">
        <v>1.04</v>
      </c>
      <c r="M117" s="113">
        <v>1.25</v>
      </c>
      <c r="N117" s="113">
        <v>1.26</v>
      </c>
    </row>
    <row r="119" spans="1:14" x14ac:dyDescent="0.2">
      <c r="B119" s="103" t="s">
        <v>297</v>
      </c>
      <c r="C119" s="104"/>
      <c r="D119" s="114" t="s">
        <v>298</v>
      </c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</row>
    <row r="120" spans="1:14" x14ac:dyDescent="0.2">
      <c r="B120" s="105"/>
      <c r="C120" s="105"/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</row>
    <row r="121" spans="1:14" x14ac:dyDescent="0.2">
      <c r="A121" s="115" t="s">
        <v>265</v>
      </c>
      <c r="B121" s="106" t="s">
        <v>31</v>
      </c>
      <c r="C121" s="107" t="s">
        <v>191</v>
      </c>
      <c r="D121" s="107" t="s">
        <v>192</v>
      </c>
      <c r="E121" s="107" t="s">
        <v>193</v>
      </c>
      <c r="F121" s="107" t="s">
        <v>194</v>
      </c>
      <c r="G121" s="107" t="s">
        <v>195</v>
      </c>
      <c r="H121" s="107" t="s">
        <v>196</v>
      </c>
      <c r="I121" s="107" t="s">
        <v>197</v>
      </c>
      <c r="J121" s="107" t="s">
        <v>287</v>
      </c>
      <c r="K121" s="107" t="s">
        <v>199</v>
      </c>
      <c r="L121" s="107" t="s">
        <v>288</v>
      </c>
      <c r="M121" s="107" t="s">
        <v>201</v>
      </c>
      <c r="N121" s="107" t="s">
        <v>202</v>
      </c>
    </row>
    <row r="122" spans="1:14" x14ac:dyDescent="0.2">
      <c r="A122" s="98">
        <v>40</v>
      </c>
      <c r="B122" s="108">
        <v>0</v>
      </c>
      <c r="C122" s="109">
        <v>1</v>
      </c>
      <c r="D122" s="109">
        <v>1</v>
      </c>
      <c r="E122" s="109">
        <v>1</v>
      </c>
      <c r="F122" s="109">
        <v>1</v>
      </c>
      <c r="G122" s="109">
        <v>1</v>
      </c>
      <c r="H122" s="109">
        <v>1</v>
      </c>
      <c r="I122" s="109">
        <v>1</v>
      </c>
      <c r="J122" s="109">
        <v>1</v>
      </c>
      <c r="K122" s="109">
        <v>1</v>
      </c>
      <c r="L122" s="109">
        <v>1</v>
      </c>
      <c r="M122" s="109">
        <v>1</v>
      </c>
      <c r="N122" s="109">
        <v>1</v>
      </c>
    </row>
    <row r="123" spans="1:14" x14ac:dyDescent="0.2">
      <c r="A123" s="99">
        <v>40</v>
      </c>
      <c r="B123" s="108">
        <v>5</v>
      </c>
      <c r="C123" s="109">
        <v>1.07</v>
      </c>
      <c r="D123" s="109">
        <v>1.06</v>
      </c>
      <c r="E123" s="109">
        <v>1.05</v>
      </c>
      <c r="F123" s="109">
        <v>1.03</v>
      </c>
      <c r="G123" s="109">
        <v>1.02</v>
      </c>
      <c r="H123" s="109">
        <v>1.01</v>
      </c>
      <c r="I123" s="109">
        <v>1.02</v>
      </c>
      <c r="J123" s="109">
        <v>1.03</v>
      </c>
      <c r="K123" s="109">
        <v>1.05</v>
      </c>
      <c r="L123" s="109">
        <v>1.08</v>
      </c>
      <c r="M123" s="109">
        <v>1.0900000000000001</v>
      </c>
      <c r="N123" s="109">
        <v>1.0900000000000001</v>
      </c>
    </row>
    <row r="124" spans="1:14" x14ac:dyDescent="0.2">
      <c r="A124" s="99">
        <v>40</v>
      </c>
      <c r="B124" s="108">
        <v>10</v>
      </c>
      <c r="C124" s="109">
        <v>1.1399999999999999</v>
      </c>
      <c r="D124" s="109">
        <v>1.1100000000000001</v>
      </c>
      <c r="E124" s="109">
        <v>1.08</v>
      </c>
      <c r="F124" s="109">
        <v>1.05</v>
      </c>
      <c r="G124" s="109">
        <v>1.03</v>
      </c>
      <c r="H124" s="109">
        <v>1.02</v>
      </c>
      <c r="I124" s="109">
        <v>1.03</v>
      </c>
      <c r="J124" s="109">
        <v>1.06</v>
      </c>
      <c r="K124" s="109">
        <v>1.1000000000000001</v>
      </c>
      <c r="L124" s="109">
        <v>1.1399999999999999</v>
      </c>
      <c r="M124" s="109">
        <v>1.17</v>
      </c>
      <c r="N124" s="109">
        <v>1.1599999999999999</v>
      </c>
    </row>
    <row r="125" spans="1:14" x14ac:dyDescent="0.2">
      <c r="A125" s="99">
        <v>40</v>
      </c>
      <c r="B125" s="108">
        <v>15</v>
      </c>
      <c r="C125" s="109">
        <v>1.2</v>
      </c>
      <c r="D125" s="109">
        <v>1.1599999999999999</v>
      </c>
      <c r="E125" s="109">
        <v>1.1200000000000001</v>
      </c>
      <c r="F125" s="109">
        <v>1.07</v>
      </c>
      <c r="G125" s="109">
        <v>1.03</v>
      </c>
      <c r="H125" s="109">
        <v>1.02</v>
      </c>
      <c r="I125" s="109">
        <v>1.04</v>
      </c>
      <c r="J125" s="109">
        <v>1.08</v>
      </c>
      <c r="K125" s="109">
        <v>1.1399999999999999</v>
      </c>
      <c r="L125" s="109">
        <v>1.21</v>
      </c>
      <c r="M125" s="109">
        <v>1.25</v>
      </c>
      <c r="N125" s="109">
        <v>1.24</v>
      </c>
    </row>
    <row r="126" spans="1:14" x14ac:dyDescent="0.2">
      <c r="A126" s="99">
        <v>40</v>
      </c>
      <c r="B126" s="108">
        <v>20</v>
      </c>
      <c r="C126" s="109">
        <v>1.25</v>
      </c>
      <c r="D126" s="109">
        <v>1.2</v>
      </c>
      <c r="E126" s="109">
        <v>1.1399999999999999</v>
      </c>
      <c r="F126" s="109">
        <v>1.08</v>
      </c>
      <c r="G126" s="109">
        <v>1.03</v>
      </c>
      <c r="H126" s="109">
        <v>1.02</v>
      </c>
      <c r="I126" s="109">
        <v>1.03</v>
      </c>
      <c r="J126" s="109">
        <v>1.0900000000000001</v>
      </c>
      <c r="K126" s="109">
        <v>1.17</v>
      </c>
      <c r="L126" s="109">
        <v>1.26</v>
      </c>
      <c r="M126" s="109">
        <v>1.32</v>
      </c>
      <c r="N126" s="109">
        <v>1.3</v>
      </c>
    </row>
    <row r="127" spans="1:14" x14ac:dyDescent="0.2">
      <c r="A127" s="99">
        <v>40</v>
      </c>
      <c r="B127" s="108">
        <v>25</v>
      </c>
      <c r="C127" s="109">
        <v>1.3</v>
      </c>
      <c r="D127" s="109">
        <v>1.23</v>
      </c>
      <c r="E127" s="109">
        <v>1.1599999999999999</v>
      </c>
      <c r="F127" s="109">
        <v>1.08</v>
      </c>
      <c r="G127" s="109">
        <v>1.02</v>
      </c>
      <c r="H127" s="109">
        <v>1</v>
      </c>
      <c r="I127" s="109">
        <v>1.02</v>
      </c>
      <c r="J127" s="109">
        <v>1.0900000000000001</v>
      </c>
      <c r="K127" s="109">
        <v>1.19</v>
      </c>
      <c r="L127" s="109">
        <v>1.3</v>
      </c>
      <c r="M127" s="109">
        <v>1.38</v>
      </c>
      <c r="N127" s="109">
        <v>1.36</v>
      </c>
    </row>
    <row r="128" spans="1:14" x14ac:dyDescent="0.2">
      <c r="A128" s="99">
        <v>40</v>
      </c>
      <c r="B128" s="110">
        <v>30</v>
      </c>
      <c r="C128" s="111">
        <v>1.34</v>
      </c>
      <c r="D128" s="111">
        <v>1.26</v>
      </c>
      <c r="E128" s="111">
        <v>1.17</v>
      </c>
      <c r="F128" s="111">
        <v>1.07</v>
      </c>
      <c r="G128" s="111">
        <v>1.01</v>
      </c>
      <c r="H128" s="111">
        <v>0.98</v>
      </c>
      <c r="I128" s="111">
        <v>1.01</v>
      </c>
      <c r="J128" s="111">
        <v>1.0900000000000001</v>
      </c>
      <c r="K128" s="111">
        <v>1.2</v>
      </c>
      <c r="L128" s="111">
        <v>1.34</v>
      </c>
      <c r="M128" s="111">
        <v>1.43</v>
      </c>
      <c r="N128" s="111">
        <v>1.41</v>
      </c>
    </row>
    <row r="129" spans="1:14" x14ac:dyDescent="0.2">
      <c r="A129" s="99">
        <v>40</v>
      </c>
      <c r="B129" s="108">
        <v>35</v>
      </c>
      <c r="C129" s="109">
        <v>1.37</v>
      </c>
      <c r="D129" s="109">
        <v>1.28</v>
      </c>
      <c r="E129" s="109">
        <v>1.17</v>
      </c>
      <c r="F129" s="109">
        <v>1.06</v>
      </c>
      <c r="G129" s="109">
        <v>0.98</v>
      </c>
      <c r="H129" s="109">
        <v>0.95</v>
      </c>
      <c r="I129" s="109">
        <v>0.98</v>
      </c>
      <c r="J129" s="109">
        <v>1.07</v>
      </c>
      <c r="K129" s="109">
        <v>1.21</v>
      </c>
      <c r="L129" s="109">
        <v>1.37</v>
      </c>
      <c r="M129" s="109">
        <v>1.47</v>
      </c>
      <c r="N129" s="109">
        <v>1.45</v>
      </c>
    </row>
    <row r="130" spans="1:14" x14ac:dyDescent="0.2">
      <c r="A130" s="99">
        <v>40</v>
      </c>
      <c r="B130" s="108">
        <v>40</v>
      </c>
      <c r="C130" s="109">
        <v>1.39</v>
      </c>
      <c r="D130" s="109">
        <v>1.29</v>
      </c>
      <c r="E130" s="109">
        <v>1.1599999999999999</v>
      </c>
      <c r="F130" s="109">
        <v>1.04</v>
      </c>
      <c r="G130" s="109">
        <v>0.95</v>
      </c>
      <c r="H130" s="109">
        <v>0.92</v>
      </c>
      <c r="I130" s="109">
        <v>0.95</v>
      </c>
      <c r="J130" s="109">
        <v>1.05</v>
      </c>
      <c r="K130" s="109">
        <v>1.21</v>
      </c>
      <c r="L130" s="109">
        <v>1.39</v>
      </c>
      <c r="M130" s="109">
        <v>1.5</v>
      </c>
      <c r="N130" s="109">
        <v>1.48</v>
      </c>
    </row>
    <row r="131" spans="1:14" x14ac:dyDescent="0.2">
      <c r="A131" s="99">
        <v>40</v>
      </c>
      <c r="B131" s="110">
        <v>45</v>
      </c>
      <c r="C131" s="111">
        <v>1.4</v>
      </c>
      <c r="D131" s="111">
        <v>1.29</v>
      </c>
      <c r="E131" s="111">
        <v>1.1499999999999999</v>
      </c>
      <c r="F131" s="111">
        <v>1.01</v>
      </c>
      <c r="G131" s="111">
        <v>0.91</v>
      </c>
      <c r="H131" s="111">
        <v>0.88</v>
      </c>
      <c r="I131" s="111">
        <v>0.92</v>
      </c>
      <c r="J131" s="111">
        <v>1.03</v>
      </c>
      <c r="K131" s="111">
        <v>1.2</v>
      </c>
      <c r="L131" s="111">
        <v>1.39</v>
      </c>
      <c r="M131" s="111">
        <v>1.52</v>
      </c>
      <c r="N131" s="111">
        <v>1.5</v>
      </c>
    </row>
    <row r="132" spans="1:14" x14ac:dyDescent="0.2">
      <c r="A132" s="99">
        <v>40</v>
      </c>
      <c r="B132" s="196">
        <v>50</v>
      </c>
      <c r="C132" s="289">
        <v>1.41</v>
      </c>
      <c r="D132" s="289">
        <v>1.28</v>
      </c>
      <c r="E132" s="289">
        <v>1.1299999999999999</v>
      </c>
      <c r="F132" s="289">
        <v>0.98</v>
      </c>
      <c r="G132" s="289">
        <v>0.87</v>
      </c>
      <c r="H132" s="289">
        <v>0.83</v>
      </c>
      <c r="I132" s="289">
        <v>0.87</v>
      </c>
      <c r="J132" s="289">
        <v>0.99</v>
      </c>
      <c r="K132" s="289">
        <v>1.18</v>
      </c>
      <c r="L132" s="289">
        <v>1.39</v>
      </c>
      <c r="M132" s="289">
        <v>1.54</v>
      </c>
      <c r="N132" s="289">
        <v>1.52</v>
      </c>
    </row>
    <row r="133" spans="1:14" x14ac:dyDescent="0.2">
      <c r="A133" s="99">
        <v>40</v>
      </c>
      <c r="B133" s="196">
        <v>55</v>
      </c>
      <c r="C133" s="289">
        <v>1.4</v>
      </c>
      <c r="D133" s="289">
        <v>1.27</v>
      </c>
      <c r="E133" s="289">
        <v>1.1000000000000001</v>
      </c>
      <c r="F133" s="289">
        <v>0.94</v>
      </c>
      <c r="G133" s="289">
        <v>0.82</v>
      </c>
      <c r="H133" s="289">
        <v>0.78</v>
      </c>
      <c r="I133" s="289">
        <v>0.82</v>
      </c>
      <c r="J133" s="289">
        <v>0.95</v>
      </c>
      <c r="K133" s="289">
        <v>1.1100000000000001</v>
      </c>
      <c r="L133" s="289">
        <v>1.38</v>
      </c>
      <c r="M133" s="289">
        <v>1.54</v>
      </c>
      <c r="N133" s="289">
        <v>1.52</v>
      </c>
    </row>
    <row r="134" spans="1:14" x14ac:dyDescent="0.2">
      <c r="A134" s="99">
        <v>40</v>
      </c>
      <c r="B134" s="110">
        <v>60</v>
      </c>
      <c r="C134" s="111">
        <v>1.39</v>
      </c>
      <c r="D134" s="111">
        <v>1.24</v>
      </c>
      <c r="E134" s="111">
        <v>1.07</v>
      </c>
      <c r="F134" s="111">
        <v>0.89</v>
      </c>
      <c r="G134" s="111">
        <v>0.77</v>
      </c>
      <c r="H134" s="111">
        <v>0.72</v>
      </c>
      <c r="I134" s="111">
        <v>0.77</v>
      </c>
      <c r="J134" s="111">
        <v>0.9</v>
      </c>
      <c r="K134" s="111">
        <v>1.1200000000000001</v>
      </c>
      <c r="L134" s="111">
        <v>1.36</v>
      </c>
      <c r="M134" s="111">
        <v>1.53</v>
      </c>
      <c r="N134" s="111">
        <v>1.51</v>
      </c>
    </row>
    <row r="135" spans="1:14" x14ac:dyDescent="0.2">
      <c r="A135" s="99">
        <v>40</v>
      </c>
      <c r="B135" s="108">
        <v>65</v>
      </c>
      <c r="C135" s="109">
        <v>1.37</v>
      </c>
      <c r="D135" s="109">
        <v>1.21</v>
      </c>
      <c r="E135" s="109">
        <v>1.03</v>
      </c>
      <c r="F135" s="109">
        <v>0.84</v>
      </c>
      <c r="G135" s="109">
        <v>0.71</v>
      </c>
      <c r="H135" s="109">
        <v>0.66</v>
      </c>
      <c r="I135" s="109">
        <v>0.71</v>
      </c>
      <c r="J135" s="109">
        <v>0.85</v>
      </c>
      <c r="K135" s="109">
        <v>1.07</v>
      </c>
      <c r="L135" s="109">
        <v>1.34</v>
      </c>
      <c r="M135" s="109">
        <v>1.51</v>
      </c>
      <c r="N135" s="109">
        <v>1.5</v>
      </c>
    </row>
    <row r="136" spans="1:14" x14ac:dyDescent="0.2">
      <c r="A136" s="99">
        <v>40</v>
      </c>
      <c r="B136" s="108">
        <v>70</v>
      </c>
      <c r="C136" s="109">
        <v>1.34</v>
      </c>
      <c r="D136" s="109">
        <v>1.17</v>
      </c>
      <c r="E136" s="109">
        <v>0.98</v>
      </c>
      <c r="F136" s="109">
        <v>0.78</v>
      </c>
      <c r="G136" s="109">
        <v>0.64</v>
      </c>
      <c r="H136" s="109">
        <v>0.59</v>
      </c>
      <c r="I136" s="109">
        <v>0.64</v>
      </c>
      <c r="J136" s="109">
        <v>0.79</v>
      </c>
      <c r="K136" s="109">
        <v>1.02</v>
      </c>
      <c r="L136" s="109">
        <v>1.3</v>
      </c>
      <c r="M136" s="109">
        <v>1.49</v>
      </c>
      <c r="N136" s="109">
        <v>1.47</v>
      </c>
    </row>
    <row r="137" spans="1:14" x14ac:dyDescent="0.2">
      <c r="A137" s="99">
        <v>40</v>
      </c>
      <c r="B137" s="108">
        <v>75</v>
      </c>
      <c r="C137" s="109">
        <v>1.3</v>
      </c>
      <c r="D137" s="109">
        <v>1.1299999999999999</v>
      </c>
      <c r="E137" s="109">
        <v>0.92</v>
      </c>
      <c r="F137" s="109">
        <v>0.72</v>
      </c>
      <c r="G137" s="109">
        <v>0.56999999999999995</v>
      </c>
      <c r="H137" s="109">
        <v>0.52</v>
      </c>
      <c r="I137" s="109">
        <v>0.56999999999999995</v>
      </c>
      <c r="J137" s="109">
        <v>0.73</v>
      </c>
      <c r="K137" s="109">
        <v>0.97</v>
      </c>
      <c r="L137" s="109">
        <v>1.25</v>
      </c>
      <c r="M137" s="109">
        <v>1.45</v>
      </c>
      <c r="N137" s="109">
        <v>1.44</v>
      </c>
    </row>
    <row r="138" spans="1:14" x14ac:dyDescent="0.2">
      <c r="A138" s="99">
        <v>40</v>
      </c>
      <c r="B138" s="108">
        <v>80</v>
      </c>
      <c r="C138" s="109">
        <v>1.25</v>
      </c>
      <c r="D138" s="109">
        <v>1.08</v>
      </c>
      <c r="E138" s="109">
        <v>0.86</v>
      </c>
      <c r="F138" s="109">
        <v>0.65</v>
      </c>
      <c r="G138" s="109">
        <v>0.5</v>
      </c>
      <c r="H138" s="109">
        <v>0.45</v>
      </c>
      <c r="I138" s="109">
        <v>0.5</v>
      </c>
      <c r="J138" s="109">
        <v>0.66</v>
      </c>
      <c r="K138" s="109">
        <v>0.9</v>
      </c>
      <c r="L138" s="109">
        <v>1.2</v>
      </c>
      <c r="M138" s="109">
        <v>1.41</v>
      </c>
      <c r="N138" s="109">
        <v>1.4</v>
      </c>
    </row>
    <row r="139" spans="1:14" x14ac:dyDescent="0.2">
      <c r="A139" s="99">
        <v>40</v>
      </c>
      <c r="B139" s="108">
        <v>85</v>
      </c>
      <c r="C139" s="109">
        <v>1.2</v>
      </c>
      <c r="D139" s="109">
        <v>1.02</v>
      </c>
      <c r="E139" s="109">
        <v>0.8</v>
      </c>
      <c r="F139" s="109">
        <v>0.57999999999999996</v>
      </c>
      <c r="G139" s="109">
        <v>0.43</v>
      </c>
      <c r="H139" s="109">
        <v>0.37</v>
      </c>
      <c r="I139" s="109">
        <v>0.42</v>
      </c>
      <c r="J139" s="109">
        <v>0.57999999999999996</v>
      </c>
      <c r="K139" s="109">
        <v>0.84</v>
      </c>
      <c r="L139" s="109">
        <v>1.1399999999999999</v>
      </c>
      <c r="M139" s="109">
        <v>1.34</v>
      </c>
      <c r="N139" s="109">
        <v>1.35</v>
      </c>
    </row>
    <row r="140" spans="1:14" x14ac:dyDescent="0.2">
      <c r="A140" s="100">
        <v>40</v>
      </c>
      <c r="B140" s="112">
        <v>90</v>
      </c>
      <c r="C140" s="113">
        <v>1.1399999999999999</v>
      </c>
      <c r="D140" s="113">
        <v>0.95</v>
      </c>
      <c r="E140" s="113">
        <v>0.73</v>
      </c>
      <c r="F140" s="113">
        <v>0.5</v>
      </c>
      <c r="G140" s="113">
        <v>0.35</v>
      </c>
      <c r="H140" s="113">
        <v>0.28999999999999998</v>
      </c>
      <c r="I140" s="113">
        <v>0.34</v>
      </c>
      <c r="J140" s="113">
        <v>0.5</v>
      </c>
      <c r="K140" s="113">
        <v>0.76</v>
      </c>
      <c r="L140" s="113">
        <v>1.07</v>
      </c>
      <c r="M140" s="113">
        <v>1.29</v>
      </c>
      <c r="N140" s="113">
        <v>1.29</v>
      </c>
    </row>
    <row r="142" spans="1:14" x14ac:dyDescent="0.2">
      <c r="B142" s="103" t="s">
        <v>299</v>
      </c>
      <c r="C142" s="104"/>
      <c r="D142" s="114" t="s">
        <v>300</v>
      </c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</row>
    <row r="143" spans="1:14" x14ac:dyDescent="0.2">
      <c r="B143" s="105"/>
      <c r="C143" s="105"/>
      <c r="D143" s="105"/>
      <c r="E143" s="105"/>
      <c r="F143" s="105"/>
      <c r="G143" s="105"/>
      <c r="H143" s="105"/>
      <c r="I143" s="105"/>
      <c r="J143" s="105"/>
      <c r="K143" s="105"/>
      <c r="L143" s="105"/>
      <c r="M143" s="105"/>
      <c r="N143" s="105"/>
    </row>
    <row r="144" spans="1:14" x14ac:dyDescent="0.2">
      <c r="A144" s="115" t="s">
        <v>265</v>
      </c>
      <c r="B144" s="106" t="s">
        <v>31</v>
      </c>
      <c r="C144" s="107" t="s">
        <v>191</v>
      </c>
      <c r="D144" s="107" t="s">
        <v>192</v>
      </c>
      <c r="E144" s="107" t="s">
        <v>193</v>
      </c>
      <c r="F144" s="107" t="s">
        <v>194</v>
      </c>
      <c r="G144" s="107" t="s">
        <v>195</v>
      </c>
      <c r="H144" s="107" t="s">
        <v>196</v>
      </c>
      <c r="I144" s="107" t="s">
        <v>197</v>
      </c>
      <c r="J144" s="107" t="s">
        <v>287</v>
      </c>
      <c r="K144" s="107" t="s">
        <v>199</v>
      </c>
      <c r="L144" s="107" t="s">
        <v>288</v>
      </c>
      <c r="M144" s="107" t="s">
        <v>201</v>
      </c>
      <c r="N144" s="107" t="s">
        <v>202</v>
      </c>
    </row>
    <row r="145" spans="1:14" x14ac:dyDescent="0.2">
      <c r="A145" s="98">
        <v>41</v>
      </c>
      <c r="B145" s="108">
        <v>0</v>
      </c>
      <c r="C145" s="109">
        <v>1</v>
      </c>
      <c r="D145" s="109">
        <v>1</v>
      </c>
      <c r="E145" s="109">
        <v>1</v>
      </c>
      <c r="F145" s="109">
        <v>1</v>
      </c>
      <c r="G145" s="109">
        <v>1</v>
      </c>
      <c r="H145" s="109">
        <v>1</v>
      </c>
      <c r="I145" s="109">
        <v>1</v>
      </c>
      <c r="J145" s="109">
        <v>1</v>
      </c>
      <c r="K145" s="109">
        <v>1</v>
      </c>
      <c r="L145" s="109">
        <v>1</v>
      </c>
      <c r="M145" s="109">
        <v>1</v>
      </c>
      <c r="N145" s="109">
        <v>1</v>
      </c>
    </row>
    <row r="146" spans="1:14" x14ac:dyDescent="0.2">
      <c r="A146" s="99">
        <v>41</v>
      </c>
      <c r="B146" s="108">
        <v>5</v>
      </c>
      <c r="C146" s="109">
        <v>1.07</v>
      </c>
      <c r="D146" s="109">
        <v>1.06</v>
      </c>
      <c r="E146" s="109">
        <v>1.05</v>
      </c>
      <c r="F146" s="109">
        <v>1.03</v>
      </c>
      <c r="G146" s="109">
        <v>1.02</v>
      </c>
      <c r="H146" s="109">
        <v>1.02</v>
      </c>
      <c r="I146" s="109">
        <v>1.02</v>
      </c>
      <c r="J146" s="109">
        <v>1.03</v>
      </c>
      <c r="K146" s="109">
        <v>1.05</v>
      </c>
      <c r="L146" s="109">
        <v>1.08</v>
      </c>
      <c r="M146" s="109">
        <v>1.0900000000000001</v>
      </c>
      <c r="N146" s="109">
        <v>1.0900000000000001</v>
      </c>
    </row>
    <row r="147" spans="1:14" x14ac:dyDescent="0.2">
      <c r="A147" s="99">
        <v>41</v>
      </c>
      <c r="B147" s="108">
        <v>10</v>
      </c>
      <c r="C147" s="109">
        <v>1.1399999999999999</v>
      </c>
      <c r="D147" s="109">
        <v>1.1200000000000001</v>
      </c>
      <c r="E147" s="109">
        <v>1.0900000000000001</v>
      </c>
      <c r="F147" s="109">
        <v>1.06</v>
      </c>
      <c r="G147" s="109">
        <v>1.03</v>
      </c>
      <c r="H147" s="109">
        <v>1.02</v>
      </c>
      <c r="I147" s="109">
        <v>1.03</v>
      </c>
      <c r="J147" s="109">
        <v>1.06</v>
      </c>
      <c r="K147" s="109">
        <v>1.1000000000000001</v>
      </c>
      <c r="L147" s="109">
        <v>1.1499999999999999</v>
      </c>
      <c r="M147" s="109">
        <v>1.18</v>
      </c>
      <c r="N147" s="109">
        <v>1.17</v>
      </c>
    </row>
    <row r="148" spans="1:14" x14ac:dyDescent="0.2">
      <c r="A148" s="99">
        <v>41</v>
      </c>
      <c r="B148" s="108">
        <v>15</v>
      </c>
      <c r="C148" s="109">
        <v>1.21</v>
      </c>
      <c r="D148" s="109">
        <v>1.17</v>
      </c>
      <c r="E148" s="109">
        <v>1.1200000000000001</v>
      </c>
      <c r="F148" s="109">
        <v>1.07</v>
      </c>
      <c r="G148" s="109">
        <v>1.04</v>
      </c>
      <c r="H148" s="109">
        <v>1.03</v>
      </c>
      <c r="I148" s="109">
        <v>1.04</v>
      </c>
      <c r="J148" s="109">
        <v>1.08</v>
      </c>
      <c r="K148" s="109">
        <v>1.1399999999999999</v>
      </c>
      <c r="L148" s="109">
        <v>1.21</v>
      </c>
      <c r="M148" s="109">
        <v>1.26</v>
      </c>
      <c r="N148" s="109">
        <v>1.24</v>
      </c>
    </row>
    <row r="149" spans="1:14" x14ac:dyDescent="0.2">
      <c r="A149" s="99">
        <v>41</v>
      </c>
      <c r="B149" s="108">
        <v>20</v>
      </c>
      <c r="C149" s="109">
        <v>1.26</v>
      </c>
      <c r="D149" s="109">
        <v>1.21</v>
      </c>
      <c r="E149" s="109">
        <v>1.1499999999999999</v>
      </c>
      <c r="F149" s="109">
        <v>1.08</v>
      </c>
      <c r="G149" s="109">
        <v>1.04</v>
      </c>
      <c r="H149" s="109">
        <v>1.02</v>
      </c>
      <c r="I149" s="109">
        <v>1.04</v>
      </c>
      <c r="J149" s="109">
        <v>1.0900000000000001</v>
      </c>
      <c r="K149" s="109">
        <v>1.17</v>
      </c>
      <c r="L149" s="109">
        <v>1.27</v>
      </c>
      <c r="M149" s="109">
        <v>1.33</v>
      </c>
      <c r="N149" s="109">
        <v>1.31</v>
      </c>
    </row>
    <row r="150" spans="1:14" x14ac:dyDescent="0.2">
      <c r="A150" s="99">
        <v>41</v>
      </c>
      <c r="B150" s="108">
        <v>25</v>
      </c>
      <c r="C150" s="109">
        <v>1.31</v>
      </c>
      <c r="D150" s="109">
        <v>1.24</v>
      </c>
      <c r="E150" s="109">
        <v>1.17</v>
      </c>
      <c r="F150" s="109">
        <v>1.0900000000000001</v>
      </c>
      <c r="G150" s="109">
        <v>1.03</v>
      </c>
      <c r="H150" s="109">
        <v>1.01</v>
      </c>
      <c r="I150" s="109">
        <v>1.03</v>
      </c>
      <c r="J150" s="109">
        <v>1.1000000000000001</v>
      </c>
      <c r="K150" s="109">
        <v>1.2</v>
      </c>
      <c r="L150" s="109">
        <v>1.32</v>
      </c>
      <c r="M150" s="109">
        <v>1.39</v>
      </c>
      <c r="N150" s="109">
        <v>1.37</v>
      </c>
    </row>
    <row r="151" spans="1:14" x14ac:dyDescent="0.2">
      <c r="A151" s="99">
        <v>41</v>
      </c>
      <c r="B151" s="110">
        <v>30</v>
      </c>
      <c r="C151" s="111">
        <v>1.35</v>
      </c>
      <c r="D151" s="111">
        <v>1.27</v>
      </c>
      <c r="E151" s="111">
        <v>1.18</v>
      </c>
      <c r="F151" s="111">
        <v>1.08</v>
      </c>
      <c r="G151" s="111">
        <v>1.01</v>
      </c>
      <c r="H151" s="111">
        <v>0.99</v>
      </c>
      <c r="I151" s="111">
        <v>1.02</v>
      </c>
      <c r="J151" s="111">
        <v>1.0900000000000001</v>
      </c>
      <c r="K151" s="111">
        <v>1.21</v>
      </c>
      <c r="L151" s="111">
        <v>1.35</v>
      </c>
      <c r="M151" s="111">
        <v>1.44</v>
      </c>
      <c r="N151" s="111">
        <v>1.42</v>
      </c>
    </row>
    <row r="152" spans="1:14" x14ac:dyDescent="0.2">
      <c r="A152" s="99">
        <v>41</v>
      </c>
      <c r="B152" s="108">
        <v>35</v>
      </c>
      <c r="C152" s="109">
        <v>1.38</v>
      </c>
      <c r="D152" s="109">
        <v>1.29</v>
      </c>
      <c r="E152" s="109">
        <v>1.18</v>
      </c>
      <c r="F152" s="109">
        <v>1.07</v>
      </c>
      <c r="G152" s="109">
        <v>0.99</v>
      </c>
      <c r="H152" s="109">
        <v>0.96</v>
      </c>
      <c r="I152" s="109">
        <v>0.99</v>
      </c>
      <c r="J152" s="109">
        <v>1.08</v>
      </c>
      <c r="K152" s="109">
        <v>1.22</v>
      </c>
      <c r="L152" s="109">
        <v>1.38</v>
      </c>
      <c r="M152" s="109">
        <v>1.49</v>
      </c>
      <c r="N152" s="109">
        <v>1.47</v>
      </c>
    </row>
    <row r="153" spans="1:14" x14ac:dyDescent="0.2">
      <c r="A153" s="99">
        <v>41</v>
      </c>
      <c r="B153" s="108">
        <v>40</v>
      </c>
      <c r="C153" s="109">
        <v>1.4</v>
      </c>
      <c r="D153" s="109">
        <v>1.3</v>
      </c>
      <c r="E153" s="109">
        <v>1.18</v>
      </c>
      <c r="F153" s="109">
        <v>1.05</v>
      </c>
      <c r="G153" s="109">
        <v>0.95</v>
      </c>
      <c r="H153" s="109">
        <v>0.93</v>
      </c>
      <c r="I153" s="109">
        <v>0.96</v>
      </c>
      <c r="J153" s="109">
        <v>1.06</v>
      </c>
      <c r="K153" s="109">
        <v>1.22</v>
      </c>
      <c r="L153" s="109">
        <v>1.4</v>
      </c>
      <c r="M153" s="109">
        <v>1.52</v>
      </c>
      <c r="N153" s="109">
        <v>1.5</v>
      </c>
    </row>
    <row r="154" spans="1:14" x14ac:dyDescent="0.2">
      <c r="A154" s="99">
        <v>41</v>
      </c>
      <c r="B154" s="110">
        <v>45</v>
      </c>
      <c r="C154" s="111">
        <v>1.42</v>
      </c>
      <c r="D154" s="111">
        <v>1.3</v>
      </c>
      <c r="E154" s="111">
        <v>1.1599999999999999</v>
      </c>
      <c r="F154" s="111">
        <v>1.03</v>
      </c>
      <c r="G154" s="111">
        <v>0.93</v>
      </c>
      <c r="H154" s="111">
        <v>0.89</v>
      </c>
      <c r="I154" s="111">
        <v>0.93</v>
      </c>
      <c r="J154" s="111">
        <v>1.04</v>
      </c>
      <c r="K154" s="111">
        <v>1.21</v>
      </c>
      <c r="L154" s="111">
        <v>1.41</v>
      </c>
      <c r="M154" s="111">
        <v>1.55</v>
      </c>
      <c r="N154" s="111">
        <v>1.52</v>
      </c>
    </row>
    <row r="155" spans="1:14" x14ac:dyDescent="0.2">
      <c r="A155" s="99">
        <v>41</v>
      </c>
      <c r="B155" s="196">
        <v>50</v>
      </c>
      <c r="C155" s="289">
        <v>1.42</v>
      </c>
      <c r="D155" s="289">
        <v>1.3</v>
      </c>
      <c r="E155" s="289">
        <v>1.1399999999999999</v>
      </c>
      <c r="F155" s="289">
        <v>0.99</v>
      </c>
      <c r="G155" s="289">
        <v>0.88</v>
      </c>
      <c r="H155" s="289">
        <v>0.84</v>
      </c>
      <c r="I155" s="289">
        <v>0.88</v>
      </c>
      <c r="J155" s="289">
        <v>1.07</v>
      </c>
      <c r="K155" s="289">
        <v>1.19</v>
      </c>
      <c r="L155" s="289">
        <v>1.41</v>
      </c>
      <c r="M155" s="289">
        <v>1.56</v>
      </c>
      <c r="N155" s="289">
        <v>1.54</v>
      </c>
    </row>
    <row r="156" spans="1:14" x14ac:dyDescent="0.2">
      <c r="A156" s="99">
        <v>41</v>
      </c>
      <c r="B156" s="196">
        <v>55</v>
      </c>
      <c r="C156" s="289">
        <v>1.42</v>
      </c>
      <c r="D156" s="289">
        <v>1.28</v>
      </c>
      <c r="E156" s="289">
        <v>1.1200000000000001</v>
      </c>
      <c r="F156" s="289">
        <v>0.95</v>
      </c>
      <c r="G156" s="289">
        <v>0.83</v>
      </c>
      <c r="H156" s="289">
        <v>0.79</v>
      </c>
      <c r="I156" s="289">
        <v>0.84</v>
      </c>
      <c r="J156" s="289">
        <v>0.97</v>
      </c>
      <c r="K156" s="289">
        <v>1.17</v>
      </c>
      <c r="L156" s="289">
        <v>1.41</v>
      </c>
      <c r="M156" s="289">
        <v>1.57</v>
      </c>
      <c r="N156" s="289">
        <v>1.54</v>
      </c>
    </row>
    <row r="157" spans="1:14" x14ac:dyDescent="0.2">
      <c r="A157" s="99">
        <v>41</v>
      </c>
      <c r="B157" s="110">
        <v>60</v>
      </c>
      <c r="C157" s="111">
        <v>1.41</v>
      </c>
      <c r="D157" s="111">
        <v>1.26</v>
      </c>
      <c r="E157" s="111">
        <v>1.08</v>
      </c>
      <c r="F157" s="111">
        <v>0.91</v>
      </c>
      <c r="G157" s="111">
        <v>0.78</v>
      </c>
      <c r="H157" s="111">
        <v>0.73</v>
      </c>
      <c r="I157" s="111">
        <v>0.78</v>
      </c>
      <c r="J157" s="111">
        <v>0.92</v>
      </c>
      <c r="K157" s="111">
        <v>1.1399999999999999</v>
      </c>
      <c r="L157" s="111">
        <v>1.39</v>
      </c>
      <c r="M157" s="111">
        <v>1.56</v>
      </c>
      <c r="N157" s="111">
        <v>1.54</v>
      </c>
    </row>
    <row r="158" spans="1:14" x14ac:dyDescent="0.2">
      <c r="A158" s="99">
        <v>41</v>
      </c>
      <c r="B158" s="108">
        <v>65</v>
      </c>
      <c r="C158" s="109">
        <v>1.39</v>
      </c>
      <c r="D158" s="109">
        <v>1.23</v>
      </c>
      <c r="E158" s="109">
        <v>1.04</v>
      </c>
      <c r="F158" s="109">
        <v>0.85</v>
      </c>
      <c r="G158" s="109">
        <v>0.72</v>
      </c>
      <c r="H158" s="109">
        <v>0.67</v>
      </c>
      <c r="I158" s="109">
        <v>0.72</v>
      </c>
      <c r="J158" s="109">
        <v>0.87</v>
      </c>
      <c r="K158" s="109">
        <v>1.0900000000000001</v>
      </c>
      <c r="L158" s="109">
        <v>1.36</v>
      </c>
      <c r="M158" s="109">
        <v>1.54</v>
      </c>
      <c r="N158" s="109">
        <v>1.53</v>
      </c>
    </row>
    <row r="159" spans="1:14" x14ac:dyDescent="0.2">
      <c r="A159" s="99">
        <v>41</v>
      </c>
      <c r="B159" s="108">
        <v>70</v>
      </c>
      <c r="C159" s="109">
        <v>1.36</v>
      </c>
      <c r="D159" s="109">
        <v>1.19</v>
      </c>
      <c r="E159" s="109">
        <v>0.99</v>
      </c>
      <c r="F159" s="109">
        <v>0.8</v>
      </c>
      <c r="G159" s="109">
        <v>0.66</v>
      </c>
      <c r="H159" s="109">
        <v>0.61</v>
      </c>
      <c r="I159" s="109">
        <v>0.66</v>
      </c>
      <c r="J159" s="109">
        <v>0.81</v>
      </c>
      <c r="K159" s="109">
        <v>1.04</v>
      </c>
      <c r="L159" s="109">
        <v>1.32</v>
      </c>
      <c r="M159" s="109">
        <v>1.52</v>
      </c>
      <c r="N159" s="109">
        <v>1.5</v>
      </c>
    </row>
    <row r="160" spans="1:14" x14ac:dyDescent="0.2">
      <c r="A160" s="99">
        <v>41</v>
      </c>
      <c r="B160" s="108">
        <v>75</v>
      </c>
      <c r="C160" s="109">
        <v>1.32</v>
      </c>
      <c r="D160" s="109">
        <v>1.1499999999999999</v>
      </c>
      <c r="E160" s="109">
        <v>0.94</v>
      </c>
      <c r="F160" s="109">
        <v>0.73</v>
      </c>
      <c r="G160" s="109">
        <v>0.59</v>
      </c>
      <c r="H160" s="109">
        <v>0.54</v>
      </c>
      <c r="I160" s="109">
        <v>0.59</v>
      </c>
      <c r="J160" s="109">
        <v>0.74</v>
      </c>
      <c r="K160" s="109">
        <v>0.99</v>
      </c>
      <c r="L160" s="109">
        <v>1.28</v>
      </c>
      <c r="M160" s="109">
        <v>1.48</v>
      </c>
      <c r="N160" s="109">
        <v>1.47</v>
      </c>
    </row>
    <row r="161" spans="1:14" x14ac:dyDescent="0.2">
      <c r="A161" s="99">
        <v>41</v>
      </c>
      <c r="B161" s="108">
        <v>80</v>
      </c>
      <c r="C161" s="109">
        <v>1.28</v>
      </c>
      <c r="D161" s="109">
        <v>1.1000000000000001</v>
      </c>
      <c r="E161" s="109">
        <v>0.88</v>
      </c>
      <c r="F161" s="109">
        <v>0.67</v>
      </c>
      <c r="G161" s="109">
        <v>0.52</v>
      </c>
      <c r="H161" s="109">
        <v>0.46</v>
      </c>
      <c r="I161" s="109">
        <v>0.52</v>
      </c>
      <c r="J161" s="109">
        <v>0.67</v>
      </c>
      <c r="K161" s="109">
        <v>0.93</v>
      </c>
      <c r="L161" s="109">
        <v>1.23</v>
      </c>
      <c r="M161" s="109">
        <v>1.44</v>
      </c>
      <c r="N161" s="109">
        <v>1.43</v>
      </c>
    </row>
    <row r="162" spans="1:14" x14ac:dyDescent="0.2">
      <c r="A162" s="99">
        <v>41</v>
      </c>
      <c r="B162" s="108">
        <v>85</v>
      </c>
      <c r="C162" s="109">
        <v>1.23</v>
      </c>
      <c r="D162" s="109">
        <v>1.04</v>
      </c>
      <c r="E162" s="109">
        <v>0.82</v>
      </c>
      <c r="F162" s="109">
        <v>0.6</v>
      </c>
      <c r="G162" s="109">
        <v>0.44</v>
      </c>
      <c r="H162" s="109">
        <v>0.39</v>
      </c>
      <c r="I162" s="109">
        <v>0.44</v>
      </c>
      <c r="J162" s="109">
        <v>0.6</v>
      </c>
      <c r="K162" s="109">
        <v>0.86</v>
      </c>
      <c r="L162" s="109">
        <v>1.1599999999999999</v>
      </c>
      <c r="M162" s="109">
        <v>1.38</v>
      </c>
      <c r="N162" s="109">
        <v>1.38</v>
      </c>
    </row>
    <row r="163" spans="1:14" x14ac:dyDescent="0.2">
      <c r="A163" s="100">
        <v>41</v>
      </c>
      <c r="B163" s="112">
        <v>90</v>
      </c>
      <c r="C163" s="113">
        <v>1.17</v>
      </c>
      <c r="D163" s="113">
        <v>0.98</v>
      </c>
      <c r="E163" s="113">
        <v>0.74</v>
      </c>
      <c r="F163" s="113">
        <v>0.52</v>
      </c>
      <c r="G163" s="113">
        <v>0.36</v>
      </c>
      <c r="H163" s="113">
        <v>0.31</v>
      </c>
      <c r="I163" s="113">
        <v>0.36</v>
      </c>
      <c r="J163" s="113">
        <v>0.52</v>
      </c>
      <c r="K163" s="113">
        <v>0.78</v>
      </c>
      <c r="L163" s="113">
        <v>1.0900000000000001</v>
      </c>
      <c r="M163" s="113">
        <v>1.32</v>
      </c>
      <c r="N163" s="113">
        <v>1.32</v>
      </c>
    </row>
    <row r="165" spans="1:14" x14ac:dyDescent="0.2">
      <c r="B165" s="103" t="s">
        <v>301</v>
      </c>
      <c r="C165" s="104"/>
      <c r="D165" s="114" t="s">
        <v>302</v>
      </c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</row>
    <row r="166" spans="1:14" x14ac:dyDescent="0.2">
      <c r="B166" s="105"/>
      <c r="C166" s="105"/>
      <c r="D166" s="105"/>
      <c r="E166" s="105"/>
      <c r="F166" s="105"/>
      <c r="G166" s="105"/>
      <c r="H166" s="105"/>
      <c r="I166" s="105"/>
      <c r="J166" s="105"/>
      <c r="K166" s="105"/>
      <c r="L166" s="105"/>
      <c r="M166" s="105"/>
      <c r="N166" s="105"/>
    </row>
    <row r="167" spans="1:14" x14ac:dyDescent="0.2">
      <c r="A167" s="115" t="s">
        <v>265</v>
      </c>
      <c r="B167" s="106" t="s">
        <v>31</v>
      </c>
      <c r="C167" s="107" t="s">
        <v>191</v>
      </c>
      <c r="D167" s="107" t="s">
        <v>192</v>
      </c>
      <c r="E167" s="107" t="s">
        <v>193</v>
      </c>
      <c r="F167" s="107" t="s">
        <v>194</v>
      </c>
      <c r="G167" s="107" t="s">
        <v>195</v>
      </c>
      <c r="H167" s="107" t="s">
        <v>196</v>
      </c>
      <c r="I167" s="107" t="s">
        <v>197</v>
      </c>
      <c r="J167" s="107" t="s">
        <v>287</v>
      </c>
      <c r="K167" s="107" t="s">
        <v>199</v>
      </c>
      <c r="L167" s="107" t="s">
        <v>288</v>
      </c>
      <c r="M167" s="107" t="s">
        <v>201</v>
      </c>
      <c r="N167" s="107" t="s">
        <v>202</v>
      </c>
    </row>
    <row r="168" spans="1:14" x14ac:dyDescent="0.2">
      <c r="A168" s="98">
        <v>42</v>
      </c>
      <c r="B168" s="108">
        <v>0</v>
      </c>
      <c r="C168" s="109">
        <v>1</v>
      </c>
      <c r="D168" s="109">
        <v>1</v>
      </c>
      <c r="E168" s="109">
        <v>1</v>
      </c>
      <c r="F168" s="109">
        <v>1</v>
      </c>
      <c r="G168" s="109">
        <v>1</v>
      </c>
      <c r="H168" s="109">
        <v>1</v>
      </c>
      <c r="I168" s="109">
        <v>1</v>
      </c>
      <c r="J168" s="109">
        <v>1</v>
      </c>
      <c r="K168" s="109">
        <v>1</v>
      </c>
      <c r="L168" s="109">
        <v>1</v>
      </c>
      <c r="M168" s="109">
        <v>1</v>
      </c>
      <c r="N168" s="109">
        <v>1</v>
      </c>
    </row>
    <row r="169" spans="1:14" x14ac:dyDescent="0.2">
      <c r="A169" s="99">
        <v>42</v>
      </c>
      <c r="B169" s="108">
        <v>5</v>
      </c>
      <c r="C169" s="109">
        <v>1.08</v>
      </c>
      <c r="D169" s="109">
        <v>1.06</v>
      </c>
      <c r="E169" s="109">
        <v>1.05</v>
      </c>
      <c r="F169" s="109">
        <v>1.03</v>
      </c>
      <c r="G169" s="109">
        <v>1.02</v>
      </c>
      <c r="H169" s="109">
        <v>1.02</v>
      </c>
      <c r="I169" s="109">
        <v>1.02</v>
      </c>
      <c r="J169" s="109">
        <v>1.04</v>
      </c>
      <c r="K169" s="109">
        <v>1.06</v>
      </c>
      <c r="L169" s="109">
        <v>1.08</v>
      </c>
      <c r="M169" s="109">
        <v>1.0900000000000001</v>
      </c>
      <c r="N169" s="109">
        <v>1.0900000000000001</v>
      </c>
    </row>
    <row r="170" spans="1:14" x14ac:dyDescent="0.2">
      <c r="A170" s="99">
        <v>42</v>
      </c>
      <c r="B170" s="108">
        <v>10</v>
      </c>
      <c r="C170" s="109">
        <v>1.1499999999999999</v>
      </c>
      <c r="D170" s="109">
        <v>1.1200000000000001</v>
      </c>
      <c r="E170" s="109">
        <v>1.0900000000000001</v>
      </c>
      <c r="F170" s="109">
        <v>1.06</v>
      </c>
      <c r="G170" s="109">
        <v>1.04</v>
      </c>
      <c r="H170" s="109">
        <v>1.03</v>
      </c>
      <c r="I170" s="109">
        <v>1.04</v>
      </c>
      <c r="J170" s="109">
        <v>1.06</v>
      </c>
      <c r="K170" s="109">
        <v>1.1100000000000001</v>
      </c>
      <c r="L170" s="109">
        <v>1.1499999999999999</v>
      </c>
      <c r="M170" s="109">
        <v>1.18</v>
      </c>
      <c r="N170" s="109">
        <v>1.17</v>
      </c>
    </row>
    <row r="171" spans="1:14" x14ac:dyDescent="0.2">
      <c r="A171" s="99">
        <v>42</v>
      </c>
      <c r="B171" s="108">
        <v>15</v>
      </c>
      <c r="C171" s="109">
        <v>1.21</v>
      </c>
      <c r="D171" s="109">
        <v>1.17</v>
      </c>
      <c r="E171" s="109">
        <v>1.1299999999999999</v>
      </c>
      <c r="F171" s="109">
        <v>1.08</v>
      </c>
      <c r="G171" s="109">
        <v>1.04</v>
      </c>
      <c r="H171" s="109">
        <v>1.03</v>
      </c>
      <c r="I171" s="109">
        <v>1.04</v>
      </c>
      <c r="J171" s="109">
        <v>1.0900000000000001</v>
      </c>
      <c r="K171" s="109">
        <v>1.1499999999999999</v>
      </c>
      <c r="L171" s="109">
        <v>1.22</v>
      </c>
      <c r="M171" s="109">
        <v>1.26</v>
      </c>
      <c r="N171" s="109">
        <v>1.25</v>
      </c>
    </row>
    <row r="172" spans="1:14" x14ac:dyDescent="0.2">
      <c r="A172" s="99">
        <v>42</v>
      </c>
      <c r="B172" s="108">
        <v>20</v>
      </c>
      <c r="C172" s="109">
        <v>1.27</v>
      </c>
      <c r="D172" s="109">
        <v>1.21</v>
      </c>
      <c r="E172" s="109">
        <v>1.1499999999999999</v>
      </c>
      <c r="F172" s="109">
        <v>1.0900000000000001</v>
      </c>
      <c r="G172" s="109">
        <v>1.04</v>
      </c>
      <c r="H172" s="109">
        <v>1.03</v>
      </c>
      <c r="I172" s="109">
        <v>1.05</v>
      </c>
      <c r="J172" s="109">
        <v>1.1000000000000001</v>
      </c>
      <c r="K172" s="109">
        <v>1.18</v>
      </c>
      <c r="L172" s="109">
        <v>1.28</v>
      </c>
      <c r="M172" s="109">
        <v>1.34</v>
      </c>
      <c r="N172" s="109">
        <v>1.32</v>
      </c>
    </row>
    <row r="173" spans="1:14" x14ac:dyDescent="0.2">
      <c r="A173" s="99">
        <v>42</v>
      </c>
      <c r="B173" s="108">
        <v>25</v>
      </c>
      <c r="C173" s="109">
        <v>1.32</v>
      </c>
      <c r="D173" s="109">
        <v>1.25</v>
      </c>
      <c r="E173" s="109">
        <v>1.17</v>
      </c>
      <c r="F173" s="109">
        <v>1.0900000000000001</v>
      </c>
      <c r="G173" s="109">
        <v>1.04</v>
      </c>
      <c r="H173" s="109">
        <v>1.01</v>
      </c>
      <c r="I173" s="109">
        <v>1.04</v>
      </c>
      <c r="J173" s="109">
        <v>1.1000000000000001</v>
      </c>
      <c r="K173" s="109">
        <v>1.21</v>
      </c>
      <c r="L173" s="109">
        <v>1.33</v>
      </c>
      <c r="M173" s="109">
        <v>1.4</v>
      </c>
      <c r="N173" s="109">
        <v>1.38</v>
      </c>
    </row>
    <row r="174" spans="1:14" x14ac:dyDescent="0.2">
      <c r="A174" s="99">
        <v>42</v>
      </c>
      <c r="B174" s="110">
        <v>30</v>
      </c>
      <c r="C174" s="111">
        <v>1.36</v>
      </c>
      <c r="D174" s="111">
        <v>1.28</v>
      </c>
      <c r="E174" s="111">
        <v>1.19</v>
      </c>
      <c r="F174" s="111">
        <v>1.0900000000000001</v>
      </c>
      <c r="G174" s="111">
        <v>1.02</v>
      </c>
      <c r="H174" s="111">
        <v>1</v>
      </c>
      <c r="I174" s="111">
        <v>1.02</v>
      </c>
      <c r="J174" s="111">
        <v>1.1000000000000001</v>
      </c>
      <c r="K174" s="111">
        <v>1.23</v>
      </c>
      <c r="L174" s="111">
        <v>1.37</v>
      </c>
      <c r="M174" s="111">
        <v>1.46</v>
      </c>
      <c r="N174" s="111">
        <v>1.44</v>
      </c>
    </row>
    <row r="175" spans="1:14" x14ac:dyDescent="0.2">
      <c r="A175" s="99">
        <v>42</v>
      </c>
      <c r="B175" s="108">
        <v>35</v>
      </c>
      <c r="C175" s="109">
        <v>1.39</v>
      </c>
      <c r="D175" s="109">
        <v>1.3</v>
      </c>
      <c r="E175" s="109">
        <v>1.19</v>
      </c>
      <c r="F175" s="109">
        <v>1.08</v>
      </c>
      <c r="G175" s="109">
        <v>1</v>
      </c>
      <c r="H175" s="109">
        <v>0.97</v>
      </c>
      <c r="I175" s="109">
        <v>1</v>
      </c>
      <c r="J175" s="109">
        <v>1.0900000000000001</v>
      </c>
      <c r="K175" s="109">
        <v>1.23</v>
      </c>
      <c r="L175" s="109">
        <v>1.4</v>
      </c>
      <c r="M175" s="109">
        <v>1.51</v>
      </c>
      <c r="N175" s="109">
        <v>1.48</v>
      </c>
    </row>
    <row r="176" spans="1:14" x14ac:dyDescent="0.2">
      <c r="A176" s="99">
        <v>42</v>
      </c>
      <c r="B176" s="108">
        <v>40</v>
      </c>
      <c r="C176" s="109">
        <v>1.42</v>
      </c>
      <c r="D176" s="109">
        <v>1.31</v>
      </c>
      <c r="E176" s="109">
        <v>1.19</v>
      </c>
      <c r="F176" s="109">
        <v>1.06</v>
      </c>
      <c r="G176" s="109">
        <v>0.97</v>
      </c>
      <c r="H176" s="109">
        <v>0.94</v>
      </c>
      <c r="I176" s="109">
        <v>0.97</v>
      </c>
      <c r="J176" s="109">
        <v>1.08</v>
      </c>
      <c r="K176" s="109">
        <v>1.24</v>
      </c>
      <c r="L176" s="109">
        <v>1.42</v>
      </c>
      <c r="M176" s="109">
        <v>1.54</v>
      </c>
      <c r="N176" s="109">
        <v>1.52</v>
      </c>
    </row>
    <row r="177" spans="1:14" x14ac:dyDescent="0.2">
      <c r="A177" s="99">
        <v>42</v>
      </c>
      <c r="B177" s="110">
        <v>45</v>
      </c>
      <c r="C177" s="111">
        <v>1.43</v>
      </c>
      <c r="D177" s="111">
        <v>1.32</v>
      </c>
      <c r="E177" s="111">
        <v>1.18</v>
      </c>
      <c r="F177" s="111">
        <v>1.04</v>
      </c>
      <c r="G177" s="111">
        <v>0.94</v>
      </c>
      <c r="H177" s="111">
        <v>0.9</v>
      </c>
      <c r="I177" s="111">
        <v>0.94</v>
      </c>
      <c r="J177" s="111">
        <v>1.05</v>
      </c>
      <c r="K177" s="111">
        <v>1.23</v>
      </c>
      <c r="L177" s="111">
        <v>1.43</v>
      </c>
      <c r="M177" s="111">
        <v>1.57</v>
      </c>
      <c r="N177" s="111">
        <v>1.54</v>
      </c>
    </row>
    <row r="178" spans="1:14" x14ac:dyDescent="0.2">
      <c r="A178" s="99">
        <v>42</v>
      </c>
      <c r="B178" s="196">
        <v>50</v>
      </c>
      <c r="C178" s="289">
        <v>1.44</v>
      </c>
      <c r="D178" s="289">
        <v>1.31</v>
      </c>
      <c r="E178" s="289">
        <v>1.1599999999999999</v>
      </c>
      <c r="F178" s="289">
        <v>1</v>
      </c>
      <c r="G178" s="289">
        <v>0.89</v>
      </c>
      <c r="H178" s="289">
        <v>0.86</v>
      </c>
      <c r="I178" s="289">
        <v>0.9</v>
      </c>
      <c r="J178" s="289">
        <v>1.02</v>
      </c>
      <c r="K178" s="289">
        <v>1.21</v>
      </c>
      <c r="L178" s="289">
        <v>1.44</v>
      </c>
      <c r="M178" s="289">
        <v>1.59</v>
      </c>
      <c r="N178" s="289">
        <v>1.56</v>
      </c>
    </row>
    <row r="179" spans="1:14" x14ac:dyDescent="0.2">
      <c r="A179" s="99">
        <v>42</v>
      </c>
      <c r="B179" s="196">
        <v>55</v>
      </c>
      <c r="C179" s="289">
        <v>1.44</v>
      </c>
      <c r="D179" s="289">
        <v>1.3</v>
      </c>
      <c r="E179" s="289">
        <v>1.1299999999999999</v>
      </c>
      <c r="F179" s="289">
        <v>0.97</v>
      </c>
      <c r="G179" s="289">
        <v>0.85</v>
      </c>
      <c r="H179" s="289">
        <v>0.8</v>
      </c>
      <c r="I179" s="289">
        <v>0.85</v>
      </c>
      <c r="J179" s="289">
        <v>0.98</v>
      </c>
      <c r="K179" s="289">
        <v>1.19</v>
      </c>
      <c r="L179" s="289">
        <v>1.43</v>
      </c>
      <c r="M179" s="289">
        <v>1.59</v>
      </c>
      <c r="N179" s="289">
        <v>1.57</v>
      </c>
    </row>
    <row r="180" spans="1:14" x14ac:dyDescent="0.2">
      <c r="A180" s="99">
        <v>42</v>
      </c>
      <c r="B180" s="110">
        <v>60</v>
      </c>
      <c r="C180" s="111">
        <v>1.43</v>
      </c>
      <c r="D180" s="111">
        <v>1.28</v>
      </c>
      <c r="E180" s="111">
        <v>1.1000000000000001</v>
      </c>
      <c r="F180" s="111">
        <v>0.92</v>
      </c>
      <c r="G180" s="111">
        <v>0.79</v>
      </c>
      <c r="H180" s="111">
        <v>0.75</v>
      </c>
      <c r="I180" s="111">
        <v>0.8</v>
      </c>
      <c r="J180" s="111">
        <v>0.93</v>
      </c>
      <c r="K180" s="111">
        <v>1.1499999999999999</v>
      </c>
      <c r="L180" s="111">
        <v>1.41</v>
      </c>
      <c r="M180" s="111">
        <v>1.59</v>
      </c>
      <c r="N180" s="111">
        <v>1.57</v>
      </c>
    </row>
    <row r="181" spans="1:14" x14ac:dyDescent="0.2">
      <c r="A181" s="99">
        <v>42</v>
      </c>
      <c r="B181" s="196">
        <v>65</v>
      </c>
      <c r="C181" s="289">
        <v>1.41</v>
      </c>
      <c r="D181" s="289">
        <v>1.25</v>
      </c>
      <c r="E181" s="289">
        <v>1.06</v>
      </c>
      <c r="F181" s="289">
        <v>0.87</v>
      </c>
      <c r="G181" s="289">
        <v>0.74</v>
      </c>
      <c r="H181" s="289">
        <v>0.69</v>
      </c>
      <c r="I181" s="289">
        <v>0.74</v>
      </c>
      <c r="J181" s="289">
        <v>0.88</v>
      </c>
      <c r="K181" s="289">
        <v>1.1100000000000001</v>
      </c>
      <c r="L181" s="289">
        <v>1.39</v>
      </c>
      <c r="M181" s="289">
        <v>1.57</v>
      </c>
      <c r="N181" s="289">
        <v>1.55</v>
      </c>
    </row>
    <row r="182" spans="1:14" x14ac:dyDescent="0.2">
      <c r="A182" s="99">
        <v>42</v>
      </c>
      <c r="B182" s="196">
        <v>70</v>
      </c>
      <c r="C182" s="289">
        <v>1.38</v>
      </c>
      <c r="D182" s="289">
        <v>1.21</v>
      </c>
      <c r="E182" s="289">
        <v>1.01</v>
      </c>
      <c r="F182" s="289">
        <v>0.81</v>
      </c>
      <c r="G182" s="289">
        <v>0.67</v>
      </c>
      <c r="H182" s="289">
        <v>0.62</v>
      </c>
      <c r="I182" s="289">
        <v>0.67</v>
      </c>
      <c r="J182" s="289">
        <v>0.82</v>
      </c>
      <c r="K182" s="289">
        <v>1.07</v>
      </c>
      <c r="L182" s="289">
        <v>1.35</v>
      </c>
      <c r="M182" s="289">
        <v>1.55</v>
      </c>
      <c r="N182" s="289">
        <v>1.53</v>
      </c>
    </row>
    <row r="183" spans="1:14" x14ac:dyDescent="0.2">
      <c r="A183" s="99">
        <v>42</v>
      </c>
      <c r="B183" s="196">
        <v>75</v>
      </c>
      <c r="C183" s="289">
        <v>1.35</v>
      </c>
      <c r="D183" s="289">
        <v>1.17</v>
      </c>
      <c r="E183" s="289">
        <v>0.96</v>
      </c>
      <c r="F183" s="289">
        <v>0.75</v>
      </c>
      <c r="G183" s="289">
        <v>0.6</v>
      </c>
      <c r="H183" s="289">
        <v>0.55000000000000004</v>
      </c>
      <c r="I183" s="289">
        <v>0.6</v>
      </c>
      <c r="J183" s="289">
        <v>0.76</v>
      </c>
      <c r="K183" s="289">
        <v>1.01</v>
      </c>
      <c r="L183" s="289">
        <v>1.31</v>
      </c>
      <c r="M183" s="289">
        <v>1.52</v>
      </c>
      <c r="N183" s="289">
        <v>1.5</v>
      </c>
    </row>
    <row r="184" spans="1:14" x14ac:dyDescent="0.2">
      <c r="A184" s="99">
        <v>42</v>
      </c>
      <c r="B184" s="196">
        <v>80</v>
      </c>
      <c r="C184" s="289">
        <v>1.3</v>
      </c>
      <c r="D184" s="289">
        <v>1.1200000000000001</v>
      </c>
      <c r="E184" s="289">
        <v>0.9</v>
      </c>
      <c r="F184" s="289">
        <v>0.68</v>
      </c>
      <c r="G184" s="289">
        <v>0.53</v>
      </c>
      <c r="H184" s="289">
        <v>0.48</v>
      </c>
      <c r="I184" s="289">
        <v>0.53</v>
      </c>
      <c r="J184" s="289">
        <v>0.69</v>
      </c>
      <c r="K184" s="289">
        <v>0.95</v>
      </c>
      <c r="L184" s="289">
        <v>1.25</v>
      </c>
      <c r="M184" s="289">
        <v>1.47</v>
      </c>
      <c r="N184" s="289">
        <v>1.46</v>
      </c>
    </row>
    <row r="185" spans="1:14" x14ac:dyDescent="0.2">
      <c r="A185" s="99">
        <v>42</v>
      </c>
      <c r="B185" s="196">
        <v>85</v>
      </c>
      <c r="C185" s="289">
        <v>1.25</v>
      </c>
      <c r="D185" s="289">
        <v>1.06</v>
      </c>
      <c r="E185" s="289">
        <v>0.83</v>
      </c>
      <c r="F185" s="289">
        <v>0.61</v>
      </c>
      <c r="G185" s="289">
        <v>0.46</v>
      </c>
      <c r="H185" s="289">
        <v>0.4</v>
      </c>
      <c r="I185" s="289">
        <v>0.46</v>
      </c>
      <c r="J185" s="289">
        <v>0.62</v>
      </c>
      <c r="K185" s="289">
        <v>0.88</v>
      </c>
      <c r="L185" s="289">
        <v>1.19</v>
      </c>
      <c r="M185" s="289">
        <v>1.42</v>
      </c>
      <c r="N185" s="289">
        <v>1.41</v>
      </c>
    </row>
    <row r="186" spans="1:14" x14ac:dyDescent="0.2">
      <c r="A186" s="100">
        <v>42</v>
      </c>
      <c r="B186" s="112">
        <v>90</v>
      </c>
      <c r="C186" s="113">
        <v>1.19</v>
      </c>
      <c r="D186" s="113">
        <v>1</v>
      </c>
      <c r="E186" s="113">
        <v>0.76</v>
      </c>
      <c r="F186" s="113">
        <v>0.54</v>
      </c>
      <c r="G186" s="113">
        <v>0.38</v>
      </c>
      <c r="H186" s="113">
        <v>0.32</v>
      </c>
      <c r="I186" s="113">
        <v>0.38</v>
      </c>
      <c r="J186" s="113">
        <v>0.54</v>
      </c>
      <c r="K186" s="113">
        <v>0.81</v>
      </c>
      <c r="L186" s="113">
        <v>1.1200000000000001</v>
      </c>
      <c r="M186" s="113">
        <v>1.36</v>
      </c>
      <c r="N186" s="113">
        <v>1.35</v>
      </c>
    </row>
    <row r="188" spans="1:14" x14ac:dyDescent="0.2">
      <c r="B188" s="103" t="s">
        <v>303</v>
      </c>
      <c r="C188" s="104"/>
      <c r="D188" s="114" t="s">
        <v>304</v>
      </c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</row>
    <row r="189" spans="1:14" x14ac:dyDescent="0.2">
      <c r="B189" s="105"/>
      <c r="C189" s="105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</row>
    <row r="190" spans="1:14" x14ac:dyDescent="0.2">
      <c r="A190" s="115" t="s">
        <v>265</v>
      </c>
      <c r="B190" s="106" t="s">
        <v>31</v>
      </c>
      <c r="C190" s="107" t="s">
        <v>191</v>
      </c>
      <c r="D190" s="107" t="s">
        <v>192</v>
      </c>
      <c r="E190" s="107" t="s">
        <v>193</v>
      </c>
      <c r="F190" s="107" t="s">
        <v>194</v>
      </c>
      <c r="G190" s="107" t="s">
        <v>195</v>
      </c>
      <c r="H190" s="107" t="s">
        <v>196</v>
      </c>
      <c r="I190" s="107" t="s">
        <v>197</v>
      </c>
      <c r="J190" s="107" t="s">
        <v>287</v>
      </c>
      <c r="K190" s="107" t="s">
        <v>199</v>
      </c>
      <c r="L190" s="107" t="s">
        <v>288</v>
      </c>
      <c r="M190" s="107" t="s">
        <v>201</v>
      </c>
      <c r="N190" s="107" t="s">
        <v>202</v>
      </c>
    </row>
    <row r="191" spans="1:14" x14ac:dyDescent="0.2">
      <c r="A191" s="99">
        <v>43</v>
      </c>
      <c r="B191" s="108">
        <v>0</v>
      </c>
      <c r="C191" s="109">
        <v>1</v>
      </c>
      <c r="D191" s="109">
        <v>1</v>
      </c>
      <c r="E191" s="109">
        <v>1</v>
      </c>
      <c r="F191" s="109">
        <v>1</v>
      </c>
      <c r="G191" s="109">
        <v>1</v>
      </c>
      <c r="H191" s="109">
        <v>1</v>
      </c>
      <c r="I191" s="109">
        <v>1</v>
      </c>
      <c r="J191" s="109">
        <v>1</v>
      </c>
      <c r="K191" s="109">
        <v>1</v>
      </c>
      <c r="L191" s="109">
        <v>1</v>
      </c>
      <c r="M191" s="109">
        <v>1</v>
      </c>
      <c r="N191" s="109">
        <v>1</v>
      </c>
    </row>
    <row r="192" spans="1:14" x14ac:dyDescent="0.2">
      <c r="A192" s="99">
        <v>43</v>
      </c>
      <c r="B192" s="108">
        <v>5</v>
      </c>
      <c r="C192" s="109">
        <v>1.08</v>
      </c>
      <c r="D192" s="109">
        <v>1.07</v>
      </c>
      <c r="E192" s="109">
        <v>1.05</v>
      </c>
      <c r="F192" s="109">
        <v>1.03</v>
      </c>
      <c r="G192" s="109">
        <v>1.02</v>
      </c>
      <c r="H192" s="109">
        <v>1.02</v>
      </c>
      <c r="I192" s="109">
        <v>1.02</v>
      </c>
      <c r="J192" s="109">
        <v>1.04</v>
      </c>
      <c r="K192" s="109">
        <v>1.06</v>
      </c>
      <c r="L192" s="109">
        <v>1.08</v>
      </c>
      <c r="M192" s="109">
        <v>1.1000000000000001</v>
      </c>
      <c r="N192" s="109">
        <v>1.0900000000000001</v>
      </c>
    </row>
    <row r="193" spans="1:14" x14ac:dyDescent="0.2">
      <c r="A193" s="99">
        <v>43</v>
      </c>
      <c r="B193" s="108">
        <v>10</v>
      </c>
      <c r="C193" s="109">
        <v>1.1499999999999999</v>
      </c>
      <c r="D193" s="109">
        <v>1.1200000000000001</v>
      </c>
      <c r="E193" s="109">
        <v>1.0900000000000001</v>
      </c>
      <c r="F193" s="109">
        <v>1.06</v>
      </c>
      <c r="G193" s="109">
        <v>1.04</v>
      </c>
      <c r="H193" s="109">
        <v>1.03</v>
      </c>
      <c r="I193" s="109">
        <v>1.04</v>
      </c>
      <c r="J193" s="109">
        <v>1.07</v>
      </c>
      <c r="K193" s="109">
        <v>1.1100000000000001</v>
      </c>
      <c r="L193" s="109">
        <v>1.1599999999999999</v>
      </c>
      <c r="M193" s="109">
        <v>1.19</v>
      </c>
      <c r="N193" s="109">
        <v>1.18</v>
      </c>
    </row>
    <row r="194" spans="1:14" x14ac:dyDescent="0.2">
      <c r="A194" s="99">
        <v>43</v>
      </c>
      <c r="B194" s="108">
        <v>15</v>
      </c>
      <c r="C194" s="109">
        <v>1.22</v>
      </c>
      <c r="D194" s="109">
        <v>1.18</v>
      </c>
      <c r="E194" s="109">
        <v>1.1299999999999999</v>
      </c>
      <c r="F194" s="109">
        <v>1.08</v>
      </c>
      <c r="G194" s="109">
        <v>1.05</v>
      </c>
      <c r="H194" s="109">
        <v>1.03</v>
      </c>
      <c r="I194" s="109">
        <v>1.05</v>
      </c>
      <c r="J194" s="109">
        <v>1.0900000000000001</v>
      </c>
      <c r="K194" s="109">
        <v>1.1499999999999999</v>
      </c>
      <c r="L194" s="109">
        <v>1.23</v>
      </c>
      <c r="M194" s="109">
        <v>1.27</v>
      </c>
      <c r="N194" s="109">
        <v>1.26</v>
      </c>
    </row>
    <row r="195" spans="1:14" x14ac:dyDescent="0.2">
      <c r="A195" s="99">
        <v>43</v>
      </c>
      <c r="B195" s="108">
        <v>20</v>
      </c>
      <c r="C195" s="109">
        <v>1.28</v>
      </c>
      <c r="D195" s="109">
        <v>1.22</v>
      </c>
      <c r="E195" s="109">
        <v>1.1599999999999999</v>
      </c>
      <c r="F195" s="109">
        <v>1.0900000000000001</v>
      </c>
      <c r="G195" s="109">
        <v>1.05</v>
      </c>
      <c r="H195" s="109">
        <v>1.03</v>
      </c>
      <c r="I195" s="109">
        <v>1.05</v>
      </c>
      <c r="J195" s="109">
        <v>1.1000000000000001</v>
      </c>
      <c r="K195" s="109">
        <v>1.19</v>
      </c>
      <c r="L195" s="109">
        <v>1.29</v>
      </c>
      <c r="M195" s="109">
        <v>1.35</v>
      </c>
      <c r="N195" s="109">
        <v>1.33</v>
      </c>
    </row>
    <row r="196" spans="1:14" x14ac:dyDescent="0.2">
      <c r="A196" s="99">
        <v>43</v>
      </c>
      <c r="B196" s="108">
        <v>25</v>
      </c>
      <c r="C196" s="109">
        <v>1.33</v>
      </c>
      <c r="D196" s="109">
        <v>1.26</v>
      </c>
      <c r="E196" s="109">
        <v>1.18</v>
      </c>
      <c r="F196" s="109">
        <v>1.1000000000000001</v>
      </c>
      <c r="G196" s="109">
        <v>1.04</v>
      </c>
      <c r="H196" s="109">
        <v>1.02</v>
      </c>
      <c r="I196" s="109">
        <v>1.04</v>
      </c>
      <c r="J196" s="109">
        <v>1.1100000000000001</v>
      </c>
      <c r="K196" s="109">
        <v>1.22</v>
      </c>
      <c r="L196" s="109">
        <v>1.34</v>
      </c>
      <c r="M196" s="109">
        <v>1.42</v>
      </c>
      <c r="N196" s="109">
        <v>1.4</v>
      </c>
    </row>
    <row r="197" spans="1:14" x14ac:dyDescent="0.2">
      <c r="A197" s="99">
        <v>43</v>
      </c>
      <c r="B197" s="110">
        <v>30</v>
      </c>
      <c r="C197" s="111">
        <v>1.37</v>
      </c>
      <c r="D197" s="111">
        <v>1.29</v>
      </c>
      <c r="E197" s="111">
        <v>1.2</v>
      </c>
      <c r="F197" s="111">
        <v>1.1000000000000001</v>
      </c>
      <c r="G197" s="111">
        <v>1.03</v>
      </c>
      <c r="H197" s="111">
        <v>1</v>
      </c>
      <c r="I197" s="111">
        <v>1.03</v>
      </c>
      <c r="J197" s="111">
        <v>1.1100000000000001</v>
      </c>
      <c r="K197" s="111">
        <v>1.24</v>
      </c>
      <c r="L197" s="111">
        <v>1.38</v>
      </c>
      <c r="M197" s="111">
        <v>1.48</v>
      </c>
      <c r="N197" s="111">
        <v>1.45</v>
      </c>
    </row>
    <row r="198" spans="1:14" x14ac:dyDescent="0.2">
      <c r="A198" s="99">
        <v>43</v>
      </c>
      <c r="B198" s="108">
        <v>35</v>
      </c>
      <c r="C198" s="109">
        <v>1.41</v>
      </c>
      <c r="D198" s="109">
        <v>1.31</v>
      </c>
      <c r="E198" s="109">
        <v>1.2</v>
      </c>
      <c r="F198" s="109">
        <v>1.0900000000000001</v>
      </c>
      <c r="G198" s="109">
        <v>1.01</v>
      </c>
      <c r="H198" s="109">
        <v>0.98</v>
      </c>
      <c r="I198" s="109">
        <v>1.01</v>
      </c>
      <c r="J198" s="109">
        <v>1.1000000000000001</v>
      </c>
      <c r="K198" s="109">
        <v>1.25</v>
      </c>
      <c r="L198" s="109">
        <v>1.42</v>
      </c>
      <c r="M198" s="109">
        <v>1.52</v>
      </c>
      <c r="N198" s="109">
        <v>1.5</v>
      </c>
    </row>
    <row r="199" spans="1:14" x14ac:dyDescent="0.2">
      <c r="A199" s="99">
        <v>43</v>
      </c>
      <c r="B199" s="108">
        <v>40</v>
      </c>
      <c r="C199" s="109">
        <v>1.43</v>
      </c>
      <c r="D199" s="109">
        <v>1.33</v>
      </c>
      <c r="E199" s="109">
        <v>1.2</v>
      </c>
      <c r="F199" s="109">
        <v>1.07</v>
      </c>
      <c r="G199" s="109">
        <v>0.98</v>
      </c>
      <c r="H199" s="109">
        <v>0.95</v>
      </c>
      <c r="I199" s="109">
        <v>0.98</v>
      </c>
      <c r="J199" s="109">
        <v>1.0900000000000001</v>
      </c>
      <c r="K199" s="109">
        <v>1.25</v>
      </c>
      <c r="L199" s="109">
        <v>1.44</v>
      </c>
      <c r="M199" s="109">
        <v>1.56</v>
      </c>
      <c r="N199" s="109">
        <v>1.54</v>
      </c>
    </row>
    <row r="200" spans="1:14" x14ac:dyDescent="0.2">
      <c r="A200" s="99">
        <v>43</v>
      </c>
      <c r="B200" s="110">
        <v>45</v>
      </c>
      <c r="C200" s="111">
        <v>1.45</v>
      </c>
      <c r="D200" s="111">
        <v>1.33</v>
      </c>
      <c r="E200" s="111">
        <v>1.19</v>
      </c>
      <c r="F200" s="111">
        <v>1.05</v>
      </c>
      <c r="G200" s="111">
        <v>0.95</v>
      </c>
      <c r="H200" s="111">
        <v>0.91</v>
      </c>
      <c r="I200" s="111">
        <v>0.95</v>
      </c>
      <c r="J200" s="111">
        <v>1.06</v>
      </c>
      <c r="K200" s="111">
        <v>1.24</v>
      </c>
      <c r="L200" s="111">
        <v>1.45</v>
      </c>
      <c r="M200" s="111">
        <v>1.59</v>
      </c>
      <c r="N200" s="111">
        <v>1.57</v>
      </c>
    </row>
    <row r="201" spans="1:14" x14ac:dyDescent="0.2">
      <c r="A201" s="99">
        <v>43</v>
      </c>
      <c r="B201" s="196">
        <v>50</v>
      </c>
      <c r="C201" s="289">
        <v>1.46</v>
      </c>
      <c r="D201" s="289">
        <v>1.33</v>
      </c>
      <c r="E201" s="289">
        <v>1.17</v>
      </c>
      <c r="F201" s="289">
        <v>1.02</v>
      </c>
      <c r="G201" s="289">
        <v>0.91</v>
      </c>
      <c r="H201" s="289">
        <v>0.87</v>
      </c>
      <c r="I201" s="289">
        <v>0.91</v>
      </c>
      <c r="J201" s="289">
        <v>1.03</v>
      </c>
      <c r="K201" s="289">
        <v>1.23</v>
      </c>
      <c r="L201" s="289">
        <v>1.46</v>
      </c>
      <c r="M201" s="289">
        <v>1.61</v>
      </c>
      <c r="N201" s="289">
        <v>1.58</v>
      </c>
    </row>
    <row r="202" spans="1:14" x14ac:dyDescent="0.2">
      <c r="A202" s="99">
        <v>43</v>
      </c>
      <c r="B202" s="196">
        <v>55</v>
      </c>
      <c r="C202" s="289">
        <v>1.46</v>
      </c>
      <c r="D202" s="289">
        <v>1.32</v>
      </c>
      <c r="E202" s="289">
        <v>1.1499999999999999</v>
      </c>
      <c r="F202" s="289">
        <v>0.98</v>
      </c>
      <c r="G202" s="289">
        <v>0.86</v>
      </c>
      <c r="H202" s="289">
        <v>0.82</v>
      </c>
      <c r="I202" s="289">
        <v>0.86</v>
      </c>
      <c r="J202" s="289">
        <v>1</v>
      </c>
      <c r="K202" s="289">
        <v>1.21</v>
      </c>
      <c r="L202" s="289">
        <v>1.45</v>
      </c>
      <c r="M202" s="289">
        <v>1.62</v>
      </c>
      <c r="N202" s="289">
        <v>1.59</v>
      </c>
    </row>
    <row r="203" spans="1:14" x14ac:dyDescent="0.2">
      <c r="A203" s="99">
        <v>43</v>
      </c>
      <c r="B203" s="110">
        <v>60</v>
      </c>
      <c r="C203" s="111">
        <v>1.45</v>
      </c>
      <c r="D203" s="111">
        <v>1.3</v>
      </c>
      <c r="E203" s="111">
        <v>1.1200000000000001</v>
      </c>
      <c r="F203" s="111">
        <v>0.94</v>
      </c>
      <c r="G203" s="111">
        <v>0.81</v>
      </c>
      <c r="H203" s="111">
        <v>0.76</v>
      </c>
      <c r="I203" s="111">
        <v>0.81</v>
      </c>
      <c r="J203" s="111">
        <v>0.95</v>
      </c>
      <c r="K203" s="111">
        <v>1.17</v>
      </c>
      <c r="L203" s="111">
        <v>1.44</v>
      </c>
      <c r="M203" s="111">
        <v>1.62</v>
      </c>
      <c r="N203" s="111">
        <v>1.59</v>
      </c>
    </row>
    <row r="204" spans="1:14" x14ac:dyDescent="0.2">
      <c r="A204" s="99">
        <v>43</v>
      </c>
      <c r="B204" s="108">
        <v>65</v>
      </c>
      <c r="C204" s="109">
        <v>1.43</v>
      </c>
      <c r="D204" s="109">
        <v>1.27</v>
      </c>
      <c r="E204" s="109">
        <v>1.08</v>
      </c>
      <c r="F204" s="109">
        <v>0.89</v>
      </c>
      <c r="G204" s="109">
        <v>0.75</v>
      </c>
      <c r="H204" s="109">
        <v>0.7</v>
      </c>
      <c r="I204" s="109">
        <v>0.75</v>
      </c>
      <c r="J204" s="109">
        <v>0.9</v>
      </c>
      <c r="K204" s="109">
        <v>1.1299999999999999</v>
      </c>
      <c r="L204" s="109">
        <v>1.41</v>
      </c>
      <c r="M204" s="109">
        <v>1.61</v>
      </c>
      <c r="N204" s="109">
        <v>1.58</v>
      </c>
    </row>
    <row r="205" spans="1:14" x14ac:dyDescent="0.2">
      <c r="A205" s="99">
        <v>43</v>
      </c>
      <c r="B205" s="108">
        <v>70</v>
      </c>
      <c r="C205" s="109">
        <v>1.41</v>
      </c>
      <c r="D205" s="109">
        <v>1.23</v>
      </c>
      <c r="E205" s="109">
        <v>1.03</v>
      </c>
      <c r="F205" s="109">
        <v>0.83</v>
      </c>
      <c r="G205" s="109">
        <v>0.69</v>
      </c>
      <c r="H205" s="109">
        <v>0.64</v>
      </c>
      <c r="I205" s="109">
        <v>0.69</v>
      </c>
      <c r="J205" s="109">
        <v>0.84</v>
      </c>
      <c r="K205" s="109">
        <v>1.0900000000000001</v>
      </c>
      <c r="L205" s="109">
        <v>1.38</v>
      </c>
      <c r="M205" s="109">
        <v>1.58</v>
      </c>
      <c r="N205" s="109">
        <v>1.56</v>
      </c>
    </row>
    <row r="206" spans="1:14" x14ac:dyDescent="0.2">
      <c r="A206" s="99">
        <v>43</v>
      </c>
      <c r="B206" s="108">
        <v>75</v>
      </c>
      <c r="C206" s="109">
        <v>1.37</v>
      </c>
      <c r="D206" s="109">
        <v>1.19</v>
      </c>
      <c r="E206" s="109">
        <v>0.98</v>
      </c>
      <c r="F206" s="109">
        <v>0.77</v>
      </c>
      <c r="G206" s="109">
        <v>0.62</v>
      </c>
      <c r="H206" s="109">
        <v>0.56999999999999995</v>
      </c>
      <c r="I206" s="109">
        <v>0.62</v>
      </c>
      <c r="J206" s="109">
        <v>0.78</v>
      </c>
      <c r="K206" s="109">
        <v>1.03</v>
      </c>
      <c r="L206" s="109">
        <v>1.34</v>
      </c>
      <c r="M206" s="109">
        <v>1.55</v>
      </c>
      <c r="N206" s="109">
        <v>1.53</v>
      </c>
    </row>
    <row r="207" spans="1:14" x14ac:dyDescent="0.2">
      <c r="A207" s="99">
        <v>43</v>
      </c>
      <c r="B207" s="108">
        <v>80</v>
      </c>
      <c r="C207" s="109">
        <v>1.33</v>
      </c>
      <c r="D207" s="109">
        <v>1.1399999999999999</v>
      </c>
      <c r="E207" s="109">
        <v>0.92</v>
      </c>
      <c r="F207" s="109">
        <v>0.7</v>
      </c>
      <c r="G207" s="109">
        <v>0.55000000000000004</v>
      </c>
      <c r="H207" s="109">
        <v>0.49</v>
      </c>
      <c r="I207" s="109">
        <v>0.55000000000000004</v>
      </c>
      <c r="J207" s="109">
        <v>0.71</v>
      </c>
      <c r="K207" s="109">
        <v>0.97</v>
      </c>
      <c r="L207" s="109">
        <v>1.28</v>
      </c>
      <c r="M207" s="109">
        <v>1.51</v>
      </c>
      <c r="N207" s="109">
        <v>1.49</v>
      </c>
    </row>
    <row r="208" spans="1:14" x14ac:dyDescent="0.2">
      <c r="A208" s="99">
        <v>43</v>
      </c>
      <c r="B208" s="108">
        <v>85</v>
      </c>
      <c r="C208" s="109">
        <v>1.28</v>
      </c>
      <c r="D208" s="109">
        <v>1.08</v>
      </c>
      <c r="E208" s="109">
        <v>0.85</v>
      </c>
      <c r="F208" s="109">
        <v>0.63</v>
      </c>
      <c r="G208" s="109">
        <v>0.47</v>
      </c>
      <c r="H208" s="109">
        <v>0.42</v>
      </c>
      <c r="I208" s="109">
        <v>0.47</v>
      </c>
      <c r="J208" s="109">
        <v>0.64</v>
      </c>
      <c r="K208" s="109">
        <v>0.9</v>
      </c>
      <c r="L208" s="109">
        <v>1.22</v>
      </c>
      <c r="M208" s="109">
        <v>1.45</v>
      </c>
      <c r="N208" s="109">
        <v>1.44</v>
      </c>
    </row>
    <row r="209" spans="1:14" x14ac:dyDescent="0.2">
      <c r="A209" s="100">
        <v>43</v>
      </c>
      <c r="B209" s="112">
        <v>90</v>
      </c>
      <c r="C209" s="113">
        <v>1.22</v>
      </c>
      <c r="D209" s="113">
        <v>1.02</v>
      </c>
      <c r="E209" s="113">
        <v>0.78</v>
      </c>
      <c r="F209" s="113">
        <v>0.56000000000000005</v>
      </c>
      <c r="G209" s="113">
        <v>0.4</v>
      </c>
      <c r="H209" s="113">
        <v>0.34</v>
      </c>
      <c r="I209" s="113">
        <v>0.39</v>
      </c>
      <c r="J209" s="113">
        <v>0.56000000000000005</v>
      </c>
      <c r="K209" s="113">
        <v>0.83</v>
      </c>
      <c r="L209" s="113">
        <v>1.1599999999999999</v>
      </c>
      <c r="M209" s="113">
        <v>1.39</v>
      </c>
      <c r="N209" s="113">
        <v>1.38</v>
      </c>
    </row>
    <row r="211" spans="1:14" x14ac:dyDescent="0.2">
      <c r="B211" s="103" t="s">
        <v>305</v>
      </c>
      <c r="C211" s="104"/>
      <c r="D211" s="114" t="s">
        <v>215</v>
      </c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</row>
    <row r="212" spans="1:14" x14ac:dyDescent="0.2">
      <c r="B212" s="105"/>
      <c r="C212" s="105"/>
      <c r="D212" s="105"/>
      <c r="E212" s="105"/>
      <c r="F212" s="105"/>
      <c r="G212" s="105"/>
      <c r="H212" s="105"/>
      <c r="I212" s="105"/>
      <c r="J212" s="105"/>
      <c r="K212" s="105"/>
      <c r="L212" s="105"/>
      <c r="M212" s="105"/>
      <c r="N212" s="105"/>
    </row>
    <row r="213" spans="1:14" x14ac:dyDescent="0.2">
      <c r="A213" s="115" t="s">
        <v>265</v>
      </c>
      <c r="B213" s="106" t="s">
        <v>31</v>
      </c>
      <c r="C213" s="107" t="s">
        <v>191</v>
      </c>
      <c r="D213" s="107" t="s">
        <v>192</v>
      </c>
      <c r="E213" s="107" t="s">
        <v>193</v>
      </c>
      <c r="F213" s="107" t="s">
        <v>194</v>
      </c>
      <c r="G213" s="107" t="s">
        <v>195</v>
      </c>
      <c r="H213" s="107" t="s">
        <v>196</v>
      </c>
      <c r="I213" s="107" t="s">
        <v>197</v>
      </c>
      <c r="J213" s="107" t="s">
        <v>287</v>
      </c>
      <c r="K213" s="107" t="s">
        <v>199</v>
      </c>
      <c r="L213" s="107" t="s">
        <v>288</v>
      </c>
      <c r="M213" s="107" t="s">
        <v>201</v>
      </c>
      <c r="N213" s="107" t="s">
        <v>202</v>
      </c>
    </row>
    <row r="214" spans="1:14" x14ac:dyDescent="0.2">
      <c r="A214" s="99">
        <v>44</v>
      </c>
      <c r="B214" s="108">
        <v>0</v>
      </c>
      <c r="C214" s="109">
        <v>1</v>
      </c>
      <c r="D214" s="109">
        <v>1</v>
      </c>
      <c r="E214" s="109">
        <v>1</v>
      </c>
      <c r="F214" s="109">
        <v>1</v>
      </c>
      <c r="G214" s="109">
        <v>1</v>
      </c>
      <c r="H214" s="109">
        <v>1</v>
      </c>
      <c r="I214" s="109">
        <v>1</v>
      </c>
      <c r="J214" s="109">
        <v>1</v>
      </c>
      <c r="K214" s="109">
        <v>1</v>
      </c>
      <c r="L214" s="109">
        <v>1</v>
      </c>
      <c r="M214" s="109">
        <v>1</v>
      </c>
      <c r="N214" s="109">
        <v>1</v>
      </c>
    </row>
    <row r="215" spans="1:14" x14ac:dyDescent="0.2">
      <c r="A215" s="99">
        <v>44</v>
      </c>
      <c r="B215" s="108">
        <v>5</v>
      </c>
      <c r="C215" s="109">
        <v>1.08</v>
      </c>
      <c r="D215" s="109">
        <v>1.07</v>
      </c>
      <c r="E215" s="109">
        <v>1.05</v>
      </c>
      <c r="F215" s="109">
        <v>1.04</v>
      </c>
      <c r="G215" s="109">
        <v>1.02</v>
      </c>
      <c r="H215" s="109">
        <v>1.02</v>
      </c>
      <c r="I215" s="109">
        <v>1.02</v>
      </c>
      <c r="J215" s="109">
        <v>1.04</v>
      </c>
      <c r="K215" s="109">
        <v>1.06</v>
      </c>
      <c r="L215" s="109">
        <v>1.0900000000000001</v>
      </c>
      <c r="M215" s="109">
        <v>1.1000000000000001</v>
      </c>
      <c r="N215" s="109">
        <v>1.1000000000000001</v>
      </c>
    </row>
    <row r="216" spans="1:14" x14ac:dyDescent="0.2">
      <c r="A216" s="99">
        <v>44</v>
      </c>
      <c r="B216" s="108">
        <v>10</v>
      </c>
      <c r="C216" s="109">
        <v>1.1599999999999999</v>
      </c>
      <c r="D216" s="109">
        <v>1.1299999999999999</v>
      </c>
      <c r="E216" s="109">
        <v>1.1000000000000001</v>
      </c>
      <c r="F216" s="109">
        <v>1.06</v>
      </c>
      <c r="G216" s="109">
        <v>1.04</v>
      </c>
      <c r="H216" s="109">
        <v>1.03</v>
      </c>
      <c r="I216" s="109">
        <v>1.04</v>
      </c>
      <c r="J216" s="109">
        <v>1.07</v>
      </c>
      <c r="K216" s="109">
        <v>1.1100000000000001</v>
      </c>
      <c r="L216" s="109">
        <v>1.1599999999999999</v>
      </c>
      <c r="M216" s="109">
        <v>1.19</v>
      </c>
      <c r="N216" s="109">
        <v>1.18</v>
      </c>
    </row>
    <row r="217" spans="1:14" x14ac:dyDescent="0.2">
      <c r="A217" s="99">
        <v>44</v>
      </c>
      <c r="B217" s="108">
        <v>15</v>
      </c>
      <c r="C217" s="109">
        <v>1.22</v>
      </c>
      <c r="D217" s="109">
        <v>1.18</v>
      </c>
      <c r="E217" s="109">
        <v>1.1299999999999999</v>
      </c>
      <c r="F217" s="109">
        <v>1.0900000000000001</v>
      </c>
      <c r="G217" s="109">
        <v>1.05</v>
      </c>
      <c r="H217" s="109">
        <v>1.04</v>
      </c>
      <c r="I217" s="109">
        <v>1.05</v>
      </c>
      <c r="J217" s="109">
        <v>1.0900000000000001</v>
      </c>
      <c r="K217" s="109">
        <v>1.1599999999999999</v>
      </c>
      <c r="L217" s="109">
        <v>1.23</v>
      </c>
      <c r="M217" s="109">
        <v>1.28</v>
      </c>
      <c r="N217" s="109">
        <v>1.27</v>
      </c>
    </row>
    <row r="218" spans="1:14" x14ac:dyDescent="0.2">
      <c r="A218" s="99">
        <v>44</v>
      </c>
      <c r="B218" s="108">
        <v>20</v>
      </c>
      <c r="C218" s="109">
        <v>1.28</v>
      </c>
      <c r="D218" s="109">
        <v>1.23</v>
      </c>
      <c r="E218" s="109">
        <v>1.17</v>
      </c>
      <c r="F218" s="109">
        <v>1.1000000000000001</v>
      </c>
      <c r="G218" s="109">
        <v>1.05</v>
      </c>
      <c r="H218" s="109">
        <v>1.04</v>
      </c>
      <c r="I218" s="109">
        <v>1.06</v>
      </c>
      <c r="J218" s="109">
        <v>1.1100000000000001</v>
      </c>
      <c r="K218" s="109">
        <v>1.2</v>
      </c>
      <c r="L218" s="109">
        <v>1.3</v>
      </c>
      <c r="M218" s="109">
        <v>1.36</v>
      </c>
      <c r="N218" s="109">
        <v>1.34</v>
      </c>
    </row>
    <row r="219" spans="1:14" x14ac:dyDescent="0.2">
      <c r="A219" s="99">
        <v>44</v>
      </c>
      <c r="B219" s="108">
        <v>25</v>
      </c>
      <c r="C219" s="109">
        <v>1.34</v>
      </c>
      <c r="D219" s="109">
        <v>1.27</v>
      </c>
      <c r="E219" s="109">
        <v>1.19</v>
      </c>
      <c r="F219" s="109">
        <v>1.1100000000000001</v>
      </c>
      <c r="G219" s="109">
        <v>1.05</v>
      </c>
      <c r="H219" s="109">
        <v>1.03</v>
      </c>
      <c r="I219" s="109">
        <v>1.05</v>
      </c>
      <c r="J219" s="109">
        <v>1.1200000000000001</v>
      </c>
      <c r="K219" s="109">
        <v>1.23</v>
      </c>
      <c r="L219" s="109">
        <v>1.35</v>
      </c>
      <c r="M219" s="109">
        <v>1.43</v>
      </c>
      <c r="N219" s="109">
        <v>1.41</v>
      </c>
    </row>
    <row r="220" spans="1:14" x14ac:dyDescent="0.2">
      <c r="A220" s="99">
        <v>44</v>
      </c>
      <c r="B220" s="110">
        <v>30</v>
      </c>
      <c r="C220" s="111">
        <v>1.38</v>
      </c>
      <c r="D220" s="111">
        <v>1.3</v>
      </c>
      <c r="E220" s="111">
        <v>1.2</v>
      </c>
      <c r="F220" s="111">
        <v>1.1100000000000001</v>
      </c>
      <c r="G220" s="111">
        <v>1.04</v>
      </c>
      <c r="H220" s="111">
        <v>1.01</v>
      </c>
      <c r="I220" s="111">
        <v>1.04</v>
      </c>
      <c r="J220" s="111">
        <v>1.1200000000000001</v>
      </c>
      <c r="K220" s="111">
        <v>1.25</v>
      </c>
      <c r="L220" s="111">
        <v>1.4</v>
      </c>
      <c r="M220" s="111">
        <v>1.49</v>
      </c>
      <c r="N220" s="111">
        <v>1.47</v>
      </c>
    </row>
    <row r="221" spans="1:14" x14ac:dyDescent="0.2">
      <c r="A221" s="99">
        <v>44</v>
      </c>
      <c r="B221" s="108">
        <v>35</v>
      </c>
      <c r="C221" s="109">
        <v>1.42</v>
      </c>
      <c r="D221" s="109">
        <v>1.32</v>
      </c>
      <c r="E221" s="109">
        <v>1.21</v>
      </c>
      <c r="F221" s="109">
        <v>1.1000000000000001</v>
      </c>
      <c r="G221" s="109">
        <v>1.02</v>
      </c>
      <c r="H221" s="109">
        <v>0.99</v>
      </c>
      <c r="I221" s="109">
        <v>1.02</v>
      </c>
      <c r="J221" s="109">
        <v>1.1100000000000001</v>
      </c>
      <c r="K221" s="109">
        <v>1.26</v>
      </c>
      <c r="L221" s="109">
        <v>1.43</v>
      </c>
      <c r="M221" s="109">
        <v>1.54</v>
      </c>
      <c r="N221" s="109">
        <v>1.52</v>
      </c>
    </row>
    <row r="222" spans="1:14" x14ac:dyDescent="0.2">
      <c r="A222" s="99">
        <v>44</v>
      </c>
      <c r="B222" s="108">
        <v>40</v>
      </c>
      <c r="C222" s="109">
        <v>1.45</v>
      </c>
      <c r="D222" s="109">
        <v>1.34</v>
      </c>
      <c r="E222" s="109">
        <v>1.21</v>
      </c>
      <c r="F222" s="109">
        <v>1.08</v>
      </c>
      <c r="G222" s="109">
        <v>0.99</v>
      </c>
      <c r="H222" s="109">
        <v>0.96</v>
      </c>
      <c r="I222" s="109">
        <v>1</v>
      </c>
      <c r="J222" s="109">
        <v>1.1000000000000001</v>
      </c>
      <c r="K222" s="109">
        <v>1.26</v>
      </c>
      <c r="L222" s="109">
        <v>1.46</v>
      </c>
      <c r="M222" s="109">
        <v>1.59</v>
      </c>
      <c r="N222" s="109">
        <v>1.56</v>
      </c>
    </row>
    <row r="223" spans="1:14" x14ac:dyDescent="0.2">
      <c r="A223" s="99">
        <v>44</v>
      </c>
      <c r="B223" s="110">
        <v>45</v>
      </c>
      <c r="C223" s="111">
        <v>1.47</v>
      </c>
      <c r="D223" s="111">
        <v>1.35</v>
      </c>
      <c r="E223" s="111">
        <v>1.2</v>
      </c>
      <c r="F223" s="111">
        <v>1.06</v>
      </c>
      <c r="G223" s="111">
        <v>0.96</v>
      </c>
      <c r="H223" s="111">
        <v>0.92</v>
      </c>
      <c r="I223" s="111">
        <v>0.96</v>
      </c>
      <c r="J223" s="111">
        <v>1.08</v>
      </c>
      <c r="K223" s="111">
        <v>1.26</v>
      </c>
      <c r="L223" s="111">
        <v>1.48</v>
      </c>
      <c r="M223" s="111">
        <v>1.62</v>
      </c>
      <c r="N223" s="111">
        <v>1.59</v>
      </c>
    </row>
    <row r="224" spans="1:14" x14ac:dyDescent="0.2">
      <c r="A224" s="99">
        <v>44</v>
      </c>
      <c r="B224" s="196">
        <v>50</v>
      </c>
      <c r="C224" s="289">
        <v>1.48</v>
      </c>
      <c r="D224" s="289">
        <v>1.34</v>
      </c>
      <c r="E224" s="289">
        <v>1.19</v>
      </c>
      <c r="F224" s="289">
        <v>1.03</v>
      </c>
      <c r="G224" s="289">
        <v>0.92</v>
      </c>
      <c r="H224" s="289">
        <v>0.88</v>
      </c>
      <c r="I224" s="289">
        <v>0.92</v>
      </c>
      <c r="J224" s="289">
        <v>1.05</v>
      </c>
      <c r="K224" s="289">
        <v>1.25</v>
      </c>
      <c r="L224" s="289">
        <v>1.48</v>
      </c>
      <c r="M224" s="289">
        <v>1.64</v>
      </c>
      <c r="N224" s="289">
        <v>1.61</v>
      </c>
    </row>
    <row r="225" spans="1:14" x14ac:dyDescent="0.2">
      <c r="A225" s="99">
        <v>44</v>
      </c>
      <c r="B225" s="196">
        <v>55</v>
      </c>
      <c r="C225" s="289">
        <v>1.48</v>
      </c>
      <c r="D225" s="289">
        <v>1.33</v>
      </c>
      <c r="E225" s="289">
        <v>1.1599999999999999</v>
      </c>
      <c r="F225" s="289">
        <v>0.99</v>
      </c>
      <c r="G225" s="289">
        <v>0.87</v>
      </c>
      <c r="H225" s="289">
        <v>0.83</v>
      </c>
      <c r="I225" s="289">
        <v>0.88</v>
      </c>
      <c r="J225" s="289">
        <v>1.01</v>
      </c>
      <c r="K225" s="289">
        <v>1.22</v>
      </c>
      <c r="L225" s="289">
        <v>1.48</v>
      </c>
      <c r="M225" s="289">
        <v>1.65</v>
      </c>
      <c r="N225" s="289">
        <v>1.62</v>
      </c>
    </row>
    <row r="226" spans="1:14" x14ac:dyDescent="0.2">
      <c r="A226" s="99">
        <v>44</v>
      </c>
      <c r="B226" s="110">
        <v>60</v>
      </c>
      <c r="C226" s="111">
        <v>1.47</v>
      </c>
      <c r="D226" s="111">
        <v>1.32</v>
      </c>
      <c r="E226" s="111">
        <v>1.1299999999999999</v>
      </c>
      <c r="F226" s="111">
        <v>0.95</v>
      </c>
      <c r="G226" s="111">
        <v>0.82</v>
      </c>
      <c r="H226" s="111">
        <v>0.78</v>
      </c>
      <c r="I226" s="111">
        <v>0.82</v>
      </c>
      <c r="J226" s="111">
        <v>0.97</v>
      </c>
      <c r="K226" s="111">
        <v>1.19</v>
      </c>
      <c r="L226" s="111">
        <v>1.47</v>
      </c>
      <c r="M226" s="111">
        <v>1.65</v>
      </c>
      <c r="N226" s="111">
        <v>1.62</v>
      </c>
    </row>
    <row r="227" spans="1:14" x14ac:dyDescent="0.2">
      <c r="A227" s="99">
        <v>44</v>
      </c>
      <c r="B227" s="108">
        <v>65</v>
      </c>
      <c r="C227" s="109">
        <v>1.46</v>
      </c>
      <c r="D227" s="109">
        <v>1.29</v>
      </c>
      <c r="E227" s="109">
        <v>1.0900000000000001</v>
      </c>
      <c r="F227" s="109">
        <v>0.9</v>
      </c>
      <c r="G227" s="109">
        <v>0.76</v>
      </c>
      <c r="H227" s="109">
        <v>0.72</v>
      </c>
      <c r="I227" s="109">
        <v>0.77</v>
      </c>
      <c r="J227" s="109">
        <v>0.92</v>
      </c>
      <c r="K227" s="109">
        <v>1.1599999999999999</v>
      </c>
      <c r="L227" s="109">
        <v>1.44</v>
      </c>
      <c r="M227" s="109">
        <v>1.64</v>
      </c>
      <c r="N227" s="109">
        <v>1.61</v>
      </c>
    </row>
    <row r="228" spans="1:14" x14ac:dyDescent="0.2">
      <c r="A228" s="99">
        <v>44</v>
      </c>
      <c r="B228" s="108">
        <v>70</v>
      </c>
      <c r="C228" s="109">
        <v>1.43</v>
      </c>
      <c r="D228" s="109">
        <v>1.26</v>
      </c>
      <c r="E228" s="109">
        <v>1.05</v>
      </c>
      <c r="F228" s="109">
        <v>0.85</v>
      </c>
      <c r="G228" s="109">
        <v>0.7</v>
      </c>
      <c r="H228" s="109">
        <v>0.65</v>
      </c>
      <c r="I228" s="109">
        <v>0.7</v>
      </c>
      <c r="J228" s="109">
        <v>0.86</v>
      </c>
      <c r="K228" s="109">
        <v>1.1100000000000001</v>
      </c>
      <c r="L228" s="109">
        <v>1.41</v>
      </c>
      <c r="M228" s="109">
        <v>1.62</v>
      </c>
      <c r="N228" s="109">
        <v>1.59</v>
      </c>
    </row>
    <row r="229" spans="1:14" x14ac:dyDescent="0.2">
      <c r="A229" s="99">
        <v>44</v>
      </c>
      <c r="B229" s="108">
        <v>75</v>
      </c>
      <c r="C229" s="109">
        <v>1.4</v>
      </c>
      <c r="D229" s="109">
        <v>1.21</v>
      </c>
      <c r="E229" s="109">
        <v>1</v>
      </c>
      <c r="F229" s="109">
        <v>0.78</v>
      </c>
      <c r="G229" s="109">
        <v>0.64</v>
      </c>
      <c r="H229" s="109">
        <v>0.57999999999999996</v>
      </c>
      <c r="I229" s="109">
        <v>0.64</v>
      </c>
      <c r="J229" s="109">
        <v>0.8</v>
      </c>
      <c r="K229" s="109">
        <v>1.06</v>
      </c>
      <c r="L229" s="109">
        <v>1.37</v>
      </c>
      <c r="M229" s="109">
        <v>1.59</v>
      </c>
      <c r="N229" s="109">
        <v>1.56</v>
      </c>
    </row>
    <row r="230" spans="1:14" x14ac:dyDescent="0.2">
      <c r="A230" s="99">
        <v>44</v>
      </c>
      <c r="B230" s="108">
        <v>80</v>
      </c>
      <c r="C230" s="109">
        <v>1.36</v>
      </c>
      <c r="D230" s="109">
        <v>1.1599999999999999</v>
      </c>
      <c r="E230" s="109">
        <v>0.94</v>
      </c>
      <c r="F230" s="109">
        <v>0.72</v>
      </c>
      <c r="G230" s="109">
        <v>0.56000000000000005</v>
      </c>
      <c r="H230" s="109">
        <v>0.51</v>
      </c>
      <c r="I230" s="109">
        <v>0.56000000000000005</v>
      </c>
      <c r="J230" s="109">
        <v>0.73</v>
      </c>
      <c r="K230" s="109">
        <v>0.99</v>
      </c>
      <c r="L230" s="109">
        <v>1.32</v>
      </c>
      <c r="M230" s="109">
        <v>1.54</v>
      </c>
      <c r="N230" s="109">
        <v>1.52</v>
      </c>
    </row>
    <row r="231" spans="1:14" x14ac:dyDescent="0.2">
      <c r="A231" s="99">
        <v>44</v>
      </c>
      <c r="B231" s="108">
        <v>85</v>
      </c>
      <c r="C231" s="109">
        <v>1.31</v>
      </c>
      <c r="D231" s="109">
        <v>1.1100000000000001</v>
      </c>
      <c r="E231" s="109">
        <v>0.87</v>
      </c>
      <c r="F231" s="109">
        <v>0.65</v>
      </c>
      <c r="G231" s="109">
        <v>0.49</v>
      </c>
      <c r="H231" s="109">
        <v>0.43</v>
      </c>
      <c r="I231" s="109">
        <v>0.49</v>
      </c>
      <c r="J231" s="109">
        <v>0.66</v>
      </c>
      <c r="K231" s="109">
        <v>0.93</v>
      </c>
      <c r="L231" s="109">
        <v>1.26</v>
      </c>
      <c r="M231" s="109">
        <v>1.49</v>
      </c>
      <c r="N231" s="109">
        <v>1.48</v>
      </c>
    </row>
    <row r="232" spans="1:14" x14ac:dyDescent="0.2">
      <c r="A232" s="100">
        <v>44</v>
      </c>
      <c r="B232" s="112">
        <v>90</v>
      </c>
      <c r="C232" s="113">
        <v>1.25</v>
      </c>
      <c r="D232" s="113">
        <v>1.04</v>
      </c>
      <c r="E232" s="113">
        <v>0.8</v>
      </c>
      <c r="F232" s="113">
        <v>0.56999999999999995</v>
      </c>
      <c r="G232" s="113">
        <v>0.41</v>
      </c>
      <c r="H232" s="113">
        <v>0.35</v>
      </c>
      <c r="I232" s="113">
        <v>0.41</v>
      </c>
      <c r="J232" s="113">
        <v>0.57999999999999996</v>
      </c>
      <c r="K232" s="113">
        <v>0.85</v>
      </c>
      <c r="L232" s="113">
        <v>1.19</v>
      </c>
      <c r="M232" s="113">
        <v>1.43</v>
      </c>
      <c r="N232" s="113">
        <v>1.42</v>
      </c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064F-39EB-47C8-B165-F0A461365EFA}">
  <sheetPr codeName="Hoja7"/>
  <dimension ref="B1:AB56"/>
  <sheetViews>
    <sheetView showGridLines="0" zoomScale="75" workbookViewId="0">
      <selection activeCell="N5" sqref="N5"/>
    </sheetView>
  </sheetViews>
  <sheetFormatPr baseColWidth="10" defaultColWidth="11.42578125" defaultRowHeight="12.75" x14ac:dyDescent="0.2"/>
  <cols>
    <col min="1" max="1" width="3.42578125" customWidth="1"/>
    <col min="2" max="2" width="17.5703125" customWidth="1"/>
    <col min="3" max="14" width="6.7109375" customWidth="1"/>
    <col min="15" max="15" width="42" customWidth="1"/>
    <col min="16" max="16" width="17.85546875" customWidth="1"/>
    <col min="17" max="28" width="6.7109375" customWidth="1"/>
  </cols>
  <sheetData>
    <row r="1" spans="2:28" x14ac:dyDescent="0.2">
      <c r="B1" s="5" t="s">
        <v>258</v>
      </c>
    </row>
    <row r="2" spans="2:28" x14ac:dyDescent="0.2">
      <c r="B2" t="s">
        <v>261</v>
      </c>
    </row>
    <row r="3" spans="2:28" x14ac:dyDescent="0.2">
      <c r="B3" s="5" t="s">
        <v>259</v>
      </c>
      <c r="P3" s="5" t="s">
        <v>260</v>
      </c>
    </row>
    <row r="4" spans="2:28" ht="16.5" x14ac:dyDescent="0.2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P4" s="89" t="s">
        <v>190</v>
      </c>
      <c r="Q4" s="90" t="s">
        <v>191</v>
      </c>
      <c r="R4" s="90" t="s">
        <v>192</v>
      </c>
      <c r="S4" s="90" t="s">
        <v>193</v>
      </c>
      <c r="T4" s="90" t="s">
        <v>194</v>
      </c>
      <c r="U4" s="90" t="s">
        <v>195</v>
      </c>
      <c r="V4" s="90" t="s">
        <v>196</v>
      </c>
      <c r="W4" s="90" t="s">
        <v>197</v>
      </c>
      <c r="X4" s="90" t="s">
        <v>198</v>
      </c>
      <c r="Y4" s="90" t="s">
        <v>199</v>
      </c>
      <c r="Z4" s="90" t="s">
        <v>200</v>
      </c>
      <c r="AA4" s="90" t="s">
        <v>201</v>
      </c>
      <c r="AB4" s="90" t="s">
        <v>202</v>
      </c>
    </row>
    <row r="5" spans="2:28" x14ac:dyDescent="0.2">
      <c r="B5" s="80" t="s">
        <v>203</v>
      </c>
      <c r="C5" s="91">
        <f>Q5/3.6</f>
        <v>1.2777777777777777</v>
      </c>
      <c r="D5" s="91">
        <f t="shared" ref="D5:N5" si="0">R5/3.6</f>
        <v>1.9166666666666667</v>
      </c>
      <c r="E5" s="91">
        <f t="shared" si="0"/>
        <v>3.1111111111111107</v>
      </c>
      <c r="F5" s="91">
        <f t="shared" si="0"/>
        <v>3.6111111111111112</v>
      </c>
      <c r="G5" s="91">
        <f t="shared" si="0"/>
        <v>4.1111111111111116</v>
      </c>
      <c r="H5" s="91">
        <f t="shared" si="0"/>
        <v>4.6111111111111116</v>
      </c>
      <c r="I5" s="91">
        <f t="shared" si="0"/>
        <v>5.0277777777777777</v>
      </c>
      <c r="J5" s="91">
        <f t="shared" si="0"/>
        <v>4.8055555555555554</v>
      </c>
      <c r="K5" s="91">
        <f t="shared" si="0"/>
        <v>3.9722222222222223</v>
      </c>
      <c r="L5" s="91">
        <f t="shared" si="0"/>
        <v>2.6388888888888888</v>
      </c>
      <c r="M5" s="91">
        <f t="shared" si="0"/>
        <v>1.5277777777777777</v>
      </c>
      <c r="N5" s="91">
        <f t="shared" si="0"/>
        <v>1.1388888888888888</v>
      </c>
      <c r="P5" s="84" t="s">
        <v>203</v>
      </c>
      <c r="Q5" s="85">
        <v>4.5999999999999996</v>
      </c>
      <c r="R5" s="85">
        <v>6.9</v>
      </c>
      <c r="S5" s="85">
        <v>11.2</v>
      </c>
      <c r="T5" s="85">
        <v>13</v>
      </c>
      <c r="U5" s="85">
        <v>14.8</v>
      </c>
      <c r="V5" s="85">
        <v>16.600000000000001</v>
      </c>
      <c r="W5" s="85">
        <v>18.100000000000001</v>
      </c>
      <c r="X5" s="85">
        <v>17.3</v>
      </c>
      <c r="Y5" s="85">
        <v>14.3</v>
      </c>
      <c r="Z5" s="85">
        <v>9.5</v>
      </c>
      <c r="AA5" s="85">
        <v>5.5</v>
      </c>
      <c r="AB5" s="85">
        <v>4.0999999999999996</v>
      </c>
    </row>
    <row r="6" spans="2:28" x14ac:dyDescent="0.2">
      <c r="B6" s="80" t="s">
        <v>204</v>
      </c>
      <c r="C6" s="92">
        <f t="shared" ref="C6:C56" si="1">Q6/3.6</f>
        <v>1.8611111111111112</v>
      </c>
      <c r="D6" s="92">
        <f t="shared" ref="D6:D56" si="2">R6/3.6</f>
        <v>2.9166666666666665</v>
      </c>
      <c r="E6" s="92">
        <f t="shared" ref="E6:E56" si="3">S6/3.6</f>
        <v>4.166666666666667</v>
      </c>
      <c r="F6" s="92">
        <f t="shared" ref="F6:F56" si="4">T6/3.6</f>
        <v>5.333333333333333</v>
      </c>
      <c r="G6" s="92">
        <f t="shared" ref="G6:G56" si="5">U6/3.6</f>
        <v>5.8888888888888884</v>
      </c>
      <c r="H6" s="92">
        <f t="shared" ref="H6:H56" si="6">V6/3.6</f>
        <v>6.9722222222222223</v>
      </c>
      <c r="I6" s="92">
        <f t="shared" ref="I6:I56" si="7">W6/3.6</f>
        <v>7.4166666666666661</v>
      </c>
      <c r="J6" s="92">
        <f t="shared" ref="J6:J56" si="8">X6/3.6</f>
        <v>6.4444444444444438</v>
      </c>
      <c r="K6" s="92">
        <f t="shared" ref="K6:K56" si="9">Y6/3.6</f>
        <v>5.2222222222222223</v>
      </c>
      <c r="L6" s="92">
        <f t="shared" ref="L6:L56" si="10">Z6/3.6</f>
        <v>3.4444444444444446</v>
      </c>
      <c r="M6" s="92">
        <f t="shared" ref="M6:M56" si="11">AA6/3.6</f>
        <v>2.3333333333333335</v>
      </c>
      <c r="N6" s="92">
        <f t="shared" ref="N6:N56" si="12">AB6/3.6</f>
        <v>1.7777777777777779</v>
      </c>
      <c r="P6" s="84" t="s">
        <v>204</v>
      </c>
      <c r="Q6" s="85">
        <v>6.7</v>
      </c>
      <c r="R6" s="85">
        <v>10.5</v>
      </c>
      <c r="S6" s="85">
        <v>15</v>
      </c>
      <c r="T6" s="85">
        <v>19.2</v>
      </c>
      <c r="U6" s="85">
        <v>21.2</v>
      </c>
      <c r="V6" s="85">
        <v>25.1</v>
      </c>
      <c r="W6" s="85">
        <v>26.7</v>
      </c>
      <c r="X6" s="85">
        <v>23.2</v>
      </c>
      <c r="Y6" s="85">
        <v>18.8</v>
      </c>
      <c r="Z6" s="85">
        <v>12.4</v>
      </c>
      <c r="AA6" s="85">
        <v>8.4</v>
      </c>
      <c r="AB6" s="85">
        <v>6.4</v>
      </c>
    </row>
    <row r="7" spans="2:28" x14ac:dyDescent="0.2">
      <c r="B7" s="80" t="s">
        <v>205</v>
      </c>
      <c r="C7" s="92">
        <f t="shared" si="1"/>
        <v>2.3611111111111112</v>
      </c>
      <c r="D7" s="92">
        <f t="shared" si="2"/>
        <v>3.333333333333333</v>
      </c>
      <c r="E7" s="92">
        <f t="shared" si="3"/>
        <v>4.5277777777777777</v>
      </c>
      <c r="F7" s="92">
        <f t="shared" si="4"/>
        <v>5.2499999999999991</v>
      </c>
      <c r="G7" s="92">
        <f t="shared" si="5"/>
        <v>6.416666666666667</v>
      </c>
      <c r="H7" s="92">
        <f t="shared" si="6"/>
        <v>6.8888888888888893</v>
      </c>
      <c r="I7" s="92">
        <f t="shared" si="7"/>
        <v>7.166666666666667</v>
      </c>
      <c r="J7" s="92">
        <f t="shared" si="8"/>
        <v>6.25</v>
      </c>
      <c r="K7" s="92">
        <f t="shared" si="9"/>
        <v>5.083333333333333</v>
      </c>
      <c r="L7" s="92">
        <f t="shared" si="10"/>
        <v>3.7777777777777777</v>
      </c>
      <c r="M7" s="92">
        <f t="shared" si="11"/>
        <v>2.7222222222222223</v>
      </c>
      <c r="N7" s="92">
        <f t="shared" si="12"/>
        <v>2.1111111111111112</v>
      </c>
      <c r="P7" s="84" t="s">
        <v>205</v>
      </c>
      <c r="Q7" s="85">
        <v>8.5</v>
      </c>
      <c r="R7" s="85">
        <v>12</v>
      </c>
      <c r="S7" s="85">
        <v>16.3</v>
      </c>
      <c r="T7" s="85">
        <v>18.899999999999999</v>
      </c>
      <c r="U7" s="85">
        <v>23.1</v>
      </c>
      <c r="V7" s="85">
        <v>24.8</v>
      </c>
      <c r="W7" s="85">
        <v>25.8</v>
      </c>
      <c r="X7" s="85">
        <v>22.5</v>
      </c>
      <c r="Y7" s="85">
        <v>18.3</v>
      </c>
      <c r="Z7" s="85">
        <v>13.6</v>
      </c>
      <c r="AA7" s="85">
        <v>9.8000000000000007</v>
      </c>
      <c r="AB7" s="85">
        <v>7.6</v>
      </c>
    </row>
    <row r="8" spans="2:28" x14ac:dyDescent="0.2">
      <c r="B8" s="80" t="s">
        <v>206</v>
      </c>
      <c r="C8" s="92">
        <f t="shared" si="1"/>
        <v>2.4722222222222223</v>
      </c>
      <c r="D8" s="92">
        <f t="shared" si="2"/>
        <v>3.3888888888888884</v>
      </c>
      <c r="E8" s="92">
        <f t="shared" si="3"/>
        <v>4.5555555555555554</v>
      </c>
      <c r="F8" s="92">
        <f t="shared" si="4"/>
        <v>5.4444444444444446</v>
      </c>
      <c r="G8" s="92">
        <f t="shared" si="5"/>
        <v>6.416666666666667</v>
      </c>
      <c r="H8" s="92">
        <f t="shared" si="6"/>
        <v>6.8333333333333339</v>
      </c>
      <c r="I8" s="92">
        <f t="shared" si="7"/>
        <v>7.0277777777777777</v>
      </c>
      <c r="J8" s="92">
        <f t="shared" si="8"/>
        <v>6.25</v>
      </c>
      <c r="K8" s="92">
        <f t="shared" si="9"/>
        <v>5.1388888888888884</v>
      </c>
      <c r="L8" s="92">
        <f t="shared" si="10"/>
        <v>3.8611111111111112</v>
      </c>
      <c r="M8" s="92">
        <f t="shared" si="11"/>
        <v>2.7777777777777777</v>
      </c>
      <c r="N8" s="92">
        <f t="shared" si="12"/>
        <v>2.2222222222222223</v>
      </c>
      <c r="P8" s="84" t="s">
        <v>206</v>
      </c>
      <c r="Q8" s="85">
        <v>8.9</v>
      </c>
      <c r="R8" s="85">
        <v>12.2</v>
      </c>
      <c r="S8" s="85">
        <v>16.399999999999999</v>
      </c>
      <c r="T8" s="85">
        <v>19.600000000000001</v>
      </c>
      <c r="U8" s="85">
        <v>23.1</v>
      </c>
      <c r="V8" s="85">
        <v>24.6</v>
      </c>
      <c r="W8" s="85">
        <v>25.3</v>
      </c>
      <c r="X8" s="85">
        <v>22.5</v>
      </c>
      <c r="Y8" s="85">
        <v>18.5</v>
      </c>
      <c r="Z8" s="85">
        <v>13.9</v>
      </c>
      <c r="AA8" s="85">
        <v>10</v>
      </c>
      <c r="AB8" s="85">
        <v>8</v>
      </c>
    </row>
    <row r="9" spans="2:28" x14ac:dyDescent="0.2">
      <c r="B9" s="80" t="s">
        <v>207</v>
      </c>
      <c r="C9" s="92">
        <f t="shared" si="1"/>
        <v>1.4722222222222221</v>
      </c>
      <c r="D9" s="92">
        <f t="shared" si="2"/>
        <v>2.1388888888888888</v>
      </c>
      <c r="E9" s="92">
        <f t="shared" si="3"/>
        <v>2.9444444444444442</v>
      </c>
      <c r="F9" s="92">
        <f t="shared" si="4"/>
        <v>3.3888888888888884</v>
      </c>
      <c r="G9" s="92">
        <f t="shared" si="5"/>
        <v>4.166666666666667</v>
      </c>
      <c r="H9" s="92">
        <f t="shared" si="6"/>
        <v>4.2222222222222223</v>
      </c>
      <c r="I9" s="92">
        <f t="shared" si="7"/>
        <v>4.666666666666667</v>
      </c>
      <c r="J9" s="92">
        <f t="shared" si="8"/>
        <v>4.1111111111111116</v>
      </c>
      <c r="K9" s="92">
        <f t="shared" si="9"/>
        <v>3.4444444444444446</v>
      </c>
      <c r="L9" s="92">
        <f t="shared" si="10"/>
        <v>2.7222222222222223</v>
      </c>
      <c r="M9" s="92">
        <f t="shared" si="11"/>
        <v>1.6388888888888888</v>
      </c>
      <c r="N9" s="92">
        <f t="shared" si="12"/>
        <v>1.2777777777777777</v>
      </c>
      <c r="P9" s="84" t="s">
        <v>207</v>
      </c>
      <c r="Q9" s="85">
        <v>5.3</v>
      </c>
      <c r="R9" s="85">
        <v>7.7</v>
      </c>
      <c r="S9" s="85">
        <v>10.6</v>
      </c>
      <c r="T9" s="85">
        <v>12.2</v>
      </c>
      <c r="U9" s="85">
        <v>15</v>
      </c>
      <c r="V9" s="85">
        <v>15.2</v>
      </c>
      <c r="W9" s="85">
        <v>16.8</v>
      </c>
      <c r="X9" s="85">
        <v>14.8</v>
      </c>
      <c r="Y9" s="85">
        <v>12.4</v>
      </c>
      <c r="Z9" s="85">
        <v>9.8000000000000007</v>
      </c>
      <c r="AA9" s="85">
        <v>5.9</v>
      </c>
      <c r="AB9" s="85">
        <v>4.5999999999999996</v>
      </c>
    </row>
    <row r="10" spans="2:28" x14ac:dyDescent="0.2">
      <c r="B10" s="80" t="s">
        <v>208</v>
      </c>
      <c r="C10" s="92">
        <f t="shared" si="1"/>
        <v>1.6666666666666665</v>
      </c>
      <c r="D10" s="92">
        <f t="shared" si="2"/>
        <v>2.5277777777777777</v>
      </c>
      <c r="E10" s="92">
        <f t="shared" si="3"/>
        <v>3.75</v>
      </c>
      <c r="F10" s="92">
        <f t="shared" si="4"/>
        <v>4.9166666666666661</v>
      </c>
      <c r="G10" s="92">
        <f t="shared" si="5"/>
        <v>5.3888888888888884</v>
      </c>
      <c r="H10" s="92">
        <f t="shared" si="6"/>
        <v>6.1944444444444446</v>
      </c>
      <c r="I10" s="92">
        <f t="shared" si="7"/>
        <v>7.3055555555555554</v>
      </c>
      <c r="J10" s="92">
        <f t="shared" si="8"/>
        <v>7.0277777777777777</v>
      </c>
      <c r="K10" s="92">
        <f t="shared" si="9"/>
        <v>5.2222222222222223</v>
      </c>
      <c r="L10" s="92">
        <f t="shared" si="10"/>
        <v>3.1111111111111107</v>
      </c>
      <c r="M10" s="92">
        <f t="shared" si="11"/>
        <v>1.9166666666666667</v>
      </c>
      <c r="N10" s="92">
        <f t="shared" si="12"/>
        <v>1.4444444444444444</v>
      </c>
      <c r="P10" s="84" t="s">
        <v>208</v>
      </c>
      <c r="Q10" s="85">
        <v>6</v>
      </c>
      <c r="R10" s="85">
        <v>9.1</v>
      </c>
      <c r="S10" s="85">
        <v>13.5</v>
      </c>
      <c r="T10" s="85">
        <v>17.7</v>
      </c>
      <c r="U10" s="85">
        <v>19.399999999999999</v>
      </c>
      <c r="V10" s="85">
        <v>22.3</v>
      </c>
      <c r="W10" s="85">
        <v>26.3</v>
      </c>
      <c r="X10" s="85">
        <v>25.3</v>
      </c>
      <c r="Y10" s="85">
        <v>18.8</v>
      </c>
      <c r="Z10" s="85">
        <v>11.2</v>
      </c>
      <c r="AA10" s="85">
        <v>6.9</v>
      </c>
      <c r="AB10" s="85">
        <v>5.2</v>
      </c>
    </row>
    <row r="11" spans="2:28" x14ac:dyDescent="0.2">
      <c r="B11" s="80" t="s">
        <v>209</v>
      </c>
      <c r="C11" s="92">
        <f t="shared" si="1"/>
        <v>1.8055555555555556</v>
      </c>
      <c r="D11" s="92">
        <f t="shared" si="2"/>
        <v>2.7777777777777777</v>
      </c>
      <c r="E11" s="92">
        <f t="shared" si="3"/>
        <v>3.7777777777777777</v>
      </c>
      <c r="F11" s="92">
        <f t="shared" si="4"/>
        <v>5.1944444444444438</v>
      </c>
      <c r="G11" s="92">
        <f t="shared" si="5"/>
        <v>6.0555555555555554</v>
      </c>
      <c r="H11" s="92">
        <f t="shared" si="6"/>
        <v>6.8333333333333339</v>
      </c>
      <c r="I11" s="92">
        <f t="shared" si="7"/>
        <v>7.1944444444444438</v>
      </c>
      <c r="J11" s="92">
        <f t="shared" si="8"/>
        <v>6.6111111111111107</v>
      </c>
      <c r="K11" s="92">
        <f t="shared" si="9"/>
        <v>4.9722222222222214</v>
      </c>
      <c r="L11" s="92">
        <f t="shared" si="10"/>
        <v>3.416666666666667</v>
      </c>
      <c r="M11" s="92">
        <f t="shared" si="11"/>
        <v>2.2777777777777777</v>
      </c>
      <c r="N11" s="92">
        <f t="shared" si="12"/>
        <v>1.7222222222222223</v>
      </c>
      <c r="P11" s="84" t="s">
        <v>209</v>
      </c>
      <c r="Q11" s="85">
        <v>6.5</v>
      </c>
      <c r="R11" s="85">
        <v>10</v>
      </c>
      <c r="S11" s="85">
        <v>13.6</v>
      </c>
      <c r="T11" s="85">
        <v>18.7</v>
      </c>
      <c r="U11" s="85">
        <v>21.8</v>
      </c>
      <c r="V11" s="85">
        <v>24.6</v>
      </c>
      <c r="W11" s="85">
        <v>25.9</v>
      </c>
      <c r="X11" s="85">
        <v>23.8</v>
      </c>
      <c r="Y11" s="85">
        <v>17.899999999999999</v>
      </c>
      <c r="Z11" s="85">
        <v>12.3</v>
      </c>
      <c r="AA11" s="85">
        <v>8.1999999999999993</v>
      </c>
      <c r="AB11" s="85">
        <v>6.2</v>
      </c>
    </row>
    <row r="12" spans="2:28" x14ac:dyDescent="0.2">
      <c r="B12" s="80" t="s">
        <v>210</v>
      </c>
      <c r="C12" s="92">
        <f t="shared" si="1"/>
        <v>2</v>
      </c>
      <c r="D12" s="92">
        <f t="shared" si="2"/>
        <v>2.9722222222222219</v>
      </c>
      <c r="E12" s="92">
        <f t="shared" si="3"/>
        <v>4</v>
      </c>
      <c r="F12" s="92">
        <f t="shared" si="4"/>
        <v>4.5</v>
      </c>
      <c r="G12" s="92">
        <f t="shared" si="5"/>
        <v>5.833333333333333</v>
      </c>
      <c r="H12" s="92">
        <f t="shared" si="6"/>
        <v>6.3055555555555554</v>
      </c>
      <c r="I12" s="92">
        <f t="shared" si="7"/>
        <v>6.7222222222222214</v>
      </c>
      <c r="J12" s="92">
        <f t="shared" si="8"/>
        <v>5.7222222222222223</v>
      </c>
      <c r="K12" s="92">
        <f t="shared" si="9"/>
        <v>4.5555555555555554</v>
      </c>
      <c r="L12" s="92">
        <f t="shared" si="10"/>
        <v>3.3611111111111107</v>
      </c>
      <c r="M12" s="92">
        <f t="shared" si="11"/>
        <v>2.3611111111111112</v>
      </c>
      <c r="N12" s="92">
        <f t="shared" si="12"/>
        <v>1.8055555555555556</v>
      </c>
      <c r="P12" s="84" t="s">
        <v>210</v>
      </c>
      <c r="Q12" s="85">
        <v>7.2</v>
      </c>
      <c r="R12" s="85">
        <v>10.7</v>
      </c>
      <c r="S12" s="85">
        <v>14.4</v>
      </c>
      <c r="T12" s="85">
        <v>16.2</v>
      </c>
      <c r="U12" s="85">
        <v>21</v>
      </c>
      <c r="V12" s="85">
        <v>22.7</v>
      </c>
      <c r="W12" s="85">
        <v>24.2</v>
      </c>
      <c r="X12" s="85">
        <v>20.6</v>
      </c>
      <c r="Y12" s="85">
        <v>16.399999999999999</v>
      </c>
      <c r="Z12" s="85">
        <v>12.1</v>
      </c>
      <c r="AA12" s="85">
        <v>8.5</v>
      </c>
      <c r="AB12" s="85">
        <v>6.5</v>
      </c>
    </row>
    <row r="13" spans="2:28" x14ac:dyDescent="0.2">
      <c r="B13" s="80" t="s">
        <v>211</v>
      </c>
      <c r="C13" s="92">
        <f t="shared" si="1"/>
        <v>1.8055555555555556</v>
      </c>
      <c r="D13" s="92">
        <f t="shared" si="2"/>
        <v>2.6388888888888888</v>
      </c>
      <c r="E13" s="92">
        <f t="shared" si="3"/>
        <v>3.5833333333333335</v>
      </c>
      <c r="F13" s="92">
        <f t="shared" si="4"/>
        <v>4.4722222222222223</v>
      </c>
      <c r="G13" s="92">
        <f t="shared" si="5"/>
        <v>5.166666666666667</v>
      </c>
      <c r="H13" s="92">
        <f t="shared" si="6"/>
        <v>5.6388888888888893</v>
      </c>
      <c r="I13" s="92">
        <f t="shared" si="7"/>
        <v>6</v>
      </c>
      <c r="J13" s="92">
        <f t="shared" si="8"/>
        <v>5.0277777777777777</v>
      </c>
      <c r="K13" s="92">
        <f t="shared" si="9"/>
        <v>4.0555555555555554</v>
      </c>
      <c r="L13" s="92">
        <f t="shared" si="10"/>
        <v>3</v>
      </c>
      <c r="M13" s="92">
        <f t="shared" si="11"/>
        <v>2</v>
      </c>
      <c r="N13" s="92">
        <f t="shared" si="12"/>
        <v>1.6111111111111109</v>
      </c>
      <c r="P13" s="84" t="s">
        <v>211</v>
      </c>
      <c r="Q13" s="85">
        <v>6.5</v>
      </c>
      <c r="R13" s="85">
        <v>9.5</v>
      </c>
      <c r="S13" s="85">
        <v>12.9</v>
      </c>
      <c r="T13" s="85">
        <v>16.100000000000001</v>
      </c>
      <c r="U13" s="85">
        <v>18.600000000000001</v>
      </c>
      <c r="V13" s="85">
        <v>20.3</v>
      </c>
      <c r="W13" s="85">
        <v>21.6</v>
      </c>
      <c r="X13" s="85">
        <v>18.100000000000001</v>
      </c>
      <c r="Y13" s="85">
        <v>14.6</v>
      </c>
      <c r="Z13" s="85">
        <v>10.8</v>
      </c>
      <c r="AA13" s="85">
        <v>7.2</v>
      </c>
      <c r="AB13" s="85">
        <v>5.8</v>
      </c>
    </row>
    <row r="14" spans="2:28" x14ac:dyDescent="0.2">
      <c r="B14" s="80" t="s">
        <v>212</v>
      </c>
      <c r="C14" s="92">
        <f t="shared" si="1"/>
        <v>1.4166666666666665</v>
      </c>
      <c r="D14" s="92">
        <f t="shared" si="2"/>
        <v>2.1944444444444446</v>
      </c>
      <c r="E14" s="92">
        <f t="shared" si="3"/>
        <v>3.4444444444444446</v>
      </c>
      <c r="F14" s="92">
        <f t="shared" si="4"/>
        <v>4.4444444444444446</v>
      </c>
      <c r="G14" s="92">
        <f t="shared" si="5"/>
        <v>5.1944444444444438</v>
      </c>
      <c r="H14" s="92">
        <f t="shared" si="6"/>
        <v>5.9722222222222223</v>
      </c>
      <c r="I14" s="92">
        <f t="shared" si="7"/>
        <v>6.3888888888888884</v>
      </c>
      <c r="J14" s="92">
        <f t="shared" si="8"/>
        <v>5.75</v>
      </c>
      <c r="K14" s="92">
        <f t="shared" si="9"/>
        <v>4.6388888888888884</v>
      </c>
      <c r="L14" s="92">
        <f t="shared" si="10"/>
        <v>2.8055555555555554</v>
      </c>
      <c r="M14" s="92">
        <f t="shared" si="11"/>
        <v>1.8055555555555556</v>
      </c>
      <c r="N14" s="92">
        <f t="shared" si="12"/>
        <v>1.25</v>
      </c>
      <c r="P14" s="84" t="s">
        <v>212</v>
      </c>
      <c r="Q14" s="85">
        <v>5.0999999999999996</v>
      </c>
      <c r="R14" s="85">
        <v>7.9</v>
      </c>
      <c r="S14" s="85">
        <v>12.4</v>
      </c>
      <c r="T14" s="85">
        <v>16</v>
      </c>
      <c r="U14" s="85">
        <v>18.7</v>
      </c>
      <c r="V14" s="85">
        <v>21.5</v>
      </c>
      <c r="W14" s="85">
        <v>23</v>
      </c>
      <c r="X14" s="85">
        <v>20.7</v>
      </c>
      <c r="Y14" s="85">
        <v>16.7</v>
      </c>
      <c r="Z14" s="85">
        <v>10.1</v>
      </c>
      <c r="AA14" s="85">
        <v>6.5</v>
      </c>
      <c r="AB14" s="85">
        <v>4.5</v>
      </c>
    </row>
    <row r="15" spans="2:28" x14ac:dyDescent="0.2">
      <c r="B15" s="80" t="s">
        <v>213</v>
      </c>
      <c r="C15" s="92">
        <f t="shared" si="1"/>
        <v>1.8888888888888888</v>
      </c>
      <c r="D15" s="92">
        <f t="shared" si="2"/>
        <v>2.7777777777777777</v>
      </c>
      <c r="E15" s="92">
        <f t="shared" si="3"/>
        <v>4.083333333333333</v>
      </c>
      <c r="F15" s="92">
        <f t="shared" si="4"/>
        <v>5.4444444444444446</v>
      </c>
      <c r="G15" s="92">
        <f t="shared" si="5"/>
        <v>6.1388888888888893</v>
      </c>
      <c r="H15" s="92">
        <f t="shared" si="6"/>
        <v>6.9722222222222223</v>
      </c>
      <c r="I15" s="92">
        <f t="shared" si="7"/>
        <v>7.8055555555555554</v>
      </c>
      <c r="J15" s="92">
        <f t="shared" si="8"/>
        <v>7.0555555555555554</v>
      </c>
      <c r="K15" s="92">
        <f t="shared" si="9"/>
        <v>5.4722222222222223</v>
      </c>
      <c r="L15" s="92">
        <f t="shared" si="10"/>
        <v>3.5277777777777777</v>
      </c>
      <c r="M15" s="92">
        <f t="shared" si="11"/>
        <v>2.4722222222222223</v>
      </c>
      <c r="N15" s="92">
        <f t="shared" si="12"/>
        <v>1.8333333333333333</v>
      </c>
      <c r="P15" s="84" t="s">
        <v>213</v>
      </c>
      <c r="Q15" s="85">
        <v>6.8</v>
      </c>
      <c r="R15" s="85">
        <v>10</v>
      </c>
      <c r="S15" s="85">
        <v>14.7</v>
      </c>
      <c r="T15" s="85">
        <v>19.600000000000001</v>
      </c>
      <c r="U15" s="85">
        <v>22.1</v>
      </c>
      <c r="V15" s="85">
        <v>25.1</v>
      </c>
      <c r="W15" s="85">
        <v>28.1</v>
      </c>
      <c r="X15" s="85">
        <v>25.4</v>
      </c>
      <c r="Y15" s="85">
        <v>19.7</v>
      </c>
      <c r="Z15" s="85">
        <v>12.7</v>
      </c>
      <c r="AA15" s="85">
        <v>8.9</v>
      </c>
      <c r="AB15" s="85">
        <v>6.6</v>
      </c>
    </row>
    <row r="16" spans="2:28" x14ac:dyDescent="0.2">
      <c r="B16" s="80" t="s">
        <v>214</v>
      </c>
      <c r="C16" s="92">
        <f t="shared" si="1"/>
        <v>2.25</v>
      </c>
      <c r="D16" s="92">
        <f t="shared" si="2"/>
        <v>3.1944444444444442</v>
      </c>
      <c r="E16" s="92">
        <f t="shared" si="3"/>
        <v>4.3611111111111107</v>
      </c>
      <c r="F16" s="92">
        <f t="shared" si="4"/>
        <v>5.1388888888888884</v>
      </c>
      <c r="G16" s="92">
        <f t="shared" si="5"/>
        <v>6.1666666666666661</v>
      </c>
      <c r="H16" s="92">
        <f t="shared" si="6"/>
        <v>6.6111111111111107</v>
      </c>
      <c r="I16" s="92">
        <f t="shared" si="7"/>
        <v>7.1944444444444438</v>
      </c>
      <c r="J16" s="92">
        <f t="shared" si="8"/>
        <v>6.3888888888888884</v>
      </c>
      <c r="K16" s="92">
        <f t="shared" si="9"/>
        <v>5.0277777777777777</v>
      </c>
      <c r="L16" s="92">
        <f t="shared" si="10"/>
        <v>3.9444444444444442</v>
      </c>
      <c r="M16" s="92">
        <f t="shared" si="11"/>
        <v>2.7777777777777777</v>
      </c>
      <c r="N16" s="92">
        <f t="shared" si="12"/>
        <v>2.0555555555555558</v>
      </c>
      <c r="P16" s="84" t="s">
        <v>214</v>
      </c>
      <c r="Q16" s="85">
        <v>8.1</v>
      </c>
      <c r="R16" s="85">
        <v>11.5</v>
      </c>
      <c r="S16" s="85">
        <v>15.7</v>
      </c>
      <c r="T16" s="85">
        <v>18.5</v>
      </c>
      <c r="U16" s="85">
        <v>22.2</v>
      </c>
      <c r="V16" s="85">
        <v>23.8</v>
      </c>
      <c r="W16" s="85">
        <v>25.9</v>
      </c>
      <c r="X16" s="85">
        <v>23</v>
      </c>
      <c r="Y16" s="85">
        <v>18.100000000000001</v>
      </c>
      <c r="Z16" s="85">
        <v>14.2</v>
      </c>
      <c r="AA16" s="85">
        <v>10</v>
      </c>
      <c r="AB16" s="85">
        <v>7.4</v>
      </c>
    </row>
    <row r="17" spans="2:28" x14ac:dyDescent="0.2">
      <c r="B17" s="80" t="s">
        <v>215</v>
      </c>
      <c r="C17" s="92">
        <f t="shared" si="1"/>
        <v>1.3888888888888888</v>
      </c>
      <c r="D17" s="92">
        <f t="shared" si="2"/>
        <v>2.0555555555555558</v>
      </c>
      <c r="E17" s="92">
        <f t="shared" si="3"/>
        <v>3.0555555555555554</v>
      </c>
      <c r="F17" s="92">
        <f t="shared" si="4"/>
        <v>3.6111111111111112</v>
      </c>
      <c r="G17" s="92">
        <f t="shared" si="5"/>
        <v>4.4722222222222223</v>
      </c>
      <c r="H17" s="92">
        <f t="shared" si="6"/>
        <v>4.7222222222222223</v>
      </c>
      <c r="I17" s="92">
        <f t="shared" si="7"/>
        <v>5.1111111111111107</v>
      </c>
      <c r="J17" s="92">
        <f t="shared" si="8"/>
        <v>4.3055555555555554</v>
      </c>
      <c r="K17" s="92">
        <f t="shared" si="9"/>
        <v>3.6111111111111112</v>
      </c>
      <c r="L17" s="92">
        <f t="shared" si="10"/>
        <v>2.6388888888888888</v>
      </c>
      <c r="M17" s="92">
        <f t="shared" si="11"/>
        <v>1.6111111111111109</v>
      </c>
      <c r="N17" s="92">
        <f t="shared" si="12"/>
        <v>1.25</v>
      </c>
      <c r="P17" s="84" t="s">
        <v>215</v>
      </c>
      <c r="Q17" s="85">
        <v>5</v>
      </c>
      <c r="R17" s="85">
        <v>7.4</v>
      </c>
      <c r="S17" s="85">
        <v>11</v>
      </c>
      <c r="T17" s="85">
        <v>13</v>
      </c>
      <c r="U17" s="85">
        <v>16.100000000000001</v>
      </c>
      <c r="V17" s="85">
        <v>17</v>
      </c>
      <c r="W17" s="85">
        <v>18.399999999999999</v>
      </c>
      <c r="X17" s="85">
        <v>15.5</v>
      </c>
      <c r="Y17" s="85">
        <v>13</v>
      </c>
      <c r="Z17" s="85">
        <v>9.5</v>
      </c>
      <c r="AA17" s="85">
        <v>5.8</v>
      </c>
      <c r="AB17" s="85">
        <v>4.5</v>
      </c>
    </row>
    <row r="18" spans="2:28" x14ac:dyDescent="0.2">
      <c r="B18" s="80" t="s">
        <v>216</v>
      </c>
      <c r="C18" s="92">
        <f t="shared" si="1"/>
        <v>2.2222222222222223</v>
      </c>
      <c r="D18" s="92">
        <f t="shared" si="2"/>
        <v>3.3888888888888884</v>
      </c>
      <c r="E18" s="92">
        <f t="shared" si="3"/>
        <v>4.3055555555555554</v>
      </c>
      <c r="F18" s="92">
        <f t="shared" si="4"/>
        <v>4.833333333333333</v>
      </c>
      <c r="G18" s="92">
        <f t="shared" si="5"/>
        <v>5.7222222222222223</v>
      </c>
      <c r="H18" s="92">
        <f t="shared" si="6"/>
        <v>5.9444444444444438</v>
      </c>
      <c r="I18" s="92">
        <f t="shared" si="7"/>
        <v>6.6388888888888884</v>
      </c>
      <c r="J18" s="92">
        <f t="shared" si="8"/>
        <v>5.416666666666667</v>
      </c>
      <c r="K18" s="92">
        <f t="shared" si="9"/>
        <v>4.6111111111111116</v>
      </c>
      <c r="L18" s="92">
        <f t="shared" si="10"/>
        <v>3.6388888888888888</v>
      </c>
      <c r="M18" s="92">
        <f t="shared" si="11"/>
        <v>2.3888888888888888</v>
      </c>
      <c r="N18" s="92">
        <f t="shared" si="12"/>
        <v>2.0277777777777777</v>
      </c>
      <c r="P18" s="84" t="s">
        <v>216</v>
      </c>
      <c r="Q18" s="85">
        <v>8</v>
      </c>
      <c r="R18" s="85">
        <v>12.2</v>
      </c>
      <c r="S18" s="85">
        <v>15.5</v>
      </c>
      <c r="T18" s="85">
        <v>17.399999999999999</v>
      </c>
      <c r="U18" s="85">
        <v>20.6</v>
      </c>
      <c r="V18" s="85">
        <v>21.4</v>
      </c>
      <c r="W18" s="85">
        <v>23.9</v>
      </c>
      <c r="X18" s="85">
        <v>19.5</v>
      </c>
      <c r="Y18" s="85">
        <v>16.600000000000001</v>
      </c>
      <c r="Z18" s="85">
        <v>13.1</v>
      </c>
      <c r="AA18" s="85">
        <v>8.6</v>
      </c>
      <c r="AB18" s="85">
        <v>7.3</v>
      </c>
    </row>
    <row r="19" spans="2:28" x14ac:dyDescent="0.2">
      <c r="B19" s="80" t="s">
        <v>217</v>
      </c>
      <c r="C19" s="92">
        <f t="shared" si="1"/>
        <v>2.4722222222222223</v>
      </c>
      <c r="D19" s="92">
        <f t="shared" si="2"/>
        <v>3.6388888888888888</v>
      </c>
      <c r="E19" s="92">
        <f t="shared" si="3"/>
        <v>5.166666666666667</v>
      </c>
      <c r="F19" s="92">
        <f t="shared" si="4"/>
        <v>5.833333333333333</v>
      </c>
      <c r="G19" s="92">
        <f t="shared" si="5"/>
        <v>6.75</v>
      </c>
      <c r="H19" s="92">
        <f t="shared" si="6"/>
        <v>7.4166666666666661</v>
      </c>
      <c r="I19" s="92">
        <f t="shared" si="7"/>
        <v>7.4444444444444446</v>
      </c>
      <c r="J19" s="92">
        <f t="shared" si="8"/>
        <v>6.75</v>
      </c>
      <c r="K19" s="92">
        <f t="shared" si="9"/>
        <v>5.3055555555555562</v>
      </c>
      <c r="L19" s="92">
        <f t="shared" si="10"/>
        <v>3.9444444444444442</v>
      </c>
      <c r="M19" s="92">
        <f t="shared" si="11"/>
        <v>3.0555555555555554</v>
      </c>
      <c r="N19" s="92">
        <f t="shared" si="12"/>
        <v>2.3888888888888888</v>
      </c>
      <c r="P19" s="84" t="s">
        <v>217</v>
      </c>
      <c r="Q19" s="85">
        <v>8.9</v>
      </c>
      <c r="R19" s="85">
        <v>13.1</v>
      </c>
      <c r="S19" s="85">
        <v>18.600000000000001</v>
      </c>
      <c r="T19" s="85">
        <v>21</v>
      </c>
      <c r="U19" s="85">
        <v>24.3</v>
      </c>
      <c r="V19" s="85">
        <v>26.7</v>
      </c>
      <c r="W19" s="85">
        <v>26.8</v>
      </c>
      <c r="X19" s="85">
        <v>24.3</v>
      </c>
      <c r="Y19" s="85">
        <v>19.100000000000001</v>
      </c>
      <c r="Z19" s="85">
        <v>14.2</v>
      </c>
      <c r="AA19" s="85">
        <v>11</v>
      </c>
      <c r="AB19" s="85">
        <v>8.6</v>
      </c>
    </row>
    <row r="20" spans="2:28" x14ac:dyDescent="0.2">
      <c r="B20" s="80" t="s">
        <v>218</v>
      </c>
      <c r="C20" s="92">
        <f t="shared" si="1"/>
        <v>1.9444444444444444</v>
      </c>
      <c r="D20" s="92">
        <f t="shared" si="2"/>
        <v>2.8055555555555554</v>
      </c>
      <c r="E20" s="92">
        <f t="shared" si="3"/>
        <v>4.166666666666667</v>
      </c>
      <c r="F20" s="92">
        <f t="shared" si="4"/>
        <v>5.1944444444444438</v>
      </c>
      <c r="G20" s="92">
        <f t="shared" si="5"/>
        <v>5.9444444444444438</v>
      </c>
      <c r="H20" s="92">
        <f t="shared" si="6"/>
        <v>6.583333333333333</v>
      </c>
      <c r="I20" s="92">
        <f t="shared" si="7"/>
        <v>7.0277777777777777</v>
      </c>
      <c r="J20" s="92">
        <f t="shared" si="8"/>
        <v>6.4444444444444438</v>
      </c>
      <c r="K20" s="92">
        <f t="shared" si="9"/>
        <v>5.2222222222222223</v>
      </c>
      <c r="L20" s="92">
        <f t="shared" si="10"/>
        <v>3.4722222222222223</v>
      </c>
      <c r="M20" s="92">
        <f t="shared" si="11"/>
        <v>2.4166666666666665</v>
      </c>
      <c r="N20" s="92">
        <f t="shared" si="12"/>
        <v>1.8055555555555556</v>
      </c>
      <c r="P20" s="84" t="s">
        <v>218</v>
      </c>
      <c r="Q20" s="85">
        <v>7</v>
      </c>
      <c r="R20" s="85">
        <v>10.1</v>
      </c>
      <c r="S20" s="85">
        <v>15</v>
      </c>
      <c r="T20" s="85">
        <v>18.7</v>
      </c>
      <c r="U20" s="85">
        <v>21.4</v>
      </c>
      <c r="V20" s="85">
        <v>23.7</v>
      </c>
      <c r="W20" s="85">
        <v>25.3</v>
      </c>
      <c r="X20" s="85">
        <v>23.2</v>
      </c>
      <c r="Y20" s="85">
        <v>18.8</v>
      </c>
      <c r="Z20" s="85">
        <v>12.5</v>
      </c>
      <c r="AA20" s="85">
        <v>8.6999999999999993</v>
      </c>
      <c r="AB20" s="85">
        <v>6.5</v>
      </c>
    </row>
    <row r="21" spans="2:28" x14ac:dyDescent="0.2">
      <c r="B21" s="80" t="s">
        <v>219</v>
      </c>
      <c r="C21" s="92">
        <f t="shared" si="1"/>
        <v>2</v>
      </c>
      <c r="D21" s="92">
        <f t="shared" si="2"/>
        <v>2.8055555555555554</v>
      </c>
      <c r="E21" s="92">
        <f t="shared" si="3"/>
        <v>4.1944444444444446</v>
      </c>
      <c r="F21" s="92">
        <f t="shared" si="4"/>
        <v>5.1388888888888884</v>
      </c>
      <c r="G21" s="92">
        <f t="shared" si="5"/>
        <v>6.0555555555555554</v>
      </c>
      <c r="H21" s="92">
        <f t="shared" si="6"/>
        <v>7.1944444444444438</v>
      </c>
      <c r="I21" s="92">
        <f t="shared" si="7"/>
        <v>7.9166666666666661</v>
      </c>
      <c r="J21" s="92">
        <f t="shared" si="8"/>
        <v>6.9722222222222223</v>
      </c>
      <c r="K21" s="92">
        <f t="shared" si="9"/>
        <v>5.5277777777777777</v>
      </c>
      <c r="L21" s="92">
        <f t="shared" si="10"/>
        <v>3.5</v>
      </c>
      <c r="M21" s="92">
        <f t="shared" si="11"/>
        <v>2.3888888888888888</v>
      </c>
      <c r="N21" s="92">
        <f t="shared" si="12"/>
        <v>1.9166666666666667</v>
      </c>
      <c r="P21" s="84" t="s">
        <v>219</v>
      </c>
      <c r="Q21" s="85">
        <v>7.2</v>
      </c>
      <c r="R21" s="85">
        <v>10.1</v>
      </c>
      <c r="S21" s="85">
        <v>15.1</v>
      </c>
      <c r="T21" s="85">
        <v>18.5</v>
      </c>
      <c r="U21" s="85">
        <v>21.8</v>
      </c>
      <c r="V21" s="85">
        <v>25.9</v>
      </c>
      <c r="W21" s="85">
        <v>28.5</v>
      </c>
      <c r="X21" s="85">
        <v>25.1</v>
      </c>
      <c r="Y21" s="85">
        <v>19.899999999999999</v>
      </c>
      <c r="Z21" s="85">
        <v>12.6</v>
      </c>
      <c r="AA21" s="85">
        <v>8.6</v>
      </c>
      <c r="AB21" s="85">
        <v>6.9</v>
      </c>
    </row>
    <row r="22" spans="2:28" x14ac:dyDescent="0.2">
      <c r="B22" s="80" t="s">
        <v>220</v>
      </c>
      <c r="C22" s="92">
        <f t="shared" si="1"/>
        <v>1.5</v>
      </c>
      <c r="D22" s="92">
        <f t="shared" si="2"/>
        <v>2.2222222222222223</v>
      </c>
      <c r="E22" s="92">
        <f t="shared" si="3"/>
        <v>3.1666666666666665</v>
      </c>
      <c r="F22" s="92">
        <f t="shared" si="4"/>
        <v>3.4444444444444446</v>
      </c>
      <c r="G22" s="92">
        <f t="shared" si="5"/>
        <v>4.2777777777777777</v>
      </c>
      <c r="H22" s="92">
        <f t="shared" si="6"/>
        <v>4.5</v>
      </c>
      <c r="I22" s="92">
        <f t="shared" si="7"/>
        <v>4.833333333333333</v>
      </c>
      <c r="J22" s="92">
        <f t="shared" si="8"/>
        <v>4.25</v>
      </c>
      <c r="K22" s="92">
        <f t="shared" si="9"/>
        <v>3.8611111111111112</v>
      </c>
      <c r="L22" s="92">
        <f t="shared" si="10"/>
        <v>3.0277777777777777</v>
      </c>
      <c r="M22" s="92">
        <f t="shared" si="11"/>
        <v>1.7777777777777779</v>
      </c>
      <c r="N22" s="92">
        <f t="shared" si="12"/>
        <v>1.4166666666666665</v>
      </c>
      <c r="P22" s="84" t="s">
        <v>220</v>
      </c>
      <c r="Q22" s="85">
        <v>5.4</v>
      </c>
      <c r="R22" s="85">
        <v>8</v>
      </c>
      <c r="S22" s="85">
        <v>11.4</v>
      </c>
      <c r="T22" s="85">
        <v>12.4</v>
      </c>
      <c r="U22" s="85">
        <v>15.4</v>
      </c>
      <c r="V22" s="85">
        <v>16.2</v>
      </c>
      <c r="W22" s="85">
        <v>17.399999999999999</v>
      </c>
      <c r="X22" s="85">
        <v>15.3</v>
      </c>
      <c r="Y22" s="85">
        <v>13.9</v>
      </c>
      <c r="Z22" s="85">
        <v>10.9</v>
      </c>
      <c r="AA22" s="85">
        <v>6.4</v>
      </c>
      <c r="AB22" s="85">
        <v>5.0999999999999996</v>
      </c>
    </row>
    <row r="23" spans="2:28" x14ac:dyDescent="0.2">
      <c r="B23" s="80" t="s">
        <v>221</v>
      </c>
      <c r="C23" s="92">
        <f t="shared" si="1"/>
        <v>1.6388888888888888</v>
      </c>
      <c r="D23" s="92">
        <f t="shared" si="2"/>
        <v>2.4444444444444446</v>
      </c>
      <c r="E23" s="92">
        <f t="shared" si="3"/>
        <v>3.5833333333333335</v>
      </c>
      <c r="F23" s="92">
        <f t="shared" si="4"/>
        <v>4.833333333333333</v>
      </c>
      <c r="G23" s="92">
        <f t="shared" si="5"/>
        <v>5.1944444444444438</v>
      </c>
      <c r="H23" s="92">
        <f t="shared" si="6"/>
        <v>6.1111111111111107</v>
      </c>
      <c r="I23" s="92">
        <f t="shared" si="7"/>
        <v>7.1111111111111116</v>
      </c>
      <c r="J23" s="92">
        <f t="shared" si="8"/>
        <v>6.1944444444444446</v>
      </c>
      <c r="K23" s="92">
        <f t="shared" si="9"/>
        <v>4.8611111111111107</v>
      </c>
      <c r="L23" s="92">
        <f t="shared" si="10"/>
        <v>3.1111111111111107</v>
      </c>
      <c r="M23" s="92">
        <f t="shared" si="11"/>
        <v>2</v>
      </c>
      <c r="N23" s="92">
        <f t="shared" si="12"/>
        <v>1.5277777777777777</v>
      </c>
      <c r="P23" s="84" t="s">
        <v>221</v>
      </c>
      <c r="Q23" s="85">
        <v>5.9</v>
      </c>
      <c r="R23" s="85">
        <v>8.8000000000000007</v>
      </c>
      <c r="S23" s="85">
        <v>12.9</v>
      </c>
      <c r="T23" s="85">
        <v>17.399999999999999</v>
      </c>
      <c r="U23" s="85">
        <v>18.7</v>
      </c>
      <c r="V23" s="85">
        <v>22</v>
      </c>
      <c r="W23" s="85">
        <v>25.6</v>
      </c>
      <c r="X23" s="85">
        <v>22.3</v>
      </c>
      <c r="Y23" s="85">
        <v>17.5</v>
      </c>
      <c r="Z23" s="85">
        <v>11.2</v>
      </c>
      <c r="AA23" s="85">
        <v>7.2</v>
      </c>
      <c r="AB23" s="85">
        <v>5.5</v>
      </c>
    </row>
    <row r="24" spans="2:28" x14ac:dyDescent="0.2">
      <c r="B24" s="80" t="s">
        <v>222</v>
      </c>
      <c r="C24" s="92">
        <f t="shared" si="1"/>
        <v>1.9722222222222221</v>
      </c>
      <c r="D24" s="92">
        <f t="shared" si="2"/>
        <v>2.9166666666666665</v>
      </c>
      <c r="E24" s="92">
        <f t="shared" si="3"/>
        <v>3.9444444444444442</v>
      </c>
      <c r="F24" s="92">
        <f t="shared" si="4"/>
        <v>4.416666666666667</v>
      </c>
      <c r="G24" s="92">
        <f t="shared" si="5"/>
        <v>5.1944444444444438</v>
      </c>
      <c r="H24" s="92">
        <f t="shared" si="6"/>
        <v>5.2777777777777777</v>
      </c>
      <c r="I24" s="92">
        <f t="shared" si="7"/>
        <v>6.1944444444444446</v>
      </c>
      <c r="J24" s="92">
        <f t="shared" si="8"/>
        <v>5.1388888888888884</v>
      </c>
      <c r="K24" s="92">
        <f t="shared" si="9"/>
        <v>4.1388888888888893</v>
      </c>
      <c r="L24" s="92">
        <f t="shared" si="10"/>
        <v>3.2499999999999996</v>
      </c>
      <c r="M24" s="92">
        <f t="shared" si="11"/>
        <v>2.1666666666666665</v>
      </c>
      <c r="N24" s="92">
        <f t="shared" si="12"/>
        <v>1.8333333333333333</v>
      </c>
      <c r="P24" s="84" t="s">
        <v>222</v>
      </c>
      <c r="Q24" s="85">
        <v>7.1</v>
      </c>
      <c r="R24" s="85">
        <v>10.5</v>
      </c>
      <c r="S24" s="85">
        <v>14.2</v>
      </c>
      <c r="T24" s="85">
        <v>15.9</v>
      </c>
      <c r="U24" s="85">
        <v>18.7</v>
      </c>
      <c r="V24" s="85">
        <v>19</v>
      </c>
      <c r="W24" s="85">
        <v>22.3</v>
      </c>
      <c r="X24" s="85">
        <v>18.5</v>
      </c>
      <c r="Y24" s="85">
        <v>14.9</v>
      </c>
      <c r="Z24" s="85">
        <v>11.7</v>
      </c>
      <c r="AA24" s="85">
        <v>7.8</v>
      </c>
      <c r="AB24" s="85">
        <v>6.6</v>
      </c>
    </row>
    <row r="25" spans="2:28" x14ac:dyDescent="0.2">
      <c r="B25" s="80" t="s">
        <v>223</v>
      </c>
      <c r="C25" s="92">
        <f t="shared" si="1"/>
        <v>2.1666666666666665</v>
      </c>
      <c r="D25" s="92">
        <f t="shared" si="2"/>
        <v>3</v>
      </c>
      <c r="E25" s="92">
        <f t="shared" si="3"/>
        <v>4.2222222222222223</v>
      </c>
      <c r="F25" s="92">
        <f t="shared" si="4"/>
        <v>5.1388888888888884</v>
      </c>
      <c r="G25" s="92">
        <f t="shared" si="5"/>
        <v>6.083333333333333</v>
      </c>
      <c r="H25" s="92">
        <f t="shared" si="6"/>
        <v>6.8888888888888893</v>
      </c>
      <c r="I25" s="92">
        <f t="shared" si="7"/>
        <v>7.4166666666666661</v>
      </c>
      <c r="J25" s="92">
        <f t="shared" si="8"/>
        <v>6.5555555555555554</v>
      </c>
      <c r="K25" s="92">
        <f t="shared" si="9"/>
        <v>5.2222222222222223</v>
      </c>
      <c r="L25" s="92">
        <f t="shared" si="10"/>
        <v>3.5833333333333335</v>
      </c>
      <c r="M25" s="92">
        <f t="shared" si="11"/>
        <v>2.6666666666666665</v>
      </c>
      <c r="N25" s="92">
        <f t="shared" si="12"/>
        <v>1.9722222222222221</v>
      </c>
      <c r="P25" s="84" t="s">
        <v>223</v>
      </c>
      <c r="Q25" s="85">
        <v>7.8</v>
      </c>
      <c r="R25" s="85">
        <v>10.8</v>
      </c>
      <c r="S25" s="85">
        <v>15.2</v>
      </c>
      <c r="T25" s="85">
        <v>18.5</v>
      </c>
      <c r="U25" s="85">
        <v>21.9</v>
      </c>
      <c r="V25" s="85">
        <v>24.8</v>
      </c>
      <c r="W25" s="85">
        <v>26.7</v>
      </c>
      <c r="X25" s="85">
        <v>23.6</v>
      </c>
      <c r="Y25" s="85">
        <v>18.8</v>
      </c>
      <c r="Z25" s="85">
        <v>12.9</v>
      </c>
      <c r="AA25" s="85">
        <v>9.6</v>
      </c>
      <c r="AB25" s="85">
        <v>7.1</v>
      </c>
    </row>
    <row r="26" spans="2:28" x14ac:dyDescent="0.2">
      <c r="B26" s="80" t="s">
        <v>224</v>
      </c>
      <c r="C26" s="92">
        <f t="shared" si="1"/>
        <v>1.8055555555555556</v>
      </c>
      <c r="D26" s="92">
        <f t="shared" si="2"/>
        <v>2.5555555555555554</v>
      </c>
      <c r="E26" s="92">
        <f t="shared" si="3"/>
        <v>3.8888888888888888</v>
      </c>
      <c r="F26" s="92">
        <f t="shared" si="4"/>
        <v>4.9722222222222214</v>
      </c>
      <c r="G26" s="92">
        <f t="shared" si="5"/>
        <v>5.3888888888888884</v>
      </c>
      <c r="H26" s="92">
        <f t="shared" si="6"/>
        <v>6.3055555555555554</v>
      </c>
      <c r="I26" s="92">
        <f t="shared" si="7"/>
        <v>6.9444444444444446</v>
      </c>
      <c r="J26" s="92">
        <f t="shared" si="8"/>
        <v>6.4444444444444438</v>
      </c>
      <c r="K26" s="92">
        <f t="shared" si="9"/>
        <v>4.9444444444444446</v>
      </c>
      <c r="L26" s="92">
        <f t="shared" si="10"/>
        <v>3.2499999999999996</v>
      </c>
      <c r="M26" s="92">
        <f t="shared" si="11"/>
        <v>2.1666666666666665</v>
      </c>
      <c r="N26" s="92">
        <f t="shared" si="12"/>
        <v>1.5555555555555554</v>
      </c>
      <c r="P26" s="84" t="s">
        <v>224</v>
      </c>
      <c r="Q26" s="85">
        <v>6.5</v>
      </c>
      <c r="R26" s="85">
        <v>9.1999999999999993</v>
      </c>
      <c r="S26" s="85">
        <v>14</v>
      </c>
      <c r="T26" s="85">
        <v>17.899999999999999</v>
      </c>
      <c r="U26" s="85">
        <v>19.399999999999999</v>
      </c>
      <c r="V26" s="85">
        <v>22.7</v>
      </c>
      <c r="W26" s="85">
        <v>25</v>
      </c>
      <c r="X26" s="85">
        <v>23.2</v>
      </c>
      <c r="Y26" s="85">
        <v>17.8</v>
      </c>
      <c r="Z26" s="85">
        <v>11.7</v>
      </c>
      <c r="AA26" s="85">
        <v>7.8</v>
      </c>
      <c r="AB26" s="85">
        <v>5.6</v>
      </c>
    </row>
    <row r="27" spans="2:28" x14ac:dyDescent="0.2">
      <c r="B27" s="80" t="s">
        <v>225</v>
      </c>
      <c r="C27" s="92">
        <f t="shared" si="1"/>
        <v>1.5277777777777777</v>
      </c>
      <c r="D27" s="92">
        <f t="shared" si="2"/>
        <v>2.1388888888888888</v>
      </c>
      <c r="E27" s="92">
        <f t="shared" si="3"/>
        <v>3.1388888888888888</v>
      </c>
      <c r="F27" s="92">
        <f t="shared" si="4"/>
        <v>3.2499999999999996</v>
      </c>
      <c r="G27" s="92">
        <f t="shared" si="5"/>
        <v>4.0555555555555554</v>
      </c>
      <c r="H27" s="92">
        <f t="shared" si="6"/>
        <v>4.5</v>
      </c>
      <c r="I27" s="92">
        <f t="shared" si="7"/>
        <v>4.4722222222222223</v>
      </c>
      <c r="J27" s="92">
        <f t="shared" si="8"/>
        <v>3.7777777777777777</v>
      </c>
      <c r="K27" s="92">
        <f t="shared" si="9"/>
        <v>3.5277777777777777</v>
      </c>
      <c r="L27" s="92">
        <f t="shared" si="10"/>
        <v>2.8611111111111112</v>
      </c>
      <c r="M27" s="92">
        <f t="shared" si="11"/>
        <v>1.7222222222222223</v>
      </c>
      <c r="N27" s="92">
        <f t="shared" si="12"/>
        <v>1.3888888888888888</v>
      </c>
      <c r="P27" s="84" t="s">
        <v>225</v>
      </c>
      <c r="Q27" s="85">
        <v>5.5</v>
      </c>
      <c r="R27" s="85">
        <v>7.7</v>
      </c>
      <c r="S27" s="85">
        <v>11.3</v>
      </c>
      <c r="T27" s="85">
        <v>11.7</v>
      </c>
      <c r="U27" s="85">
        <v>14.6</v>
      </c>
      <c r="V27" s="85">
        <v>16.2</v>
      </c>
      <c r="W27" s="85">
        <v>16.100000000000001</v>
      </c>
      <c r="X27" s="85">
        <v>13.6</v>
      </c>
      <c r="Y27" s="85">
        <v>12.7</v>
      </c>
      <c r="Z27" s="85">
        <v>10.3</v>
      </c>
      <c r="AA27" s="85">
        <v>6.2</v>
      </c>
      <c r="AB27" s="85">
        <v>5</v>
      </c>
    </row>
    <row r="28" spans="2:28" x14ac:dyDescent="0.2">
      <c r="B28" s="80" t="s">
        <v>226</v>
      </c>
      <c r="C28" s="92">
        <f t="shared" si="1"/>
        <v>2.1111111111111112</v>
      </c>
      <c r="D28" s="92">
        <f t="shared" si="2"/>
        <v>3.1388888888888888</v>
      </c>
      <c r="E28" s="92">
        <f t="shared" si="3"/>
        <v>4.4444444444444446</v>
      </c>
      <c r="F28" s="92">
        <f t="shared" si="4"/>
        <v>5.416666666666667</v>
      </c>
      <c r="G28" s="92">
        <f t="shared" si="5"/>
        <v>6.6944444444444446</v>
      </c>
      <c r="H28" s="92">
        <f t="shared" si="6"/>
        <v>7.1111111111111116</v>
      </c>
      <c r="I28" s="92">
        <f t="shared" si="7"/>
        <v>7.9722222222222214</v>
      </c>
      <c r="J28" s="92">
        <f t="shared" si="8"/>
        <v>7.1111111111111116</v>
      </c>
      <c r="K28" s="92">
        <f t="shared" si="9"/>
        <v>5.8888888888888884</v>
      </c>
      <c r="L28" s="92">
        <f t="shared" si="10"/>
        <v>4.0277777777777777</v>
      </c>
      <c r="M28" s="92">
        <f t="shared" si="11"/>
        <v>2.5555555555555554</v>
      </c>
      <c r="N28" s="92">
        <f t="shared" si="12"/>
        <v>2.0833333333333335</v>
      </c>
      <c r="P28" s="84" t="s">
        <v>226</v>
      </c>
      <c r="Q28" s="85">
        <v>7.6</v>
      </c>
      <c r="R28" s="85">
        <v>11.3</v>
      </c>
      <c r="S28" s="85">
        <v>16</v>
      </c>
      <c r="T28" s="85">
        <v>19.5</v>
      </c>
      <c r="U28" s="85">
        <v>24.1</v>
      </c>
      <c r="V28" s="85">
        <v>25.6</v>
      </c>
      <c r="W28" s="85">
        <v>28.7</v>
      </c>
      <c r="X28" s="85">
        <v>25.6</v>
      </c>
      <c r="Y28" s="85">
        <v>21.2</v>
      </c>
      <c r="Z28" s="85">
        <v>14.5</v>
      </c>
      <c r="AA28" s="85">
        <v>9.1999999999999993</v>
      </c>
      <c r="AB28" s="85">
        <v>7.5</v>
      </c>
    </row>
    <row r="29" spans="2:28" x14ac:dyDescent="0.2">
      <c r="B29" s="80" t="s">
        <v>227</v>
      </c>
      <c r="C29" s="92">
        <f t="shared" si="1"/>
        <v>1.6944444444444442</v>
      </c>
      <c r="D29" s="92">
        <f t="shared" si="2"/>
        <v>2.6666666666666665</v>
      </c>
      <c r="E29" s="92">
        <f t="shared" si="3"/>
        <v>3.9722222222222223</v>
      </c>
      <c r="F29" s="92">
        <f t="shared" si="4"/>
        <v>5.1944444444444438</v>
      </c>
      <c r="G29" s="92">
        <f t="shared" si="5"/>
        <v>5.6388888888888893</v>
      </c>
      <c r="H29" s="92">
        <f t="shared" si="6"/>
        <v>6.1388888888888893</v>
      </c>
      <c r="I29" s="92">
        <f t="shared" si="7"/>
        <v>6.416666666666667</v>
      </c>
      <c r="J29" s="92">
        <f t="shared" si="8"/>
        <v>5.8055555555555554</v>
      </c>
      <c r="K29" s="92">
        <f t="shared" si="9"/>
        <v>4.6944444444444438</v>
      </c>
      <c r="L29" s="92">
        <f t="shared" si="10"/>
        <v>3.1388888888888888</v>
      </c>
      <c r="M29" s="92">
        <f t="shared" si="11"/>
        <v>2</v>
      </c>
      <c r="N29" s="92">
        <f t="shared" si="12"/>
        <v>1.4166666666666665</v>
      </c>
      <c r="P29" s="84" t="s">
        <v>227</v>
      </c>
      <c r="Q29" s="85">
        <v>6.1</v>
      </c>
      <c r="R29" s="85">
        <v>9.6</v>
      </c>
      <c r="S29" s="85">
        <v>14.3</v>
      </c>
      <c r="T29" s="85">
        <v>18.7</v>
      </c>
      <c r="U29" s="85">
        <v>20.3</v>
      </c>
      <c r="V29" s="85">
        <v>22.1</v>
      </c>
      <c r="W29" s="85">
        <v>23.1</v>
      </c>
      <c r="X29" s="85">
        <v>20.9</v>
      </c>
      <c r="Y29" s="85">
        <v>16.899999999999999</v>
      </c>
      <c r="Z29" s="85">
        <v>11.3</v>
      </c>
      <c r="AA29" s="85">
        <v>7.2</v>
      </c>
      <c r="AB29" s="85">
        <v>5.0999999999999996</v>
      </c>
    </row>
    <row r="30" spans="2:28" x14ac:dyDescent="0.2">
      <c r="B30" s="80" t="s">
        <v>228</v>
      </c>
      <c r="C30" s="92">
        <f t="shared" si="1"/>
        <v>1.8611111111111112</v>
      </c>
      <c r="D30" s="92">
        <f t="shared" si="2"/>
        <v>2.8055555555555554</v>
      </c>
      <c r="E30" s="92">
        <f t="shared" si="3"/>
        <v>4</v>
      </c>
      <c r="F30" s="92">
        <f t="shared" si="4"/>
        <v>5</v>
      </c>
      <c r="G30" s="92">
        <f t="shared" si="5"/>
        <v>5.6388888888888893</v>
      </c>
      <c r="H30" s="92">
        <f t="shared" si="6"/>
        <v>6.7777777777777768</v>
      </c>
      <c r="I30" s="92">
        <f t="shared" si="7"/>
        <v>7.4166666666666661</v>
      </c>
      <c r="J30" s="92">
        <f t="shared" si="8"/>
        <v>6.6944444444444446</v>
      </c>
      <c r="K30" s="92">
        <f t="shared" si="9"/>
        <v>5.333333333333333</v>
      </c>
      <c r="L30" s="92">
        <f t="shared" si="10"/>
        <v>3.3055555555555554</v>
      </c>
      <c r="M30" s="92">
        <f t="shared" si="11"/>
        <v>2.25</v>
      </c>
      <c r="N30" s="92">
        <f t="shared" si="12"/>
        <v>1.8055555555555556</v>
      </c>
      <c r="P30" s="84" t="s">
        <v>228</v>
      </c>
      <c r="Q30" s="85">
        <v>6.7</v>
      </c>
      <c r="R30" s="85">
        <v>10.1</v>
      </c>
      <c r="S30" s="85">
        <v>14.4</v>
      </c>
      <c r="T30" s="85">
        <v>18</v>
      </c>
      <c r="U30" s="85">
        <v>20.3</v>
      </c>
      <c r="V30" s="85">
        <v>24.4</v>
      </c>
      <c r="W30" s="85">
        <v>26.7</v>
      </c>
      <c r="X30" s="85">
        <v>24.1</v>
      </c>
      <c r="Y30" s="85">
        <v>19.2</v>
      </c>
      <c r="Z30" s="85">
        <v>11.9</v>
      </c>
      <c r="AA30" s="85">
        <v>8.1</v>
      </c>
      <c r="AB30" s="85">
        <v>6.5</v>
      </c>
    </row>
    <row r="31" spans="2:28" x14ac:dyDescent="0.2">
      <c r="B31" s="80" t="s">
        <v>229</v>
      </c>
      <c r="C31" s="92">
        <f t="shared" si="1"/>
        <v>1.6111111111111109</v>
      </c>
      <c r="D31" s="92">
        <f t="shared" si="2"/>
        <v>2.4166666666666665</v>
      </c>
      <c r="E31" s="92">
        <f t="shared" si="3"/>
        <v>3.8333333333333335</v>
      </c>
      <c r="F31" s="92">
        <f t="shared" si="4"/>
        <v>4.7777777777777777</v>
      </c>
      <c r="G31" s="92">
        <f t="shared" si="5"/>
        <v>5.416666666666667</v>
      </c>
      <c r="H31" s="92">
        <f t="shared" si="6"/>
        <v>6.1388888888888893</v>
      </c>
      <c r="I31" s="92">
        <f t="shared" si="7"/>
        <v>6.7222222222222214</v>
      </c>
      <c r="J31" s="92">
        <f t="shared" si="8"/>
        <v>5.8055555555555554</v>
      </c>
      <c r="K31" s="92">
        <f t="shared" si="9"/>
        <v>4.7777777777777777</v>
      </c>
      <c r="L31" s="92">
        <f t="shared" si="10"/>
        <v>2.8888888888888888</v>
      </c>
      <c r="M31" s="92">
        <f t="shared" si="11"/>
        <v>1.9444444444444444</v>
      </c>
      <c r="N31" s="92">
        <f t="shared" si="12"/>
        <v>1.3333333333333333</v>
      </c>
      <c r="P31" s="84" t="s">
        <v>229</v>
      </c>
      <c r="Q31" s="85">
        <v>5.8</v>
      </c>
      <c r="R31" s="85">
        <v>8.6999999999999993</v>
      </c>
      <c r="S31" s="85">
        <v>13.8</v>
      </c>
      <c r="T31" s="85">
        <v>17.2</v>
      </c>
      <c r="U31" s="85">
        <v>19.5</v>
      </c>
      <c r="V31" s="85">
        <v>22.1</v>
      </c>
      <c r="W31" s="85">
        <v>24.2</v>
      </c>
      <c r="X31" s="85">
        <v>20.9</v>
      </c>
      <c r="Y31" s="85">
        <v>17.2</v>
      </c>
      <c r="Z31" s="85">
        <v>10.4</v>
      </c>
      <c r="AA31" s="85">
        <v>7</v>
      </c>
      <c r="AB31" s="85">
        <v>4.8</v>
      </c>
    </row>
    <row r="32" spans="2:28" x14ac:dyDescent="0.2">
      <c r="B32" s="80" t="s">
        <v>230</v>
      </c>
      <c r="C32" s="92">
        <f t="shared" si="1"/>
        <v>1.6666666666666665</v>
      </c>
      <c r="D32" s="92">
        <f t="shared" si="2"/>
        <v>2.75</v>
      </c>
      <c r="E32" s="92">
        <f t="shared" si="3"/>
        <v>2.7777777777777777</v>
      </c>
      <c r="F32" s="92">
        <f t="shared" si="4"/>
        <v>5.2222222222222223</v>
      </c>
      <c r="G32" s="92">
        <f t="shared" si="5"/>
        <v>5.8055555555555554</v>
      </c>
      <c r="H32" s="92">
        <f t="shared" si="6"/>
        <v>6.2777777777777777</v>
      </c>
      <c r="I32" s="92">
        <f t="shared" si="7"/>
        <v>6.6111111111111107</v>
      </c>
      <c r="J32" s="92">
        <f t="shared" si="8"/>
        <v>5.916666666666667</v>
      </c>
      <c r="K32" s="92">
        <f t="shared" si="9"/>
        <v>4.666666666666667</v>
      </c>
      <c r="L32" s="92">
        <f t="shared" si="10"/>
        <v>3.3611111111111107</v>
      </c>
      <c r="M32" s="92">
        <f t="shared" si="11"/>
        <v>2</v>
      </c>
      <c r="N32" s="92">
        <f t="shared" si="12"/>
        <v>1.3333333333333333</v>
      </c>
      <c r="P32" s="84" t="s">
        <v>230</v>
      </c>
      <c r="Q32" s="85">
        <v>6</v>
      </c>
      <c r="R32" s="85">
        <v>9.9</v>
      </c>
      <c r="S32" s="85">
        <v>10</v>
      </c>
      <c r="T32" s="85">
        <v>18.8</v>
      </c>
      <c r="U32" s="85">
        <v>20.9</v>
      </c>
      <c r="V32" s="85">
        <v>22.6</v>
      </c>
      <c r="W32" s="85">
        <v>23.8</v>
      </c>
      <c r="X32" s="85">
        <v>21.3</v>
      </c>
      <c r="Y32" s="85">
        <v>16.8</v>
      </c>
      <c r="Z32" s="85">
        <v>12.1</v>
      </c>
      <c r="AA32" s="85">
        <v>7.2</v>
      </c>
      <c r="AB32" s="85">
        <v>4.8</v>
      </c>
    </row>
    <row r="33" spans="2:28" x14ac:dyDescent="0.2">
      <c r="B33" s="80" t="s">
        <v>231</v>
      </c>
      <c r="C33" s="92">
        <f t="shared" si="1"/>
        <v>1.4166666666666665</v>
      </c>
      <c r="D33" s="92">
        <f t="shared" si="2"/>
        <v>2.1111111111111112</v>
      </c>
      <c r="E33" s="92">
        <f t="shared" si="3"/>
        <v>3.2499999999999996</v>
      </c>
      <c r="F33" s="92">
        <f t="shared" si="4"/>
        <v>4.2222222222222223</v>
      </c>
      <c r="G33" s="92">
        <f t="shared" si="5"/>
        <v>4.75</v>
      </c>
      <c r="H33" s="92">
        <f t="shared" si="6"/>
        <v>5.416666666666667</v>
      </c>
      <c r="I33" s="92">
        <f t="shared" si="7"/>
        <v>5.6111111111111107</v>
      </c>
      <c r="J33" s="92">
        <f t="shared" si="8"/>
        <v>5.1111111111111107</v>
      </c>
      <c r="K33" s="92">
        <f t="shared" si="9"/>
        <v>4.166666666666667</v>
      </c>
      <c r="L33" s="92">
        <f t="shared" si="10"/>
        <v>2.75</v>
      </c>
      <c r="M33" s="92">
        <f t="shared" si="11"/>
        <v>1.7222222222222223</v>
      </c>
      <c r="N33" s="92">
        <f t="shared" si="12"/>
        <v>1.25</v>
      </c>
      <c r="P33" s="84" t="s">
        <v>231</v>
      </c>
      <c r="Q33" s="85">
        <v>5.0999999999999996</v>
      </c>
      <c r="R33" s="85">
        <v>7.6</v>
      </c>
      <c r="S33" s="85">
        <v>11.7</v>
      </c>
      <c r="T33" s="85">
        <v>15.2</v>
      </c>
      <c r="U33" s="85">
        <v>17.100000000000001</v>
      </c>
      <c r="V33" s="85">
        <v>19.5</v>
      </c>
      <c r="W33" s="85">
        <v>20.2</v>
      </c>
      <c r="X33" s="85">
        <v>18.399999999999999</v>
      </c>
      <c r="Y33" s="85">
        <v>15</v>
      </c>
      <c r="Z33" s="85">
        <v>9.9</v>
      </c>
      <c r="AA33" s="85">
        <v>6.2</v>
      </c>
      <c r="AB33" s="85">
        <v>4.5</v>
      </c>
    </row>
    <row r="34" spans="2:28" x14ac:dyDescent="0.2">
      <c r="B34" s="80" t="s">
        <v>232</v>
      </c>
      <c r="C34" s="92">
        <f t="shared" si="1"/>
        <v>1.8611111111111112</v>
      </c>
      <c r="D34" s="92">
        <f t="shared" si="2"/>
        <v>2.9444444444444442</v>
      </c>
      <c r="E34" s="92">
        <f t="shared" si="3"/>
        <v>3.7777777777777777</v>
      </c>
      <c r="F34" s="92">
        <f t="shared" si="4"/>
        <v>5.2222222222222223</v>
      </c>
      <c r="G34" s="92">
        <f t="shared" si="5"/>
        <v>5.8055555555555554</v>
      </c>
      <c r="H34" s="92">
        <f t="shared" si="6"/>
        <v>6.5277777777777777</v>
      </c>
      <c r="I34" s="92">
        <f t="shared" si="7"/>
        <v>7.2222222222222223</v>
      </c>
      <c r="J34" s="92">
        <f t="shared" si="8"/>
        <v>6.416666666666667</v>
      </c>
      <c r="K34" s="92">
        <f t="shared" si="9"/>
        <v>4.6944444444444438</v>
      </c>
      <c r="L34" s="92">
        <f t="shared" si="10"/>
        <v>3.1666666666666665</v>
      </c>
      <c r="M34" s="92">
        <f t="shared" si="11"/>
        <v>2.0833333333333335</v>
      </c>
      <c r="N34" s="92">
        <f t="shared" si="12"/>
        <v>1.6388888888888888</v>
      </c>
      <c r="P34" s="84" t="s">
        <v>232</v>
      </c>
      <c r="Q34" s="85">
        <v>6.7</v>
      </c>
      <c r="R34" s="85">
        <v>10.6</v>
      </c>
      <c r="S34" s="85">
        <v>13.6</v>
      </c>
      <c r="T34" s="85">
        <v>18.8</v>
      </c>
      <c r="U34" s="85">
        <v>20.9</v>
      </c>
      <c r="V34" s="85">
        <v>23.5</v>
      </c>
      <c r="W34" s="85">
        <v>26</v>
      </c>
      <c r="X34" s="85">
        <v>23.1</v>
      </c>
      <c r="Y34" s="85">
        <v>16.899999999999999</v>
      </c>
      <c r="Z34" s="85">
        <v>11.4</v>
      </c>
      <c r="AA34" s="85">
        <v>7.5</v>
      </c>
      <c r="AB34" s="85">
        <v>5.9</v>
      </c>
    </row>
    <row r="35" spans="2:28" x14ac:dyDescent="0.2">
      <c r="B35" s="80" t="s">
        <v>233</v>
      </c>
      <c r="C35" s="92">
        <f t="shared" si="1"/>
        <v>2.3055555555555558</v>
      </c>
      <c r="D35" s="92">
        <f t="shared" si="2"/>
        <v>3.333333333333333</v>
      </c>
      <c r="E35" s="92">
        <f t="shared" si="3"/>
        <v>4.3055555555555554</v>
      </c>
      <c r="F35" s="92">
        <f t="shared" si="4"/>
        <v>5.1388888888888884</v>
      </c>
      <c r="G35" s="92">
        <f t="shared" si="5"/>
        <v>6.4444444444444438</v>
      </c>
      <c r="H35" s="92">
        <f t="shared" si="6"/>
        <v>6.8055555555555554</v>
      </c>
      <c r="I35" s="92">
        <f t="shared" si="7"/>
        <v>7.3611111111111107</v>
      </c>
      <c r="J35" s="92">
        <f t="shared" si="8"/>
        <v>6.4444444444444438</v>
      </c>
      <c r="K35" s="92">
        <f t="shared" si="9"/>
        <v>5.2777777777777777</v>
      </c>
      <c r="L35" s="92">
        <f t="shared" si="10"/>
        <v>3.7777777777777777</v>
      </c>
      <c r="M35" s="92">
        <f t="shared" si="11"/>
        <v>2.5833333333333335</v>
      </c>
      <c r="N35" s="92">
        <f t="shared" si="12"/>
        <v>2.2222222222222223</v>
      </c>
      <c r="P35" s="84" t="s">
        <v>233</v>
      </c>
      <c r="Q35" s="85">
        <v>8.3000000000000007</v>
      </c>
      <c r="R35" s="85">
        <v>12</v>
      </c>
      <c r="S35" s="85">
        <v>15.5</v>
      </c>
      <c r="T35" s="85">
        <v>18.5</v>
      </c>
      <c r="U35" s="85">
        <v>23.2</v>
      </c>
      <c r="V35" s="85">
        <v>24.5</v>
      </c>
      <c r="W35" s="85">
        <v>26.5</v>
      </c>
      <c r="X35" s="85">
        <v>23.2</v>
      </c>
      <c r="Y35" s="85">
        <v>19</v>
      </c>
      <c r="Z35" s="85">
        <v>13.6</v>
      </c>
      <c r="AA35" s="85">
        <v>9.3000000000000007</v>
      </c>
      <c r="AB35" s="85">
        <v>8</v>
      </c>
    </row>
    <row r="36" spans="2:28" x14ac:dyDescent="0.2">
      <c r="B36" s="80" t="s">
        <v>234</v>
      </c>
      <c r="C36" s="92">
        <f t="shared" si="1"/>
        <v>2.6111111111111112</v>
      </c>
      <c r="D36" s="92">
        <f t="shared" si="2"/>
        <v>3.5</v>
      </c>
      <c r="E36" s="92">
        <f t="shared" si="3"/>
        <v>4.7777777777777777</v>
      </c>
      <c r="F36" s="92">
        <f t="shared" si="4"/>
        <v>5.6388888888888893</v>
      </c>
      <c r="G36" s="92">
        <f t="shared" si="5"/>
        <v>6.3888888888888884</v>
      </c>
      <c r="H36" s="92">
        <f t="shared" si="6"/>
        <v>6.8888888888888893</v>
      </c>
      <c r="I36" s="92">
        <f t="shared" si="7"/>
        <v>6.8888888888888893</v>
      </c>
      <c r="J36" s="92">
        <f t="shared" si="8"/>
        <v>6.2777777777777777</v>
      </c>
      <c r="K36" s="92">
        <f t="shared" si="9"/>
        <v>5.083333333333333</v>
      </c>
      <c r="L36" s="92">
        <f t="shared" si="10"/>
        <v>3.9444444444444442</v>
      </c>
      <c r="M36" s="92">
        <f t="shared" si="11"/>
        <v>3.0277777777777777</v>
      </c>
      <c r="N36" s="92">
        <f t="shared" si="12"/>
        <v>2.4166666666666665</v>
      </c>
      <c r="P36" s="84" t="s">
        <v>234</v>
      </c>
      <c r="Q36" s="85">
        <v>9.4</v>
      </c>
      <c r="R36" s="85">
        <v>12.6</v>
      </c>
      <c r="S36" s="85">
        <v>17.2</v>
      </c>
      <c r="T36" s="85">
        <v>20.3</v>
      </c>
      <c r="U36" s="85">
        <v>23</v>
      </c>
      <c r="V36" s="85">
        <v>24.8</v>
      </c>
      <c r="W36" s="85">
        <v>24.8</v>
      </c>
      <c r="X36" s="85">
        <v>22.6</v>
      </c>
      <c r="Y36" s="85">
        <v>18.3</v>
      </c>
      <c r="Z36" s="85">
        <v>14.2</v>
      </c>
      <c r="AA36" s="85">
        <v>10.9</v>
      </c>
      <c r="AB36" s="85">
        <v>8.6999999999999993</v>
      </c>
    </row>
    <row r="37" spans="2:28" x14ac:dyDescent="0.2">
      <c r="B37" s="80" t="s">
        <v>235</v>
      </c>
      <c r="C37" s="92">
        <f t="shared" si="1"/>
        <v>2.8055555555555554</v>
      </c>
      <c r="D37" s="92">
        <f t="shared" si="2"/>
        <v>4.1111111111111116</v>
      </c>
      <c r="E37" s="92">
        <f t="shared" si="3"/>
        <v>4.6111111111111116</v>
      </c>
      <c r="F37" s="92">
        <f t="shared" si="4"/>
        <v>5.6666666666666661</v>
      </c>
      <c r="G37" s="92">
        <f t="shared" si="5"/>
        <v>6.7222222222222214</v>
      </c>
      <c r="H37" s="92">
        <f t="shared" si="6"/>
        <v>7.1111111111111116</v>
      </c>
      <c r="I37" s="92">
        <f t="shared" si="7"/>
        <v>7.6944444444444438</v>
      </c>
      <c r="J37" s="92">
        <f t="shared" si="8"/>
        <v>6.5277777777777777</v>
      </c>
      <c r="K37" s="92">
        <f t="shared" si="9"/>
        <v>5.166666666666667</v>
      </c>
      <c r="L37" s="92">
        <f t="shared" si="10"/>
        <v>3.8611111111111112</v>
      </c>
      <c r="M37" s="92">
        <f t="shared" si="11"/>
        <v>2.7222222222222223</v>
      </c>
      <c r="N37" s="92">
        <f t="shared" si="12"/>
        <v>2.25</v>
      </c>
      <c r="P37" s="84" t="s">
        <v>235</v>
      </c>
      <c r="Q37" s="85">
        <v>10.1</v>
      </c>
      <c r="R37" s="85">
        <v>14.8</v>
      </c>
      <c r="S37" s="85">
        <v>16.600000000000001</v>
      </c>
      <c r="T37" s="85">
        <v>20.399999999999999</v>
      </c>
      <c r="U37" s="85">
        <v>24.2</v>
      </c>
      <c r="V37" s="85">
        <v>25.6</v>
      </c>
      <c r="W37" s="85">
        <v>27.7</v>
      </c>
      <c r="X37" s="85">
        <v>23.5</v>
      </c>
      <c r="Y37" s="85">
        <v>18.600000000000001</v>
      </c>
      <c r="Z37" s="85">
        <v>13.9</v>
      </c>
      <c r="AA37" s="85">
        <v>9.8000000000000007</v>
      </c>
      <c r="AB37" s="85">
        <v>8.1</v>
      </c>
    </row>
    <row r="38" spans="2:28" x14ac:dyDescent="0.2">
      <c r="B38" s="80" t="s">
        <v>236</v>
      </c>
      <c r="C38" s="92">
        <f t="shared" si="1"/>
        <v>1.3888888888888888</v>
      </c>
      <c r="D38" s="92">
        <f t="shared" si="2"/>
        <v>2.0555555555555558</v>
      </c>
      <c r="E38" s="92">
        <f t="shared" si="3"/>
        <v>3.416666666666667</v>
      </c>
      <c r="F38" s="92">
        <f t="shared" si="4"/>
        <v>4.0277777777777777</v>
      </c>
      <c r="G38" s="92">
        <f t="shared" si="5"/>
        <v>4.75</v>
      </c>
      <c r="H38" s="92">
        <f t="shared" si="6"/>
        <v>5.2499999999999991</v>
      </c>
      <c r="I38" s="92">
        <f t="shared" si="7"/>
        <v>5.6944444444444446</v>
      </c>
      <c r="J38" s="92">
        <f t="shared" si="8"/>
        <v>5.0555555555555554</v>
      </c>
      <c r="K38" s="92">
        <f t="shared" si="9"/>
        <v>4.5</v>
      </c>
      <c r="L38" s="92">
        <f t="shared" si="10"/>
        <v>2.833333333333333</v>
      </c>
      <c r="M38" s="92">
        <f t="shared" si="11"/>
        <v>1.6666666666666665</v>
      </c>
      <c r="N38" s="92">
        <f t="shared" si="12"/>
        <v>1.25</v>
      </c>
      <c r="P38" s="84" t="s">
        <v>236</v>
      </c>
      <c r="Q38" s="85">
        <v>5</v>
      </c>
      <c r="R38" s="85">
        <v>7.4</v>
      </c>
      <c r="S38" s="85">
        <v>12.3</v>
      </c>
      <c r="T38" s="85">
        <v>14.5</v>
      </c>
      <c r="U38" s="85">
        <v>17.100000000000001</v>
      </c>
      <c r="V38" s="85">
        <v>18.899999999999999</v>
      </c>
      <c r="W38" s="85">
        <v>20.5</v>
      </c>
      <c r="X38" s="85">
        <v>18.2</v>
      </c>
      <c r="Y38" s="85">
        <v>16.2</v>
      </c>
      <c r="Z38" s="85">
        <v>10.199999999999999</v>
      </c>
      <c r="AA38" s="85">
        <v>6</v>
      </c>
      <c r="AB38" s="85">
        <v>4.5</v>
      </c>
    </row>
    <row r="39" spans="2:28" x14ac:dyDescent="0.2">
      <c r="B39" s="80" t="s">
        <v>237</v>
      </c>
      <c r="C39" s="92">
        <f t="shared" si="1"/>
        <v>1.3055555555555556</v>
      </c>
      <c r="D39" s="92">
        <f t="shared" si="2"/>
        <v>2.0277777777777777</v>
      </c>
      <c r="E39" s="92">
        <f t="shared" si="3"/>
        <v>3.1388888888888888</v>
      </c>
      <c r="F39" s="92">
        <f t="shared" si="4"/>
        <v>3.8888888888888888</v>
      </c>
      <c r="G39" s="92">
        <f t="shared" si="5"/>
        <v>4.5</v>
      </c>
      <c r="H39" s="92">
        <f t="shared" si="6"/>
        <v>4.8888888888888893</v>
      </c>
      <c r="I39" s="92">
        <f t="shared" si="7"/>
        <v>5.083333333333333</v>
      </c>
      <c r="J39" s="92">
        <f t="shared" si="8"/>
        <v>4.6111111111111116</v>
      </c>
      <c r="K39" s="92">
        <f t="shared" si="9"/>
        <v>3.9722222222222223</v>
      </c>
      <c r="L39" s="92">
        <f t="shared" si="10"/>
        <v>2.6111111111111112</v>
      </c>
      <c r="M39" s="92">
        <f t="shared" si="11"/>
        <v>1.5555555555555554</v>
      </c>
      <c r="N39" s="92">
        <f t="shared" si="12"/>
        <v>1.1944444444444444</v>
      </c>
      <c r="P39" s="84" t="s">
        <v>237</v>
      </c>
      <c r="Q39" s="85">
        <v>4.7</v>
      </c>
      <c r="R39" s="85">
        <v>7.3</v>
      </c>
      <c r="S39" s="85">
        <v>11.3</v>
      </c>
      <c r="T39" s="85">
        <v>14</v>
      </c>
      <c r="U39" s="85">
        <v>16.2</v>
      </c>
      <c r="V39" s="85">
        <v>17.600000000000001</v>
      </c>
      <c r="W39" s="85">
        <v>18.3</v>
      </c>
      <c r="X39" s="85">
        <v>16.600000000000001</v>
      </c>
      <c r="Y39" s="85">
        <v>14.3</v>
      </c>
      <c r="Z39" s="85">
        <v>9.4</v>
      </c>
      <c r="AA39" s="85">
        <v>5.6</v>
      </c>
      <c r="AB39" s="85">
        <v>4.3</v>
      </c>
    </row>
    <row r="40" spans="2:28" x14ac:dyDescent="0.2">
      <c r="B40" s="80" t="s">
        <v>238</v>
      </c>
      <c r="C40" s="92">
        <f t="shared" si="1"/>
        <v>1.4722222222222221</v>
      </c>
      <c r="D40" s="92">
        <f t="shared" si="2"/>
        <v>2.5</v>
      </c>
      <c r="E40" s="92">
        <f t="shared" si="3"/>
        <v>3.6666666666666665</v>
      </c>
      <c r="F40" s="92">
        <f t="shared" si="4"/>
        <v>4.8611111111111107</v>
      </c>
      <c r="G40" s="92">
        <f t="shared" si="5"/>
        <v>5.4722222222222223</v>
      </c>
      <c r="H40" s="92">
        <f t="shared" si="6"/>
        <v>6.0555555555555554</v>
      </c>
      <c r="I40" s="92">
        <f t="shared" si="7"/>
        <v>6.6944444444444446</v>
      </c>
      <c r="J40" s="92">
        <f t="shared" si="8"/>
        <v>6</v>
      </c>
      <c r="K40" s="92">
        <f t="shared" si="9"/>
        <v>4.75</v>
      </c>
      <c r="L40" s="92">
        <f t="shared" si="10"/>
        <v>3.0277777777777777</v>
      </c>
      <c r="M40" s="92">
        <f t="shared" si="11"/>
        <v>1.8333333333333333</v>
      </c>
      <c r="N40" s="92">
        <f t="shared" si="12"/>
        <v>1.2777777777777777</v>
      </c>
      <c r="P40" s="84" t="s">
        <v>238</v>
      </c>
      <c r="Q40" s="85">
        <v>5.3</v>
      </c>
      <c r="R40" s="85">
        <v>9</v>
      </c>
      <c r="S40" s="85">
        <v>13.2</v>
      </c>
      <c r="T40" s="85">
        <v>17.5</v>
      </c>
      <c r="U40" s="85">
        <v>19.7</v>
      </c>
      <c r="V40" s="85">
        <v>21.8</v>
      </c>
      <c r="W40" s="85">
        <v>24.1</v>
      </c>
      <c r="X40" s="85">
        <v>21.6</v>
      </c>
      <c r="Y40" s="85">
        <v>17.100000000000001</v>
      </c>
      <c r="Z40" s="85">
        <v>10.9</v>
      </c>
      <c r="AA40" s="85">
        <v>6.6</v>
      </c>
      <c r="AB40" s="85">
        <v>4.5999999999999996</v>
      </c>
    </row>
    <row r="41" spans="2:28" x14ac:dyDescent="0.2">
      <c r="B41" s="80" t="s">
        <v>239</v>
      </c>
      <c r="C41" s="92">
        <f t="shared" si="1"/>
        <v>3.1111111111111107</v>
      </c>
      <c r="D41" s="92">
        <f t="shared" si="2"/>
        <v>3.9444444444444442</v>
      </c>
      <c r="E41" s="92">
        <f t="shared" si="3"/>
        <v>4.9444444444444446</v>
      </c>
      <c r="F41" s="92">
        <f t="shared" si="4"/>
        <v>5.4444444444444446</v>
      </c>
      <c r="G41" s="92">
        <f t="shared" si="5"/>
        <v>6.0277777777777777</v>
      </c>
      <c r="H41" s="92">
        <f t="shared" si="6"/>
        <v>6.25</v>
      </c>
      <c r="I41" s="92">
        <f t="shared" si="7"/>
        <v>6.75</v>
      </c>
      <c r="J41" s="92">
        <f t="shared" si="8"/>
        <v>6.083333333333333</v>
      </c>
      <c r="K41" s="92">
        <f t="shared" si="9"/>
        <v>5.5</v>
      </c>
      <c r="L41" s="92">
        <f t="shared" si="10"/>
        <v>4.1944444444444446</v>
      </c>
      <c r="M41" s="92">
        <f t="shared" si="11"/>
        <v>3.416666666666667</v>
      </c>
      <c r="N41" s="92">
        <f t="shared" si="12"/>
        <v>2.9722222222222219</v>
      </c>
      <c r="P41" s="84" t="s">
        <v>239</v>
      </c>
      <c r="Q41" s="85">
        <v>11.2</v>
      </c>
      <c r="R41" s="85">
        <v>14.2</v>
      </c>
      <c r="S41" s="85">
        <v>17.8</v>
      </c>
      <c r="T41" s="85">
        <v>19.600000000000001</v>
      </c>
      <c r="U41" s="85">
        <v>21.7</v>
      </c>
      <c r="V41" s="85">
        <v>22.5</v>
      </c>
      <c r="W41" s="85">
        <v>24.3</v>
      </c>
      <c r="X41" s="85">
        <v>21.9</v>
      </c>
      <c r="Y41" s="85">
        <v>19.8</v>
      </c>
      <c r="Z41" s="85">
        <v>15.1</v>
      </c>
      <c r="AA41" s="85">
        <v>12.3</v>
      </c>
      <c r="AB41" s="85">
        <v>10.7</v>
      </c>
    </row>
    <row r="42" spans="2:28" x14ac:dyDescent="0.2">
      <c r="B42" s="80" t="s">
        <v>240</v>
      </c>
      <c r="C42" s="92">
        <f t="shared" si="1"/>
        <v>1.5277777777777777</v>
      </c>
      <c r="D42" s="92">
        <f t="shared" si="2"/>
        <v>2.2777777777777777</v>
      </c>
      <c r="E42" s="92">
        <f t="shared" si="3"/>
        <v>3.6111111111111112</v>
      </c>
      <c r="F42" s="92">
        <f t="shared" si="4"/>
        <v>4.3611111111111107</v>
      </c>
      <c r="G42" s="92">
        <f t="shared" si="5"/>
        <v>4.8611111111111107</v>
      </c>
      <c r="H42" s="92">
        <f t="shared" si="6"/>
        <v>5.6666666666666661</v>
      </c>
      <c r="I42" s="92">
        <f t="shared" si="7"/>
        <v>6.1111111111111107</v>
      </c>
      <c r="J42" s="92">
        <f t="shared" si="8"/>
        <v>5.2499999999999991</v>
      </c>
      <c r="K42" s="92">
        <f t="shared" si="9"/>
        <v>4.1944444444444446</v>
      </c>
      <c r="L42" s="92">
        <f t="shared" si="10"/>
        <v>3.1388888888888888</v>
      </c>
      <c r="M42" s="92">
        <f t="shared" si="11"/>
        <v>1.8888888888888888</v>
      </c>
      <c r="N42" s="92">
        <f t="shared" si="12"/>
        <v>1.5277777777777777</v>
      </c>
      <c r="P42" s="84" t="s">
        <v>240</v>
      </c>
      <c r="Q42" s="85">
        <v>5.5</v>
      </c>
      <c r="R42" s="85">
        <v>8.1999999999999993</v>
      </c>
      <c r="S42" s="85">
        <v>13</v>
      </c>
      <c r="T42" s="85">
        <v>15.7</v>
      </c>
      <c r="U42" s="85">
        <v>17.5</v>
      </c>
      <c r="V42" s="85">
        <v>20.399999999999999</v>
      </c>
      <c r="W42" s="85">
        <v>22</v>
      </c>
      <c r="X42" s="85">
        <v>18.899999999999999</v>
      </c>
      <c r="Y42" s="85">
        <v>15.1</v>
      </c>
      <c r="Z42" s="85">
        <v>11.3</v>
      </c>
      <c r="AA42" s="85">
        <v>6.8</v>
      </c>
      <c r="AB42" s="85">
        <v>5.5</v>
      </c>
    </row>
    <row r="43" spans="2:28" x14ac:dyDescent="0.2">
      <c r="B43" s="80" t="s">
        <v>241</v>
      </c>
      <c r="C43" s="92">
        <f t="shared" si="1"/>
        <v>1.5555555555555554</v>
      </c>
      <c r="D43" s="92">
        <f t="shared" si="2"/>
        <v>2.4444444444444446</v>
      </c>
      <c r="E43" s="92">
        <f t="shared" si="3"/>
        <v>3.8055555555555554</v>
      </c>
      <c r="F43" s="92">
        <f t="shared" si="4"/>
        <v>4.6111111111111116</v>
      </c>
      <c r="G43" s="92">
        <f t="shared" si="5"/>
        <v>5.333333333333333</v>
      </c>
      <c r="H43" s="92">
        <f t="shared" si="6"/>
        <v>5.9444444444444438</v>
      </c>
      <c r="I43" s="92">
        <f t="shared" si="7"/>
        <v>6.4722222222222223</v>
      </c>
      <c r="J43" s="92">
        <f t="shared" si="8"/>
        <v>5.7777777777777777</v>
      </c>
      <c r="K43" s="92">
        <f t="shared" si="9"/>
        <v>4.5</v>
      </c>
      <c r="L43" s="92">
        <f t="shared" si="10"/>
        <v>2.9722222222222219</v>
      </c>
      <c r="M43" s="92">
        <f t="shared" si="11"/>
        <v>1.8888888888888888</v>
      </c>
      <c r="N43" s="92">
        <f t="shared" si="12"/>
        <v>1.3333333333333333</v>
      </c>
      <c r="P43" s="84" t="s">
        <v>241</v>
      </c>
      <c r="Q43" s="85">
        <v>5.6</v>
      </c>
      <c r="R43" s="85">
        <v>8.8000000000000007</v>
      </c>
      <c r="S43" s="85">
        <v>13.7</v>
      </c>
      <c r="T43" s="85">
        <v>16.600000000000001</v>
      </c>
      <c r="U43" s="85">
        <v>19.2</v>
      </c>
      <c r="V43" s="85">
        <v>21.4</v>
      </c>
      <c r="W43" s="85">
        <v>23.3</v>
      </c>
      <c r="X43" s="85">
        <v>20.8</v>
      </c>
      <c r="Y43" s="85">
        <v>16.2</v>
      </c>
      <c r="Z43" s="85">
        <v>10.7</v>
      </c>
      <c r="AA43" s="85">
        <v>6.8</v>
      </c>
      <c r="AB43" s="85">
        <v>4.8</v>
      </c>
    </row>
    <row r="44" spans="2:28" x14ac:dyDescent="0.2">
      <c r="B44" s="80" t="s">
        <v>242</v>
      </c>
      <c r="C44" s="92">
        <f t="shared" si="1"/>
        <v>1.6944444444444442</v>
      </c>
      <c r="D44" s="92">
        <f t="shared" si="2"/>
        <v>2.6388888888888888</v>
      </c>
      <c r="E44" s="92">
        <f t="shared" si="3"/>
        <v>3.75</v>
      </c>
      <c r="F44" s="92">
        <f t="shared" si="4"/>
        <v>4.75</v>
      </c>
      <c r="G44" s="92">
        <f t="shared" si="5"/>
        <v>5.4722222222222223</v>
      </c>
      <c r="H44" s="92">
        <f t="shared" si="6"/>
        <v>6.333333333333333</v>
      </c>
      <c r="I44" s="92">
        <f t="shared" si="7"/>
        <v>6.8333333333333339</v>
      </c>
      <c r="J44" s="92">
        <f t="shared" si="8"/>
        <v>6.2777777777777777</v>
      </c>
      <c r="K44" s="92">
        <f t="shared" si="9"/>
        <v>4.8611111111111107</v>
      </c>
      <c r="L44" s="92">
        <f t="shared" si="10"/>
        <v>3.1388888888888888</v>
      </c>
      <c r="M44" s="92">
        <f t="shared" si="11"/>
        <v>2.0555555555555558</v>
      </c>
      <c r="N44" s="92">
        <f t="shared" si="12"/>
        <v>1.4444444444444444</v>
      </c>
      <c r="P44" s="84" t="s">
        <v>242</v>
      </c>
      <c r="Q44" s="85">
        <v>6.1</v>
      </c>
      <c r="R44" s="85">
        <v>9.5</v>
      </c>
      <c r="S44" s="85">
        <v>13.5</v>
      </c>
      <c r="T44" s="85">
        <v>17.100000000000001</v>
      </c>
      <c r="U44" s="85">
        <v>19.7</v>
      </c>
      <c r="V44" s="85">
        <v>22.8</v>
      </c>
      <c r="W44" s="85">
        <v>24.6</v>
      </c>
      <c r="X44" s="85">
        <v>22.6</v>
      </c>
      <c r="Y44" s="85">
        <v>17.5</v>
      </c>
      <c r="Z44" s="85">
        <v>11.3</v>
      </c>
      <c r="AA44" s="85">
        <v>7.4</v>
      </c>
      <c r="AB44" s="85">
        <v>5.2</v>
      </c>
    </row>
    <row r="45" spans="2:28" x14ac:dyDescent="0.2">
      <c r="B45" s="80" t="s">
        <v>243</v>
      </c>
      <c r="C45" s="92">
        <f t="shared" si="1"/>
        <v>2.9722222222222219</v>
      </c>
      <c r="D45" s="92">
        <f t="shared" si="2"/>
        <v>3.6944444444444446</v>
      </c>
      <c r="E45" s="92">
        <f t="shared" si="3"/>
        <v>5.0277777777777777</v>
      </c>
      <c r="F45" s="92">
        <f t="shared" si="4"/>
        <v>5.9722222222222223</v>
      </c>
      <c r="G45" s="92">
        <f t="shared" si="5"/>
        <v>7.1388888888888884</v>
      </c>
      <c r="H45" s="92">
        <f t="shared" si="6"/>
        <v>7.3611111111111107</v>
      </c>
      <c r="I45" s="92">
        <f t="shared" si="7"/>
        <v>8.1388888888888893</v>
      </c>
      <c r="J45" s="92">
        <f t="shared" si="8"/>
        <v>7.3888888888888893</v>
      </c>
      <c r="K45" s="92">
        <f t="shared" si="9"/>
        <v>5.8888888888888884</v>
      </c>
      <c r="L45" s="92">
        <f t="shared" si="10"/>
        <v>4.5</v>
      </c>
      <c r="M45" s="92">
        <f t="shared" si="11"/>
        <v>3</v>
      </c>
      <c r="N45" s="92">
        <f t="shared" si="12"/>
        <v>2.5833333333333335</v>
      </c>
      <c r="P45" s="84" t="s">
        <v>243</v>
      </c>
      <c r="Q45" s="85">
        <v>10.7</v>
      </c>
      <c r="R45" s="85">
        <v>13.3</v>
      </c>
      <c r="S45" s="85">
        <v>18.100000000000001</v>
      </c>
      <c r="T45" s="85">
        <v>21.5</v>
      </c>
      <c r="U45" s="85">
        <v>25.7</v>
      </c>
      <c r="V45" s="85">
        <v>26.5</v>
      </c>
      <c r="W45" s="85">
        <v>29.3</v>
      </c>
      <c r="X45" s="85">
        <v>26.6</v>
      </c>
      <c r="Y45" s="85">
        <v>21.2</v>
      </c>
      <c r="Z45" s="85">
        <v>16.2</v>
      </c>
      <c r="AA45" s="85">
        <v>10.8</v>
      </c>
      <c r="AB45" s="85">
        <v>9.3000000000000007</v>
      </c>
    </row>
    <row r="46" spans="2:28" x14ac:dyDescent="0.2">
      <c r="B46" s="80" t="s">
        <v>244</v>
      </c>
      <c r="C46" s="92">
        <f t="shared" si="1"/>
        <v>1.5833333333333333</v>
      </c>
      <c r="D46" s="92">
        <f t="shared" si="2"/>
        <v>2.4444444444444446</v>
      </c>
      <c r="E46" s="92">
        <f t="shared" si="3"/>
        <v>3.7222222222222223</v>
      </c>
      <c r="F46" s="92">
        <f t="shared" si="4"/>
        <v>5.1111111111111107</v>
      </c>
      <c r="G46" s="92">
        <f t="shared" si="5"/>
        <v>5.6666666666666661</v>
      </c>
      <c r="H46" s="92">
        <f t="shared" si="6"/>
        <v>6.2777777777777777</v>
      </c>
      <c r="I46" s="92">
        <f t="shared" si="7"/>
        <v>7.1388888888888884</v>
      </c>
      <c r="J46" s="92">
        <f t="shared" si="8"/>
        <v>6.9166666666666661</v>
      </c>
      <c r="K46" s="92">
        <f t="shared" si="9"/>
        <v>5.2222222222222223</v>
      </c>
      <c r="L46" s="92">
        <f t="shared" si="10"/>
        <v>3.1666666666666665</v>
      </c>
      <c r="M46" s="92">
        <f t="shared" si="11"/>
        <v>1.8888888888888888</v>
      </c>
      <c r="N46" s="92">
        <f t="shared" si="12"/>
        <v>1.4166666666666665</v>
      </c>
      <c r="P46" s="84" t="s">
        <v>244</v>
      </c>
      <c r="Q46" s="85">
        <v>5.7</v>
      </c>
      <c r="R46" s="85">
        <v>8.8000000000000007</v>
      </c>
      <c r="S46" s="85">
        <v>13.4</v>
      </c>
      <c r="T46" s="85">
        <v>18.399999999999999</v>
      </c>
      <c r="U46" s="85">
        <v>20.399999999999999</v>
      </c>
      <c r="V46" s="85">
        <v>22.6</v>
      </c>
      <c r="W46" s="85">
        <v>25.7</v>
      </c>
      <c r="X46" s="85">
        <v>24.9</v>
      </c>
      <c r="Y46" s="85">
        <v>18.8</v>
      </c>
      <c r="Z46" s="85">
        <v>11.4</v>
      </c>
      <c r="AA46" s="85">
        <v>6.8</v>
      </c>
      <c r="AB46" s="85">
        <v>5.0999999999999996</v>
      </c>
    </row>
    <row r="47" spans="2:28" x14ac:dyDescent="0.2">
      <c r="B47" s="80" t="s">
        <v>245</v>
      </c>
      <c r="C47" s="92">
        <f t="shared" si="1"/>
        <v>2.0277777777777777</v>
      </c>
      <c r="D47" s="92">
        <f t="shared" si="2"/>
        <v>3.0277777777777777</v>
      </c>
      <c r="E47" s="92">
        <f t="shared" si="3"/>
        <v>4</v>
      </c>
      <c r="F47" s="92">
        <f t="shared" si="4"/>
        <v>5.333333333333333</v>
      </c>
      <c r="G47" s="92">
        <f t="shared" si="5"/>
        <v>6.2222222222222214</v>
      </c>
      <c r="H47" s="92">
        <f t="shared" si="6"/>
        <v>6.75</v>
      </c>
      <c r="I47" s="92">
        <f t="shared" si="7"/>
        <v>6.9166666666666661</v>
      </c>
      <c r="J47" s="92">
        <f t="shared" si="8"/>
        <v>6.3888888888888884</v>
      </c>
      <c r="K47" s="92">
        <f t="shared" si="9"/>
        <v>4.9722222222222214</v>
      </c>
      <c r="L47" s="92">
        <f t="shared" si="10"/>
        <v>3.416666666666667</v>
      </c>
      <c r="M47" s="92">
        <f t="shared" si="11"/>
        <v>2.4444444444444446</v>
      </c>
      <c r="N47" s="92">
        <f t="shared" si="12"/>
        <v>1.9166666666666667</v>
      </c>
      <c r="P47" s="84" t="s">
        <v>245</v>
      </c>
      <c r="Q47" s="85">
        <v>7.3</v>
      </c>
      <c r="R47" s="85">
        <v>10.9</v>
      </c>
      <c r="S47" s="85">
        <v>14.4</v>
      </c>
      <c r="T47" s="85">
        <v>19.2</v>
      </c>
      <c r="U47" s="85">
        <v>22.4</v>
      </c>
      <c r="V47" s="85">
        <v>24.3</v>
      </c>
      <c r="W47" s="85">
        <v>24.9</v>
      </c>
      <c r="X47" s="85">
        <v>23</v>
      </c>
      <c r="Y47" s="85">
        <v>17.899999999999999</v>
      </c>
      <c r="Z47" s="85">
        <v>12.3</v>
      </c>
      <c r="AA47" s="85">
        <v>8.8000000000000007</v>
      </c>
      <c r="AB47" s="85">
        <v>6.9</v>
      </c>
    </row>
    <row r="48" spans="2:28" x14ac:dyDescent="0.2">
      <c r="B48" s="80" t="s">
        <v>246</v>
      </c>
      <c r="C48" s="92">
        <f t="shared" si="1"/>
        <v>1.6388888888888888</v>
      </c>
      <c r="D48" s="92">
        <f t="shared" si="2"/>
        <v>2.4166666666666665</v>
      </c>
      <c r="E48" s="92">
        <f t="shared" si="3"/>
        <v>3.5555555555555558</v>
      </c>
      <c r="F48" s="92">
        <f t="shared" si="4"/>
        <v>4.75</v>
      </c>
      <c r="G48" s="92">
        <f t="shared" si="5"/>
        <v>5.4722222222222223</v>
      </c>
      <c r="H48" s="92">
        <f t="shared" si="6"/>
        <v>6.0555555555555554</v>
      </c>
      <c r="I48" s="92">
        <f t="shared" si="7"/>
        <v>6.6944444444444446</v>
      </c>
      <c r="J48" s="92">
        <f t="shared" si="8"/>
        <v>6.1944444444444446</v>
      </c>
      <c r="K48" s="92">
        <f t="shared" si="9"/>
        <v>4.8611111111111107</v>
      </c>
      <c r="L48" s="92">
        <f t="shared" si="10"/>
        <v>3.083333333333333</v>
      </c>
      <c r="M48" s="92">
        <f t="shared" si="11"/>
        <v>2.1111111111111112</v>
      </c>
      <c r="N48" s="92">
        <f t="shared" si="12"/>
        <v>1.5555555555555554</v>
      </c>
      <c r="P48" s="84" t="s">
        <v>246</v>
      </c>
      <c r="Q48" s="85">
        <v>5.9</v>
      </c>
      <c r="R48" s="85">
        <v>8.6999999999999993</v>
      </c>
      <c r="S48" s="85">
        <v>12.8</v>
      </c>
      <c r="T48" s="85">
        <v>17.100000000000001</v>
      </c>
      <c r="U48" s="85">
        <v>19.7</v>
      </c>
      <c r="V48" s="85">
        <v>21.8</v>
      </c>
      <c r="W48" s="85">
        <v>24.1</v>
      </c>
      <c r="X48" s="85">
        <v>22.3</v>
      </c>
      <c r="Y48" s="85">
        <v>17.5</v>
      </c>
      <c r="Z48" s="85">
        <v>11.1</v>
      </c>
      <c r="AA48" s="85">
        <v>7.6</v>
      </c>
      <c r="AB48" s="85">
        <v>5.6</v>
      </c>
    </row>
    <row r="49" spans="2:28" x14ac:dyDescent="0.2">
      <c r="B49" s="80" t="s">
        <v>247</v>
      </c>
      <c r="C49" s="92">
        <f t="shared" si="1"/>
        <v>2.0277777777777777</v>
      </c>
      <c r="D49" s="92">
        <f t="shared" si="2"/>
        <v>2.9722222222222219</v>
      </c>
      <c r="E49" s="92">
        <f t="shared" si="3"/>
        <v>4.1388888888888893</v>
      </c>
      <c r="F49" s="92">
        <f t="shared" si="4"/>
        <v>4.8888888888888893</v>
      </c>
      <c r="G49" s="92">
        <f t="shared" si="5"/>
        <v>5.6111111111111107</v>
      </c>
      <c r="H49" s="92">
        <f t="shared" si="6"/>
        <v>6.25</v>
      </c>
      <c r="I49" s="92">
        <f t="shared" si="7"/>
        <v>6.6111111111111107</v>
      </c>
      <c r="J49" s="92">
        <f t="shared" si="8"/>
        <v>5.6944444444444446</v>
      </c>
      <c r="K49" s="92">
        <f t="shared" si="9"/>
        <v>4.5555555555555554</v>
      </c>
      <c r="L49" s="92">
        <f t="shared" si="10"/>
        <v>3.416666666666667</v>
      </c>
      <c r="M49" s="92">
        <f t="shared" si="11"/>
        <v>2.4444444444444446</v>
      </c>
      <c r="N49" s="92">
        <f t="shared" si="12"/>
        <v>1.75</v>
      </c>
      <c r="P49" s="84" t="s">
        <v>247</v>
      </c>
      <c r="Q49" s="85">
        <v>7.3</v>
      </c>
      <c r="R49" s="85">
        <v>10.7</v>
      </c>
      <c r="S49" s="85">
        <v>14.9</v>
      </c>
      <c r="T49" s="85">
        <v>17.600000000000001</v>
      </c>
      <c r="U49" s="85">
        <v>20.2</v>
      </c>
      <c r="V49" s="85">
        <v>22.5</v>
      </c>
      <c r="W49" s="85">
        <v>23.8</v>
      </c>
      <c r="X49" s="85">
        <v>20.5</v>
      </c>
      <c r="Y49" s="85">
        <v>16.399999999999999</v>
      </c>
      <c r="Z49" s="85">
        <v>12.3</v>
      </c>
      <c r="AA49" s="85">
        <v>8.8000000000000007</v>
      </c>
      <c r="AB49" s="85">
        <v>6.3</v>
      </c>
    </row>
    <row r="50" spans="2:28" x14ac:dyDescent="0.2">
      <c r="B50" s="80" t="s">
        <v>248</v>
      </c>
      <c r="C50" s="92">
        <f t="shared" si="1"/>
        <v>1.6944444444444442</v>
      </c>
      <c r="D50" s="92">
        <f t="shared" si="2"/>
        <v>2.4444444444444446</v>
      </c>
      <c r="E50" s="92">
        <f t="shared" si="3"/>
        <v>3.5833333333333335</v>
      </c>
      <c r="F50" s="92">
        <f t="shared" si="4"/>
        <v>4.6388888888888884</v>
      </c>
      <c r="G50" s="92">
        <f t="shared" si="5"/>
        <v>5.1111111111111107</v>
      </c>
      <c r="H50" s="92">
        <f t="shared" si="6"/>
        <v>5.7222222222222223</v>
      </c>
      <c r="I50" s="92">
        <f t="shared" si="7"/>
        <v>6.0555555555555554</v>
      </c>
      <c r="J50" s="92">
        <f t="shared" si="8"/>
        <v>5.75</v>
      </c>
      <c r="K50" s="92">
        <f t="shared" si="9"/>
        <v>4.6944444444444438</v>
      </c>
      <c r="L50" s="92">
        <f t="shared" si="10"/>
        <v>3.0555555555555554</v>
      </c>
      <c r="M50" s="92">
        <f t="shared" si="11"/>
        <v>1.9722222222222221</v>
      </c>
      <c r="N50" s="92">
        <f t="shared" si="12"/>
        <v>1.4722222222222221</v>
      </c>
      <c r="P50" s="84" t="s">
        <v>248</v>
      </c>
      <c r="Q50" s="85">
        <v>6.1</v>
      </c>
      <c r="R50" s="85">
        <v>8.8000000000000007</v>
      </c>
      <c r="S50" s="85">
        <v>12.9</v>
      </c>
      <c r="T50" s="85">
        <v>16.7</v>
      </c>
      <c r="U50" s="85">
        <v>18.399999999999999</v>
      </c>
      <c r="V50" s="85">
        <v>20.6</v>
      </c>
      <c r="W50" s="85">
        <v>21.8</v>
      </c>
      <c r="X50" s="85">
        <v>20.7</v>
      </c>
      <c r="Y50" s="85">
        <v>16.899999999999999</v>
      </c>
      <c r="Z50" s="85">
        <v>11</v>
      </c>
      <c r="AA50" s="85">
        <v>7.1</v>
      </c>
      <c r="AB50" s="85">
        <v>5.3</v>
      </c>
    </row>
    <row r="51" spans="2:28" x14ac:dyDescent="0.2">
      <c r="B51" s="80" t="s">
        <v>249</v>
      </c>
      <c r="C51" s="92">
        <f t="shared" si="1"/>
        <v>1.7222222222222223</v>
      </c>
      <c r="D51" s="92">
        <f t="shared" si="2"/>
        <v>2.6388888888888888</v>
      </c>
      <c r="E51" s="92">
        <f t="shared" si="3"/>
        <v>3.8888888888888888</v>
      </c>
      <c r="F51" s="92">
        <f t="shared" si="4"/>
        <v>5.3611111111111116</v>
      </c>
      <c r="G51" s="92">
        <f t="shared" si="5"/>
        <v>5.833333333333333</v>
      </c>
      <c r="H51" s="92">
        <f t="shared" si="6"/>
        <v>6.7777777777777768</v>
      </c>
      <c r="I51" s="92">
        <f t="shared" si="7"/>
        <v>7.5555555555555554</v>
      </c>
      <c r="J51" s="92">
        <f t="shared" si="8"/>
        <v>6.8055555555555554</v>
      </c>
      <c r="K51" s="92">
        <f t="shared" si="9"/>
        <v>5.0277777777777777</v>
      </c>
      <c r="L51" s="92">
        <f t="shared" si="10"/>
        <v>3.3055555555555554</v>
      </c>
      <c r="M51" s="92">
        <f t="shared" si="11"/>
        <v>2.1111111111111112</v>
      </c>
      <c r="N51" s="92">
        <f t="shared" si="12"/>
        <v>1.5555555555555554</v>
      </c>
      <c r="P51" s="84" t="s">
        <v>249</v>
      </c>
      <c r="Q51" s="85">
        <v>6.2</v>
      </c>
      <c r="R51" s="85">
        <v>9.5</v>
      </c>
      <c r="S51" s="85">
        <v>14</v>
      </c>
      <c r="T51" s="85">
        <v>19.3</v>
      </c>
      <c r="U51" s="85">
        <v>21</v>
      </c>
      <c r="V51" s="85">
        <v>24.4</v>
      </c>
      <c r="W51" s="85">
        <v>27.2</v>
      </c>
      <c r="X51" s="85">
        <v>24.5</v>
      </c>
      <c r="Y51" s="85">
        <v>18.100000000000001</v>
      </c>
      <c r="Z51" s="85">
        <v>11.9</v>
      </c>
      <c r="AA51" s="85">
        <v>7.6</v>
      </c>
      <c r="AB51" s="85">
        <v>5.6</v>
      </c>
    </row>
    <row r="52" spans="2:28" x14ac:dyDescent="0.2">
      <c r="B52" s="80" t="s">
        <v>250</v>
      </c>
      <c r="C52" s="92">
        <f t="shared" si="1"/>
        <v>2.1111111111111112</v>
      </c>
      <c r="D52" s="92">
        <f t="shared" si="2"/>
        <v>2.9444444444444442</v>
      </c>
      <c r="E52" s="92">
        <f t="shared" si="3"/>
        <v>4.1388888888888893</v>
      </c>
      <c r="F52" s="92">
        <f t="shared" si="4"/>
        <v>5.0277777777777777</v>
      </c>
      <c r="G52" s="92">
        <f t="shared" si="5"/>
        <v>5.7222222222222223</v>
      </c>
      <c r="H52" s="92">
        <f t="shared" si="6"/>
        <v>6.333333333333333</v>
      </c>
      <c r="I52" s="92">
        <f t="shared" si="7"/>
        <v>6.6111111111111107</v>
      </c>
      <c r="J52" s="92">
        <f t="shared" si="8"/>
        <v>5.75</v>
      </c>
      <c r="K52" s="92">
        <f t="shared" si="9"/>
        <v>4.6388888888888884</v>
      </c>
      <c r="L52" s="92">
        <f t="shared" si="10"/>
        <v>3.333333333333333</v>
      </c>
      <c r="M52" s="92">
        <f t="shared" si="11"/>
        <v>2.4166666666666665</v>
      </c>
      <c r="N52" s="92">
        <f t="shared" si="12"/>
        <v>1.8333333333333333</v>
      </c>
      <c r="P52" s="84" t="s">
        <v>250</v>
      </c>
      <c r="Q52" s="85">
        <v>7.6</v>
      </c>
      <c r="R52" s="85">
        <v>10.6</v>
      </c>
      <c r="S52" s="85">
        <v>14.9</v>
      </c>
      <c r="T52" s="85">
        <v>18.100000000000001</v>
      </c>
      <c r="U52" s="85">
        <v>20.6</v>
      </c>
      <c r="V52" s="85">
        <v>22.8</v>
      </c>
      <c r="W52" s="85">
        <v>23.8</v>
      </c>
      <c r="X52" s="85">
        <v>20.7</v>
      </c>
      <c r="Y52" s="85">
        <v>16.7</v>
      </c>
      <c r="Z52" s="85">
        <v>12</v>
      </c>
      <c r="AA52" s="85">
        <v>8.6999999999999993</v>
      </c>
      <c r="AB52" s="85">
        <v>6.6</v>
      </c>
    </row>
    <row r="53" spans="2:28" x14ac:dyDescent="0.2">
      <c r="B53" s="80" t="s">
        <v>251</v>
      </c>
      <c r="C53" s="92">
        <f t="shared" si="1"/>
        <v>1.5277777777777777</v>
      </c>
      <c r="D53" s="92">
        <f t="shared" si="2"/>
        <v>2.4444444444444446</v>
      </c>
      <c r="E53" s="92">
        <f t="shared" si="3"/>
        <v>3.8611111111111112</v>
      </c>
      <c r="F53" s="92">
        <f t="shared" si="4"/>
        <v>4.7777777777777777</v>
      </c>
      <c r="G53" s="92">
        <f t="shared" si="5"/>
        <v>5.5277777777777777</v>
      </c>
      <c r="H53" s="92">
        <f t="shared" si="6"/>
        <v>6.2777777777777777</v>
      </c>
      <c r="I53" s="92">
        <f t="shared" si="7"/>
        <v>6.9722222222222223</v>
      </c>
      <c r="J53" s="92">
        <f t="shared" si="8"/>
        <v>6.3888888888888884</v>
      </c>
      <c r="K53" s="92">
        <f t="shared" si="9"/>
        <v>5.083333333333333</v>
      </c>
      <c r="L53" s="92">
        <f t="shared" si="10"/>
        <v>3.1111111111111107</v>
      </c>
      <c r="M53" s="92">
        <f t="shared" si="11"/>
        <v>1.9166666666666667</v>
      </c>
      <c r="N53" s="92">
        <f t="shared" si="12"/>
        <v>1.1666666666666667</v>
      </c>
      <c r="P53" s="84" t="s">
        <v>251</v>
      </c>
      <c r="Q53" s="85">
        <v>5.5</v>
      </c>
      <c r="R53" s="85">
        <v>8.8000000000000007</v>
      </c>
      <c r="S53" s="85">
        <v>13.9</v>
      </c>
      <c r="T53" s="85">
        <v>17.2</v>
      </c>
      <c r="U53" s="85">
        <v>19.899999999999999</v>
      </c>
      <c r="V53" s="85">
        <v>22.6</v>
      </c>
      <c r="W53" s="85">
        <v>25.1</v>
      </c>
      <c r="X53" s="85">
        <v>23</v>
      </c>
      <c r="Y53" s="85">
        <v>18.3</v>
      </c>
      <c r="Z53" s="85">
        <v>11.2</v>
      </c>
      <c r="AA53" s="85">
        <v>6.9</v>
      </c>
      <c r="AB53" s="85">
        <v>4.2</v>
      </c>
    </row>
    <row r="54" spans="2:28" x14ac:dyDescent="0.2">
      <c r="B54" s="80" t="s">
        <v>252</v>
      </c>
      <c r="C54" s="92">
        <f t="shared" si="1"/>
        <v>1.3888888888888888</v>
      </c>
      <c r="D54" s="92">
        <f t="shared" si="2"/>
        <v>1.9722222222222221</v>
      </c>
      <c r="E54" s="92">
        <f t="shared" si="3"/>
        <v>3</v>
      </c>
      <c r="F54" s="92">
        <f t="shared" si="4"/>
        <v>3.5277777777777777</v>
      </c>
      <c r="G54" s="92">
        <f t="shared" si="5"/>
        <v>4.3055555555555554</v>
      </c>
      <c r="H54" s="92">
        <f t="shared" si="6"/>
        <v>4.6388888888888884</v>
      </c>
      <c r="I54" s="92">
        <f t="shared" si="7"/>
        <v>4.9722222222222214</v>
      </c>
      <c r="J54" s="92">
        <f t="shared" si="8"/>
        <v>4.3611111111111107</v>
      </c>
      <c r="K54" s="92">
        <f t="shared" si="9"/>
        <v>3.6388888888888888</v>
      </c>
      <c r="L54" s="92">
        <f t="shared" si="10"/>
        <v>2.5833333333333335</v>
      </c>
      <c r="M54" s="92">
        <f t="shared" si="11"/>
        <v>1.6666666666666665</v>
      </c>
      <c r="N54" s="92">
        <f t="shared" si="12"/>
        <v>1.2777777777777777</v>
      </c>
      <c r="P54" s="84" t="s">
        <v>252</v>
      </c>
      <c r="Q54" s="85">
        <v>5</v>
      </c>
      <c r="R54" s="85">
        <v>7.1</v>
      </c>
      <c r="S54" s="85">
        <v>10.8</v>
      </c>
      <c r="T54" s="85">
        <v>12.7</v>
      </c>
      <c r="U54" s="85">
        <v>15.5</v>
      </c>
      <c r="V54" s="85">
        <v>16.7</v>
      </c>
      <c r="W54" s="85">
        <v>17.899999999999999</v>
      </c>
      <c r="X54" s="85">
        <v>15.7</v>
      </c>
      <c r="Y54" s="85">
        <v>13.1</v>
      </c>
      <c r="Z54" s="85">
        <v>9.3000000000000007</v>
      </c>
      <c r="AA54" s="85">
        <v>6</v>
      </c>
      <c r="AB54" s="85">
        <v>4.5999999999999996</v>
      </c>
    </row>
    <row r="55" spans="2:28" x14ac:dyDescent="0.2">
      <c r="B55" s="80" t="s">
        <v>253</v>
      </c>
      <c r="C55" s="92">
        <f t="shared" si="1"/>
        <v>1.5</v>
      </c>
      <c r="D55" s="92">
        <f t="shared" si="2"/>
        <v>2.4722222222222223</v>
      </c>
      <c r="E55" s="92">
        <f t="shared" si="3"/>
        <v>3.6666666666666665</v>
      </c>
      <c r="F55" s="92">
        <f t="shared" si="4"/>
        <v>4.8055555555555554</v>
      </c>
      <c r="G55" s="92">
        <f t="shared" si="5"/>
        <v>6.1666666666666661</v>
      </c>
      <c r="H55" s="92">
        <f t="shared" si="6"/>
        <v>6</v>
      </c>
      <c r="I55" s="92">
        <f t="shared" si="7"/>
        <v>6.5277777777777777</v>
      </c>
      <c r="J55" s="92">
        <f t="shared" si="8"/>
        <v>6.1111111111111107</v>
      </c>
      <c r="K55" s="92">
        <f t="shared" si="9"/>
        <v>4.7777777777777777</v>
      </c>
      <c r="L55" s="92">
        <f t="shared" si="10"/>
        <v>3.083333333333333</v>
      </c>
      <c r="M55" s="92">
        <f t="shared" si="11"/>
        <v>1.8611111111111112</v>
      </c>
      <c r="N55" s="92">
        <f t="shared" si="12"/>
        <v>1.2777777777777777</v>
      </c>
      <c r="P55" s="84" t="s">
        <v>253</v>
      </c>
      <c r="Q55" s="85">
        <v>5.4</v>
      </c>
      <c r="R55" s="85">
        <v>8.9</v>
      </c>
      <c r="S55" s="85">
        <v>13.2</v>
      </c>
      <c r="T55" s="85">
        <v>17.3</v>
      </c>
      <c r="U55" s="85">
        <v>22.2</v>
      </c>
      <c r="V55" s="85">
        <v>21.6</v>
      </c>
      <c r="W55" s="85">
        <v>23.5</v>
      </c>
      <c r="X55" s="85">
        <v>22</v>
      </c>
      <c r="Y55" s="85">
        <v>17.2</v>
      </c>
      <c r="Z55" s="85">
        <v>11.1</v>
      </c>
      <c r="AA55" s="85">
        <v>6.7</v>
      </c>
      <c r="AB55" s="85">
        <v>4.5999999999999996</v>
      </c>
    </row>
    <row r="56" spans="2:28" x14ac:dyDescent="0.2">
      <c r="B56" s="81" t="s">
        <v>254</v>
      </c>
      <c r="C56" s="93">
        <f t="shared" si="1"/>
        <v>1.75</v>
      </c>
      <c r="D56" s="93">
        <f t="shared" si="2"/>
        <v>2.7222222222222223</v>
      </c>
      <c r="E56" s="93">
        <f t="shared" si="3"/>
        <v>4.2222222222222223</v>
      </c>
      <c r="F56" s="93">
        <f t="shared" si="4"/>
        <v>5.083333333333333</v>
      </c>
      <c r="G56" s="93">
        <f t="shared" si="5"/>
        <v>6.0555555555555554</v>
      </c>
      <c r="H56" s="93">
        <f t="shared" si="6"/>
        <v>6.7222222222222214</v>
      </c>
      <c r="I56" s="93">
        <f t="shared" si="7"/>
        <v>6.9722222222222223</v>
      </c>
      <c r="J56" s="93">
        <f t="shared" si="8"/>
        <v>6.4999999999999991</v>
      </c>
      <c r="K56" s="93">
        <f t="shared" si="9"/>
        <v>5.083333333333333</v>
      </c>
      <c r="L56" s="93">
        <f t="shared" si="10"/>
        <v>3.3611111111111107</v>
      </c>
      <c r="M56" s="93">
        <f t="shared" si="11"/>
        <v>2.0555555555555558</v>
      </c>
      <c r="N56" s="93">
        <f t="shared" si="12"/>
        <v>1.5833333333333333</v>
      </c>
      <c r="P56" s="86" t="s">
        <v>254</v>
      </c>
      <c r="Q56" s="87">
        <v>6.3</v>
      </c>
      <c r="R56" s="87">
        <v>9.8000000000000007</v>
      </c>
      <c r="S56" s="87">
        <v>15.2</v>
      </c>
      <c r="T56" s="87">
        <v>18.3</v>
      </c>
      <c r="U56" s="87">
        <v>21.8</v>
      </c>
      <c r="V56" s="87">
        <v>24.2</v>
      </c>
      <c r="W56" s="87">
        <v>25.1</v>
      </c>
      <c r="X56" s="87">
        <v>23.4</v>
      </c>
      <c r="Y56" s="87">
        <v>18.3</v>
      </c>
      <c r="Z56" s="87">
        <v>12.1</v>
      </c>
      <c r="AA56" s="87">
        <v>7.4</v>
      </c>
      <c r="AB56" s="87">
        <v>5.7</v>
      </c>
    </row>
  </sheetData>
  <phoneticPr fontId="56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9</vt:i4>
      </vt:variant>
    </vt:vector>
  </HeadingPairs>
  <TitlesOfParts>
    <vt:vector size="16" baseType="lpstr">
      <vt:lpstr>Inicio</vt:lpstr>
      <vt:lpstr>Principal</vt:lpstr>
      <vt:lpstr>Datos</vt:lpstr>
      <vt:lpstr>CH_Prim</vt:lpstr>
      <vt:lpstr>CH_Sec</vt:lpstr>
      <vt:lpstr>CH_Distrib</vt:lpstr>
      <vt:lpstr>Captadores</vt:lpstr>
      <vt:lpstr>CH_AcumInd!Área_de_impresión</vt:lpstr>
      <vt:lpstr>CH_AIndMixta!Área_de_impresión</vt:lpstr>
      <vt:lpstr>CH_Distrib!Área_de_impresión</vt:lpstr>
      <vt:lpstr>CH_Prim!Área_de_impresión</vt:lpstr>
      <vt:lpstr>CH_Sec!Área_de_impresión</vt:lpstr>
      <vt:lpstr>CH_SecMixta!Área_de_impresión</vt:lpstr>
      <vt:lpstr>ICalor_AGNMixta!Área_de_impresión</vt:lpstr>
      <vt:lpstr>ICalor_ApoyoGN!Área_de_impresión</vt:lpstr>
      <vt:lpstr>Principal!Área_de_impresión</vt:lpstr>
    </vt:vector>
  </TitlesOfParts>
  <Company>Grupo Gas Natural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Dirección de Tecnología, Seguridad y Eficiencia Energética. Grupo Gas Natural</dc:creator>
  <cp:lastModifiedBy>Alberto España</cp:lastModifiedBy>
  <cp:lastPrinted>2004-07-09T12:06:19Z</cp:lastPrinted>
  <dcterms:created xsi:type="dcterms:W3CDTF">2003-07-02T09:45:56Z</dcterms:created>
  <dcterms:modified xsi:type="dcterms:W3CDTF">2026-06-09T22:18:04Z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-649575350</vt:i4>
  </property>
  <property fmtid="{D5CDD505-2E9C-101B-9397-08002B2CF9AE}" pid="3" name="_EmailSubject">
    <vt:lpwstr>HOJA DE CALCULO HSOLGAS ACTUALIZADA </vt:lpwstr>
  </property>
  <property fmtid="{D5CDD505-2E9C-101B-9397-08002B2CF9AE}" pid="4" name="_AuthorEmail">
    <vt:lpwstr>mbeltran@gasnatural.com</vt:lpwstr>
  </property>
  <property fmtid="{D5CDD505-2E9C-101B-9397-08002B2CF9AE}" pid="5" name="_AuthorEmailDisplayName">
    <vt:lpwstr>Beltran Arraez, Montserrat</vt:lpwstr>
  </property>
  <property fmtid="{D5CDD505-2E9C-101B-9397-08002B2CF9AE}" pid="6" name="_PreviousAdHocReviewCycleID">
    <vt:i4>-1602543001</vt:i4>
  </property>
  <property fmtid="{D5CDD505-2E9C-101B-9397-08002B2CF9AE}" pid="7" name="_ReviewingToolsShownOnce">
    <vt:lpwstr/>
  </property>
</Properties>
</file>